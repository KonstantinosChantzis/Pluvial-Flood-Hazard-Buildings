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Strassen" sheetId="2" state="visible" r:id="rId2"/>
    <sheet xmlns:r="http://schemas.openxmlformats.org/officeDocument/2006/relationships" name="Alle Gebaeude" sheetId="3" state="visible" r:id="rId3"/>
  </sheets>
  <definedNames>
    <definedName name="_xlnm._FilterDatabase" localSheetId="2" hidden="1">'Alle Gebaeude'!$A$4:$I$2868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165" fontId="3" fillId="0" borderId="0" pivotButton="0" quotePrefix="0" xfId="0"/>
    <xf numFmtId="2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Starkregen-Gefahrenanalyse Essen-Kupferdreh - Uebersicht</t>
        </is>
      </c>
    </row>
    <row r="2">
      <c r="A2" s="2" t="inlineStr">
        <is>
          <t>Anzahl und Grundflaeche der Gebaeude je Risikoklasse (berechnet aus Blatt "Alle Gebaeude")</t>
        </is>
      </c>
    </row>
    <row r="4" ht="42" customHeight="1">
      <c r="A4" s="3" t="inlineStr">
        <is>
          <t>Risikoklasse</t>
        </is>
      </c>
      <c r="B4" s="3" t="inlineStr">
        <is>
          <t>Bezeichnung</t>
        </is>
      </c>
      <c r="C4" s="3" t="inlineStr">
        <is>
          <t>Anzahl Gebaeude</t>
        </is>
      </c>
      <c r="D4" s="3" t="inlineStr">
        <is>
          <t>Anteil Anzahl (%)</t>
        </is>
      </c>
      <c r="E4" s="3" t="inlineStr">
        <is>
          <t>Grundflaeche (m2)</t>
        </is>
      </c>
      <c r="F4" s="3" t="inlineStr">
        <is>
          <t>Anteil Flaeche (%)</t>
        </is>
      </c>
    </row>
    <row r="5">
      <c r="A5" s="4" t="n">
        <v>3</v>
      </c>
      <c r="B5" s="4" t="inlineStr">
        <is>
          <t>Hoch</t>
        </is>
      </c>
      <c r="C5" s="4">
        <f>COUNTIF('Alle Gebaeude'!H$5:H$2868,A5)</f>
        <v/>
      </c>
      <c r="D5" s="5">
        <f>C5/C$9*100</f>
        <v/>
      </c>
      <c r="E5" s="6">
        <f>SUMIF('Alle Gebaeude'!H$5:H$2868,A5,'Alle Gebaeude'!E$5:E$2868)</f>
        <v/>
      </c>
      <c r="F5" s="5">
        <f>E5/E$9*100</f>
        <v/>
      </c>
    </row>
    <row r="6">
      <c r="A6" s="4" t="n">
        <v>2</v>
      </c>
      <c r="B6" s="4" t="inlineStr">
        <is>
          <t>Mittel</t>
        </is>
      </c>
      <c r="C6" s="4">
        <f>COUNTIF('Alle Gebaeude'!H$5:H$2868,A6)</f>
        <v/>
      </c>
      <c r="D6" s="5">
        <f>C6/C$9*100</f>
        <v/>
      </c>
      <c r="E6" s="6">
        <f>SUMIF('Alle Gebaeude'!H$5:H$2868,A6,'Alle Gebaeude'!E$5:E$2868)</f>
        <v/>
      </c>
      <c r="F6" s="5">
        <f>E6/E$9*100</f>
        <v/>
      </c>
    </row>
    <row r="7">
      <c r="A7" s="4" t="n">
        <v>1</v>
      </c>
      <c r="B7" s="4" t="inlineStr">
        <is>
          <t>Gering</t>
        </is>
      </c>
      <c r="C7" s="4">
        <f>COUNTIF('Alle Gebaeude'!H$5:H$2868,A7)</f>
        <v/>
      </c>
      <c r="D7" s="5">
        <f>C7/C$9*100</f>
        <v/>
      </c>
      <c r="E7" s="6">
        <f>SUMIF('Alle Gebaeude'!H$5:H$2868,A7,'Alle Gebaeude'!E$5:E$2868)</f>
        <v/>
      </c>
      <c r="F7" s="5">
        <f>E7/E$9*100</f>
        <v/>
      </c>
    </row>
    <row r="8">
      <c r="A8" s="4" t="n">
        <v>0</v>
      </c>
      <c r="B8" s="4" t="inlineStr">
        <is>
          <t>Kein Risiko</t>
        </is>
      </c>
      <c r="C8" s="4">
        <f>COUNTIF('Alle Gebaeude'!H$5:H$2868,A8)</f>
        <v/>
      </c>
      <c r="D8" s="5">
        <f>C8/C$9*100</f>
        <v/>
      </c>
      <c r="E8" s="6">
        <f>SUMIF('Alle Gebaeude'!H$5:H$2868,A8,'Alle Gebaeude'!E$5:E$2868)</f>
        <v/>
      </c>
      <c r="F8" s="5">
        <f>E8/E$9*100</f>
        <v/>
      </c>
    </row>
    <row r="9">
      <c r="A9" s="7" t="inlineStr"/>
      <c r="B9" s="7" t="inlineStr">
        <is>
          <t>Summe</t>
        </is>
      </c>
      <c r="C9" s="7">
        <f>SUM(C5:C8)</f>
        <v/>
      </c>
      <c r="D9" s="8">
        <f>SUM(D5:D8)</f>
        <v/>
      </c>
      <c r="E9" s="9">
        <f>SUM(E5:E8)</f>
        <v/>
      </c>
      <c r="F9" s="8">
        <f>SUM(F5:F8)</f>
        <v/>
      </c>
    </row>
    <row r="11">
      <c r="A11" s="10" t="inlineStr">
        <is>
          <t>Gebaeude mit Risiko (Klasse 1-3)</t>
        </is>
      </c>
      <c r="C11" s="10">
        <f>C5+C6+C7</f>
        <v/>
      </c>
      <c r="D11" s="11">
        <f>D5+D6+D7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Strassen mit den meisten Gebaeuden der Risikoklasse Hoch</t>
        </is>
      </c>
    </row>
    <row r="2">
      <c r="A2" s="2" t="inlineStr">
        <is>
          <t>Nur Gebaeude mit Strassenangabe in OpenStreetMap</t>
        </is>
      </c>
    </row>
    <row r="4" ht="42" customHeight="1">
      <c r="A4" s="3" t="inlineStr">
        <is>
          <t>Rang</t>
        </is>
      </c>
      <c r="B4" s="3" t="inlineStr">
        <is>
          <t>Strasse</t>
        </is>
      </c>
      <c r="C4" s="3" t="inlineStr">
        <is>
          <t>Gebaeude Hoch</t>
        </is>
      </c>
      <c r="D4" s="3" t="inlineStr">
        <is>
          <t>Gebaeude Mittel</t>
        </is>
      </c>
      <c r="E4" s="3" t="inlineStr">
        <is>
          <t>Gebaeude Gering</t>
        </is>
      </c>
      <c r="F4" s="3" t="inlineStr">
        <is>
          <t>Gebaeude gesamt</t>
        </is>
      </c>
      <c r="G4" s="3" t="inlineStr">
        <is>
          <t>Max. Senkentiefe (m)</t>
        </is>
      </c>
    </row>
    <row r="5">
      <c r="A5" s="4" t="n">
        <v>1</v>
      </c>
      <c r="B5" s="4" t="inlineStr">
        <is>
          <t>Kupferdreher Straße</t>
        </is>
      </c>
      <c r="C5" s="4">
        <f>COUNTIFS('Alle Gebaeude'!C$5:C$2868,B5,'Alle Gebaeude'!H$5:H$2868,3)</f>
        <v/>
      </c>
      <c r="D5" s="4">
        <f>COUNTIFS('Alle Gebaeude'!C$5:C$2868,B5,'Alle Gebaeude'!H$5:H$2868,2)</f>
        <v/>
      </c>
      <c r="E5" s="4">
        <f>COUNTIFS('Alle Gebaeude'!C$5:C$2868,B5,'Alle Gebaeude'!H$5:H$2868,1)</f>
        <v/>
      </c>
      <c r="F5" s="4">
        <f>COUNTIF('Alle Gebaeude'!C$5:C$2868,B5)</f>
        <v/>
      </c>
      <c r="G5" s="12">
        <f>_xlfn.MAXIFS('Alle Gebaeude'!F$5:F$2868,'Alle Gebaeude'!C$5:C$2868,B5)</f>
        <v/>
      </c>
    </row>
    <row r="6">
      <c r="A6" s="4" t="n">
        <v>2</v>
      </c>
      <c r="B6" s="4" t="inlineStr">
        <is>
          <t>Byfanger Straße</t>
        </is>
      </c>
      <c r="C6" s="4">
        <f>COUNTIFS('Alle Gebaeude'!C$5:C$2868,B6,'Alle Gebaeude'!H$5:H$2868,3)</f>
        <v/>
      </c>
      <c r="D6" s="4">
        <f>COUNTIFS('Alle Gebaeude'!C$5:C$2868,B6,'Alle Gebaeude'!H$5:H$2868,2)</f>
        <v/>
      </c>
      <c r="E6" s="4">
        <f>COUNTIFS('Alle Gebaeude'!C$5:C$2868,B6,'Alle Gebaeude'!H$5:H$2868,1)</f>
        <v/>
      </c>
      <c r="F6" s="4">
        <f>COUNTIF('Alle Gebaeude'!C$5:C$2868,B6)</f>
        <v/>
      </c>
      <c r="G6" s="12">
        <f>_xlfn.MAXIFS('Alle Gebaeude'!F$5:F$2868,'Alle Gebaeude'!C$5:C$2868,B6)</f>
        <v/>
      </c>
    </row>
    <row r="7">
      <c r="A7" s="4" t="n">
        <v>3</v>
      </c>
      <c r="B7" s="4" t="inlineStr">
        <is>
          <t>Hinsbecker Löh</t>
        </is>
      </c>
      <c r="C7" s="4">
        <f>COUNTIFS('Alle Gebaeude'!C$5:C$2868,B7,'Alle Gebaeude'!H$5:H$2868,3)</f>
        <v/>
      </c>
      <c r="D7" s="4">
        <f>COUNTIFS('Alle Gebaeude'!C$5:C$2868,B7,'Alle Gebaeude'!H$5:H$2868,2)</f>
        <v/>
      </c>
      <c r="E7" s="4">
        <f>COUNTIFS('Alle Gebaeude'!C$5:C$2868,B7,'Alle Gebaeude'!H$5:H$2868,1)</f>
        <v/>
      </c>
      <c r="F7" s="4">
        <f>COUNTIF('Alle Gebaeude'!C$5:C$2868,B7)</f>
        <v/>
      </c>
      <c r="G7" s="12">
        <f>_xlfn.MAXIFS('Alle Gebaeude'!F$5:F$2868,'Alle Gebaeude'!C$5:C$2868,B7)</f>
        <v/>
      </c>
    </row>
    <row r="8">
      <c r="A8" s="4" t="n">
        <v>4</v>
      </c>
      <c r="B8" s="4" t="inlineStr">
        <is>
          <t>Colsmanstraße</t>
        </is>
      </c>
      <c r="C8" s="4">
        <f>COUNTIFS('Alle Gebaeude'!C$5:C$2868,B8,'Alle Gebaeude'!H$5:H$2868,3)</f>
        <v/>
      </c>
      <c r="D8" s="4">
        <f>COUNTIFS('Alle Gebaeude'!C$5:C$2868,B8,'Alle Gebaeude'!H$5:H$2868,2)</f>
        <v/>
      </c>
      <c r="E8" s="4">
        <f>COUNTIFS('Alle Gebaeude'!C$5:C$2868,B8,'Alle Gebaeude'!H$5:H$2868,1)</f>
        <v/>
      </c>
      <c r="F8" s="4">
        <f>COUNTIF('Alle Gebaeude'!C$5:C$2868,B8)</f>
        <v/>
      </c>
      <c r="G8" s="12">
        <f>_xlfn.MAXIFS('Alle Gebaeude'!F$5:F$2868,'Alle Gebaeude'!C$5:C$2868,B8)</f>
        <v/>
      </c>
    </row>
    <row r="9">
      <c r="A9" s="4" t="n">
        <v>5</v>
      </c>
      <c r="B9" s="4" t="inlineStr">
        <is>
          <t>Blockstraße</t>
        </is>
      </c>
      <c r="C9" s="4">
        <f>COUNTIFS('Alle Gebaeude'!C$5:C$2868,B9,'Alle Gebaeude'!H$5:H$2868,3)</f>
        <v/>
      </c>
      <c r="D9" s="4">
        <f>COUNTIFS('Alle Gebaeude'!C$5:C$2868,B9,'Alle Gebaeude'!H$5:H$2868,2)</f>
        <v/>
      </c>
      <c r="E9" s="4">
        <f>COUNTIFS('Alle Gebaeude'!C$5:C$2868,B9,'Alle Gebaeude'!H$5:H$2868,1)</f>
        <v/>
      </c>
      <c r="F9" s="4">
        <f>COUNTIF('Alle Gebaeude'!C$5:C$2868,B9)</f>
        <v/>
      </c>
      <c r="G9" s="12">
        <f>_xlfn.MAXIFS('Alle Gebaeude'!F$5:F$2868,'Alle Gebaeude'!C$5:C$2868,B9)</f>
        <v/>
      </c>
    </row>
    <row r="10">
      <c r="A10" s="4" t="n">
        <v>6</v>
      </c>
      <c r="B10" s="4" t="inlineStr">
        <is>
          <t>Niederweniger Straße</t>
        </is>
      </c>
      <c r="C10" s="4">
        <f>COUNTIFS('Alle Gebaeude'!C$5:C$2868,B10,'Alle Gebaeude'!H$5:H$2868,3)</f>
        <v/>
      </c>
      <c r="D10" s="4">
        <f>COUNTIFS('Alle Gebaeude'!C$5:C$2868,B10,'Alle Gebaeude'!H$5:H$2868,2)</f>
        <v/>
      </c>
      <c r="E10" s="4">
        <f>COUNTIFS('Alle Gebaeude'!C$5:C$2868,B10,'Alle Gebaeude'!H$5:H$2868,1)</f>
        <v/>
      </c>
      <c r="F10" s="4">
        <f>COUNTIF('Alle Gebaeude'!C$5:C$2868,B10)</f>
        <v/>
      </c>
      <c r="G10" s="12">
        <f>_xlfn.MAXIFS('Alle Gebaeude'!F$5:F$2868,'Alle Gebaeude'!C$5:C$2868,B10)</f>
        <v/>
      </c>
    </row>
    <row r="11">
      <c r="A11" s="4" t="n">
        <v>7</v>
      </c>
      <c r="B11" s="4" t="inlineStr">
        <is>
          <t>Dixbäume</t>
        </is>
      </c>
      <c r="C11" s="4">
        <f>COUNTIFS('Alle Gebaeude'!C$5:C$2868,B11,'Alle Gebaeude'!H$5:H$2868,3)</f>
        <v/>
      </c>
      <c r="D11" s="4">
        <f>COUNTIFS('Alle Gebaeude'!C$5:C$2868,B11,'Alle Gebaeude'!H$5:H$2868,2)</f>
        <v/>
      </c>
      <c r="E11" s="4">
        <f>COUNTIFS('Alle Gebaeude'!C$5:C$2868,B11,'Alle Gebaeude'!H$5:H$2868,1)</f>
        <v/>
      </c>
      <c r="F11" s="4">
        <f>COUNTIF('Alle Gebaeude'!C$5:C$2868,B11)</f>
        <v/>
      </c>
      <c r="G11" s="12">
        <f>_xlfn.MAXIFS('Alle Gebaeude'!F$5:F$2868,'Alle Gebaeude'!C$5:C$2868,B11)</f>
        <v/>
      </c>
    </row>
    <row r="12">
      <c r="A12" s="4" t="n">
        <v>8</v>
      </c>
      <c r="B12" s="4" t="inlineStr">
        <is>
          <t>Deilbachbrücke</t>
        </is>
      </c>
      <c r="C12" s="4">
        <f>COUNTIFS('Alle Gebaeude'!C$5:C$2868,B12,'Alle Gebaeude'!H$5:H$2868,3)</f>
        <v/>
      </c>
      <c r="D12" s="4">
        <f>COUNTIFS('Alle Gebaeude'!C$5:C$2868,B12,'Alle Gebaeude'!H$5:H$2868,2)</f>
        <v/>
      </c>
      <c r="E12" s="4">
        <f>COUNTIFS('Alle Gebaeude'!C$5:C$2868,B12,'Alle Gebaeude'!H$5:H$2868,1)</f>
        <v/>
      </c>
      <c r="F12" s="4">
        <f>COUNTIF('Alle Gebaeude'!C$5:C$2868,B12)</f>
        <v/>
      </c>
      <c r="G12" s="12">
        <f>_xlfn.MAXIFS('Alle Gebaeude'!F$5:F$2868,'Alle Gebaeude'!C$5:C$2868,B12)</f>
        <v/>
      </c>
    </row>
    <row r="13">
      <c r="A13" s="4" t="n">
        <v>9</v>
      </c>
      <c r="B13" s="4" t="inlineStr">
        <is>
          <t>Möllneyer Ufer</t>
        </is>
      </c>
      <c r="C13" s="4">
        <f>COUNTIFS('Alle Gebaeude'!C$5:C$2868,B13,'Alle Gebaeude'!H$5:H$2868,3)</f>
        <v/>
      </c>
      <c r="D13" s="4">
        <f>COUNTIFS('Alle Gebaeude'!C$5:C$2868,B13,'Alle Gebaeude'!H$5:H$2868,2)</f>
        <v/>
      </c>
      <c r="E13" s="4">
        <f>COUNTIFS('Alle Gebaeude'!C$5:C$2868,B13,'Alle Gebaeude'!H$5:H$2868,1)</f>
        <v/>
      </c>
      <c r="F13" s="4">
        <f>COUNTIF('Alle Gebaeude'!C$5:C$2868,B13)</f>
        <v/>
      </c>
      <c r="G13" s="12">
        <f>_xlfn.MAXIFS('Alle Gebaeude'!F$5:F$2868,'Alle Gebaeude'!C$5:C$2868,B13)</f>
        <v/>
      </c>
    </row>
    <row r="14">
      <c r="A14" s="4" t="n">
        <v>10</v>
      </c>
      <c r="B14" s="4" t="inlineStr">
        <is>
          <t>Scharpenhang</t>
        </is>
      </c>
      <c r="C14" s="4">
        <f>COUNTIFS('Alle Gebaeude'!C$5:C$2868,B14,'Alle Gebaeude'!H$5:H$2868,3)</f>
        <v/>
      </c>
      <c r="D14" s="4">
        <f>COUNTIFS('Alle Gebaeude'!C$5:C$2868,B14,'Alle Gebaeude'!H$5:H$2868,2)</f>
        <v/>
      </c>
      <c r="E14" s="4">
        <f>COUNTIFS('Alle Gebaeude'!C$5:C$2868,B14,'Alle Gebaeude'!H$5:H$2868,1)</f>
        <v/>
      </c>
      <c r="F14" s="4">
        <f>COUNTIF('Alle Gebaeude'!C$5:C$2868,B14)</f>
        <v/>
      </c>
      <c r="G14" s="12">
        <f>_xlfn.MAXIFS('Alle Gebaeude'!F$5:F$2868,'Alle Gebaeude'!C$5:C$2868,B14)</f>
        <v/>
      </c>
    </row>
    <row r="15">
      <c r="A15" s="4" t="n">
        <v>11</v>
      </c>
      <c r="B15" s="4" t="inlineStr">
        <is>
          <t>Heidbergweg</t>
        </is>
      </c>
      <c r="C15" s="4">
        <f>COUNTIFS('Alle Gebaeude'!C$5:C$2868,B15,'Alle Gebaeude'!H$5:H$2868,3)</f>
        <v/>
      </c>
      <c r="D15" s="4">
        <f>COUNTIFS('Alle Gebaeude'!C$5:C$2868,B15,'Alle Gebaeude'!H$5:H$2868,2)</f>
        <v/>
      </c>
      <c r="E15" s="4">
        <f>COUNTIFS('Alle Gebaeude'!C$5:C$2868,B15,'Alle Gebaeude'!H$5:H$2868,1)</f>
        <v/>
      </c>
      <c r="F15" s="4">
        <f>COUNTIF('Alle Gebaeude'!C$5:C$2868,B15)</f>
        <v/>
      </c>
      <c r="G15" s="12">
        <f>_xlfn.MAXIFS('Alle Gebaeude'!F$5:F$2868,'Alle Gebaeude'!C$5:C$2868,B15)</f>
        <v/>
      </c>
    </row>
    <row r="16">
      <c r="A16" s="4" t="n">
        <v>12</v>
      </c>
      <c r="B16" s="4" t="inlineStr">
        <is>
          <t>Hinsbecker Berg</t>
        </is>
      </c>
      <c r="C16" s="4">
        <f>COUNTIFS('Alle Gebaeude'!C$5:C$2868,B16,'Alle Gebaeude'!H$5:H$2868,3)</f>
        <v/>
      </c>
      <c r="D16" s="4">
        <f>COUNTIFS('Alle Gebaeude'!C$5:C$2868,B16,'Alle Gebaeude'!H$5:H$2868,2)</f>
        <v/>
      </c>
      <c r="E16" s="4">
        <f>COUNTIFS('Alle Gebaeude'!C$5:C$2868,B16,'Alle Gebaeude'!H$5:H$2868,1)</f>
        <v/>
      </c>
      <c r="F16" s="4">
        <f>COUNTIF('Alle Gebaeude'!C$5:C$2868,B16)</f>
        <v/>
      </c>
      <c r="G16" s="12">
        <f>_xlfn.MAXIFS('Alle Gebaeude'!F$5:F$2868,'Alle Gebaeude'!C$5:C$2868,B16)</f>
        <v/>
      </c>
    </row>
    <row r="17">
      <c r="A17" s="4" t="n">
        <v>13</v>
      </c>
      <c r="B17" s="4" t="inlineStr">
        <is>
          <t>Bovermanns Weg</t>
        </is>
      </c>
      <c r="C17" s="4">
        <f>COUNTIFS('Alle Gebaeude'!C$5:C$2868,B17,'Alle Gebaeude'!H$5:H$2868,3)</f>
        <v/>
      </c>
      <c r="D17" s="4">
        <f>COUNTIFS('Alle Gebaeude'!C$5:C$2868,B17,'Alle Gebaeude'!H$5:H$2868,2)</f>
        <v/>
      </c>
      <c r="E17" s="4">
        <f>COUNTIFS('Alle Gebaeude'!C$5:C$2868,B17,'Alle Gebaeude'!H$5:H$2868,1)</f>
        <v/>
      </c>
      <c r="F17" s="4">
        <f>COUNTIF('Alle Gebaeude'!C$5:C$2868,B17)</f>
        <v/>
      </c>
      <c r="G17" s="12">
        <f>_xlfn.MAXIFS('Alle Gebaeude'!F$5:F$2868,'Alle Gebaeude'!C$5:C$2868,B17)</f>
        <v/>
      </c>
    </row>
    <row r="18">
      <c r="A18" s="4" t="n">
        <v>14</v>
      </c>
      <c r="B18" s="4" t="inlineStr">
        <is>
          <t>Am Gerichtshaus</t>
        </is>
      </c>
      <c r="C18" s="4">
        <f>COUNTIFS('Alle Gebaeude'!C$5:C$2868,B18,'Alle Gebaeude'!H$5:H$2868,3)</f>
        <v/>
      </c>
      <c r="D18" s="4">
        <f>COUNTIFS('Alle Gebaeude'!C$5:C$2868,B18,'Alle Gebaeude'!H$5:H$2868,2)</f>
        <v/>
      </c>
      <c r="E18" s="4">
        <f>COUNTIFS('Alle Gebaeude'!C$5:C$2868,B18,'Alle Gebaeude'!H$5:H$2868,1)</f>
        <v/>
      </c>
      <c r="F18" s="4">
        <f>COUNTIF('Alle Gebaeude'!C$5:C$2868,B18)</f>
        <v/>
      </c>
      <c r="G18" s="12">
        <f>_xlfn.MAXIFS('Alle Gebaeude'!F$5:F$2868,'Alle Gebaeude'!C$5:C$2868,B18)</f>
        <v/>
      </c>
    </row>
    <row r="19">
      <c r="A19" s="4" t="n">
        <v>15</v>
      </c>
      <c r="B19" s="4" t="inlineStr">
        <is>
          <t>Dilldorfer Straße</t>
        </is>
      </c>
      <c r="C19" s="4">
        <f>COUNTIFS('Alle Gebaeude'!C$5:C$2868,B19,'Alle Gebaeude'!H$5:H$2868,3)</f>
        <v/>
      </c>
      <c r="D19" s="4">
        <f>COUNTIFS('Alle Gebaeude'!C$5:C$2868,B19,'Alle Gebaeude'!H$5:H$2868,2)</f>
        <v/>
      </c>
      <c r="E19" s="4">
        <f>COUNTIFS('Alle Gebaeude'!C$5:C$2868,B19,'Alle Gebaeude'!H$5:H$2868,1)</f>
        <v/>
      </c>
      <c r="F19" s="4">
        <f>COUNTIF('Alle Gebaeude'!C$5:C$2868,B19)</f>
        <v/>
      </c>
      <c r="G19" s="12">
        <f>_xlfn.MAXIFS('Alle Gebaeude'!F$5:F$2868,'Alle Gebaeude'!C$5:C$2868,B19)</f>
        <v/>
      </c>
    </row>
    <row r="20">
      <c r="A20" s="4" t="n">
        <v>16</v>
      </c>
      <c r="B20" s="4" t="inlineStr">
        <is>
          <t>Hirtental</t>
        </is>
      </c>
      <c r="C20" s="4">
        <f>COUNTIFS('Alle Gebaeude'!C$5:C$2868,B20,'Alle Gebaeude'!H$5:H$2868,3)</f>
        <v/>
      </c>
      <c r="D20" s="4">
        <f>COUNTIFS('Alle Gebaeude'!C$5:C$2868,B20,'Alle Gebaeude'!H$5:H$2868,2)</f>
        <v/>
      </c>
      <c r="E20" s="4">
        <f>COUNTIFS('Alle Gebaeude'!C$5:C$2868,B20,'Alle Gebaeude'!H$5:H$2868,1)</f>
        <v/>
      </c>
      <c r="F20" s="4">
        <f>COUNTIF('Alle Gebaeude'!C$5:C$2868,B20)</f>
        <v/>
      </c>
      <c r="G20" s="12">
        <f>_xlfn.MAXIFS('Alle Gebaeude'!F$5:F$2868,'Alle Gebaeude'!C$5:C$2868,B20)</f>
        <v/>
      </c>
    </row>
    <row r="21">
      <c r="A21" s="4" t="n">
        <v>17</v>
      </c>
      <c r="B21" s="4" t="inlineStr">
        <is>
          <t>Marienbergstraße</t>
        </is>
      </c>
      <c r="C21" s="4">
        <f>COUNTIFS('Alle Gebaeude'!C$5:C$2868,B21,'Alle Gebaeude'!H$5:H$2868,3)</f>
        <v/>
      </c>
      <c r="D21" s="4">
        <f>COUNTIFS('Alle Gebaeude'!C$5:C$2868,B21,'Alle Gebaeude'!H$5:H$2868,2)</f>
        <v/>
      </c>
      <c r="E21" s="4">
        <f>COUNTIFS('Alle Gebaeude'!C$5:C$2868,B21,'Alle Gebaeude'!H$5:H$2868,1)</f>
        <v/>
      </c>
      <c r="F21" s="4">
        <f>COUNTIF('Alle Gebaeude'!C$5:C$2868,B21)</f>
        <v/>
      </c>
      <c r="G21" s="12">
        <f>_xlfn.MAXIFS('Alle Gebaeude'!F$5:F$2868,'Alle Gebaeude'!C$5:C$2868,B21)</f>
        <v/>
      </c>
    </row>
    <row r="22">
      <c r="A22" s="4" t="n">
        <v>18</v>
      </c>
      <c r="B22" s="4" t="inlineStr">
        <is>
          <t>Frauenstein</t>
        </is>
      </c>
      <c r="C22" s="4">
        <f>COUNTIFS('Alle Gebaeude'!C$5:C$2868,B22,'Alle Gebaeude'!H$5:H$2868,3)</f>
        <v/>
      </c>
      <c r="D22" s="4">
        <f>COUNTIFS('Alle Gebaeude'!C$5:C$2868,B22,'Alle Gebaeude'!H$5:H$2868,2)</f>
        <v/>
      </c>
      <c r="E22" s="4">
        <f>COUNTIFS('Alle Gebaeude'!C$5:C$2868,B22,'Alle Gebaeude'!H$5:H$2868,1)</f>
        <v/>
      </c>
      <c r="F22" s="4">
        <f>COUNTIF('Alle Gebaeude'!C$5:C$2868,B22)</f>
        <v/>
      </c>
      <c r="G22" s="12">
        <f>_xlfn.MAXIFS('Alle Gebaeude'!F$5:F$2868,'Alle Gebaeude'!C$5:C$2868,B22)</f>
        <v/>
      </c>
    </row>
    <row r="23">
      <c r="A23" s="4" t="n">
        <v>19</v>
      </c>
      <c r="B23" s="4" t="inlineStr">
        <is>
          <t>Prinz-Wilhelm-Damm</t>
        </is>
      </c>
      <c r="C23" s="4">
        <f>COUNTIFS('Alle Gebaeude'!C$5:C$2868,B23,'Alle Gebaeude'!H$5:H$2868,3)</f>
        <v/>
      </c>
      <c r="D23" s="4">
        <f>COUNTIFS('Alle Gebaeude'!C$5:C$2868,B23,'Alle Gebaeude'!H$5:H$2868,2)</f>
        <v/>
      </c>
      <c r="E23" s="4">
        <f>COUNTIFS('Alle Gebaeude'!C$5:C$2868,B23,'Alle Gebaeude'!H$5:H$2868,1)</f>
        <v/>
      </c>
      <c r="F23" s="4">
        <f>COUNTIF('Alle Gebaeude'!C$5:C$2868,B23)</f>
        <v/>
      </c>
      <c r="G23" s="12">
        <f>_xlfn.MAXIFS('Alle Gebaeude'!F$5:F$2868,'Alle Gebaeude'!C$5:C$2868,B23)</f>
        <v/>
      </c>
    </row>
    <row r="24">
      <c r="A24" s="4" t="n">
        <v>20</v>
      </c>
      <c r="B24" s="4" t="inlineStr">
        <is>
          <t>Phönixhütte</t>
        </is>
      </c>
      <c r="C24" s="4">
        <f>COUNTIFS('Alle Gebaeude'!C$5:C$2868,B24,'Alle Gebaeude'!H$5:H$2868,3)</f>
        <v/>
      </c>
      <c r="D24" s="4">
        <f>COUNTIFS('Alle Gebaeude'!C$5:C$2868,B24,'Alle Gebaeude'!H$5:H$2868,2)</f>
        <v/>
      </c>
      <c r="E24" s="4">
        <f>COUNTIFS('Alle Gebaeude'!C$5:C$2868,B24,'Alle Gebaeude'!H$5:H$2868,1)</f>
        <v/>
      </c>
      <c r="F24" s="4">
        <f>COUNTIF('Alle Gebaeude'!C$5:C$2868,B24)</f>
        <v/>
      </c>
      <c r="G24" s="12">
        <f>_xlfn.MAXIFS('Alle Gebaeude'!F$5:F$2868,'Alle Gebaeude'!C$5:C$2868,B24)</f>
        <v/>
      </c>
    </row>
    <row r="25">
      <c r="A25" s="4" t="n">
        <v>21</v>
      </c>
      <c r="B25" s="4" t="inlineStr">
        <is>
          <t>Nierenhofer Straße</t>
        </is>
      </c>
      <c r="C25" s="4">
        <f>COUNTIFS('Alle Gebaeude'!C$5:C$2868,B25,'Alle Gebaeude'!H$5:H$2868,3)</f>
        <v/>
      </c>
      <c r="D25" s="4">
        <f>COUNTIFS('Alle Gebaeude'!C$5:C$2868,B25,'Alle Gebaeude'!H$5:H$2868,2)</f>
        <v/>
      </c>
      <c r="E25" s="4">
        <f>COUNTIFS('Alle Gebaeude'!C$5:C$2868,B25,'Alle Gebaeude'!H$5:H$2868,1)</f>
        <v/>
      </c>
      <c r="F25" s="4">
        <f>COUNTIF('Alle Gebaeude'!C$5:C$2868,B25)</f>
        <v/>
      </c>
      <c r="G25" s="12">
        <f>_xlfn.MAXIFS('Alle Gebaeude'!F$5:F$2868,'Alle Gebaeude'!C$5:C$2868,B25)</f>
        <v/>
      </c>
    </row>
    <row r="26">
      <c r="A26" s="4" t="n">
        <v>22</v>
      </c>
      <c r="B26" s="4" t="inlineStr">
        <is>
          <t>Poststraße</t>
        </is>
      </c>
      <c r="C26" s="4">
        <f>COUNTIFS('Alle Gebaeude'!C$5:C$2868,B26,'Alle Gebaeude'!H$5:H$2868,3)</f>
        <v/>
      </c>
      <c r="D26" s="4">
        <f>COUNTIFS('Alle Gebaeude'!C$5:C$2868,B26,'Alle Gebaeude'!H$5:H$2868,2)</f>
        <v/>
      </c>
      <c r="E26" s="4">
        <f>COUNTIFS('Alle Gebaeude'!C$5:C$2868,B26,'Alle Gebaeude'!H$5:H$2868,1)</f>
        <v/>
      </c>
      <c r="F26" s="4">
        <f>COUNTIF('Alle Gebaeude'!C$5:C$2868,B26)</f>
        <v/>
      </c>
      <c r="G26" s="12">
        <f>_xlfn.MAXIFS('Alle Gebaeude'!F$5:F$2868,'Alle Gebaeude'!C$5:C$2868,B26)</f>
        <v/>
      </c>
    </row>
    <row r="27">
      <c r="A27" s="4" t="n">
        <v>23</v>
      </c>
      <c r="B27" s="4" t="inlineStr">
        <is>
          <t>An den Friedhöfen</t>
        </is>
      </c>
      <c r="C27" s="4">
        <f>COUNTIFS('Alle Gebaeude'!C$5:C$2868,B27,'Alle Gebaeude'!H$5:H$2868,3)</f>
        <v/>
      </c>
      <c r="D27" s="4">
        <f>COUNTIFS('Alle Gebaeude'!C$5:C$2868,B27,'Alle Gebaeude'!H$5:H$2868,2)</f>
        <v/>
      </c>
      <c r="E27" s="4">
        <f>COUNTIFS('Alle Gebaeude'!C$5:C$2868,B27,'Alle Gebaeude'!H$5:H$2868,1)</f>
        <v/>
      </c>
      <c r="F27" s="4">
        <f>COUNTIF('Alle Gebaeude'!C$5:C$2868,B27)</f>
        <v/>
      </c>
      <c r="G27" s="12">
        <f>_xlfn.MAXIFS('Alle Gebaeude'!F$5:F$2868,'Alle Gebaeude'!C$5:C$2868,B27)</f>
        <v/>
      </c>
    </row>
    <row r="28">
      <c r="A28" s="4" t="n">
        <v>24</v>
      </c>
      <c r="B28" s="4" t="inlineStr">
        <is>
          <t>Deilbachufer</t>
        </is>
      </c>
      <c r="C28" s="4">
        <f>COUNTIFS('Alle Gebaeude'!C$5:C$2868,B28,'Alle Gebaeude'!H$5:H$2868,3)</f>
        <v/>
      </c>
      <c r="D28" s="4">
        <f>COUNTIFS('Alle Gebaeude'!C$5:C$2868,B28,'Alle Gebaeude'!H$5:H$2868,2)</f>
        <v/>
      </c>
      <c r="E28" s="4">
        <f>COUNTIFS('Alle Gebaeude'!C$5:C$2868,B28,'Alle Gebaeude'!H$5:H$2868,1)</f>
        <v/>
      </c>
      <c r="F28" s="4">
        <f>COUNTIF('Alle Gebaeude'!C$5:C$2868,B28)</f>
        <v/>
      </c>
      <c r="G28" s="12">
        <f>_xlfn.MAXIFS('Alle Gebaeude'!F$5:F$2868,'Alle Gebaeude'!C$5:C$2868,B28)</f>
        <v/>
      </c>
    </row>
    <row r="29">
      <c r="A29" s="4" t="n">
        <v>25</v>
      </c>
      <c r="B29" s="4" t="inlineStr">
        <is>
          <t>Am Seebogen</t>
        </is>
      </c>
      <c r="C29" s="4">
        <f>COUNTIFS('Alle Gebaeude'!C$5:C$2868,B29,'Alle Gebaeude'!H$5:H$2868,3)</f>
        <v/>
      </c>
      <c r="D29" s="4">
        <f>COUNTIFS('Alle Gebaeude'!C$5:C$2868,B29,'Alle Gebaeude'!H$5:H$2868,2)</f>
        <v/>
      </c>
      <c r="E29" s="4">
        <f>COUNTIFS('Alle Gebaeude'!C$5:C$2868,B29,'Alle Gebaeude'!H$5:H$2868,1)</f>
        <v/>
      </c>
      <c r="F29" s="4">
        <f>COUNTIF('Alle Gebaeude'!C$5:C$2868,B29)</f>
        <v/>
      </c>
      <c r="G29" s="12">
        <f>_xlfn.MAXIFS('Alle Gebaeude'!F$5:F$2868,'Alle Gebaeude'!C$5:C$2868,B29)</f>
        <v/>
      </c>
    </row>
    <row r="30">
      <c r="A30" s="4" t="n">
        <v>26</v>
      </c>
      <c r="B30" s="4" t="inlineStr">
        <is>
          <t>Schliepersberg</t>
        </is>
      </c>
      <c r="C30" s="4">
        <f>COUNTIFS('Alle Gebaeude'!C$5:C$2868,B30,'Alle Gebaeude'!H$5:H$2868,3)</f>
        <v/>
      </c>
      <c r="D30" s="4">
        <f>COUNTIFS('Alle Gebaeude'!C$5:C$2868,B30,'Alle Gebaeude'!H$5:H$2868,2)</f>
        <v/>
      </c>
      <c r="E30" s="4">
        <f>COUNTIFS('Alle Gebaeude'!C$5:C$2868,B30,'Alle Gebaeude'!H$5:H$2868,1)</f>
        <v/>
      </c>
      <c r="F30" s="4">
        <f>COUNTIF('Alle Gebaeude'!C$5:C$2868,B30)</f>
        <v/>
      </c>
      <c r="G30" s="12">
        <f>_xlfn.MAXIFS('Alle Gebaeude'!F$5:F$2868,'Alle Gebaeude'!C$5:C$2868,B30)</f>
        <v/>
      </c>
    </row>
    <row r="31">
      <c r="A31" s="4" t="n">
        <v>27</v>
      </c>
      <c r="B31" s="4" t="inlineStr">
        <is>
          <t>Gasstraße</t>
        </is>
      </c>
      <c r="C31" s="4">
        <f>COUNTIFS('Alle Gebaeude'!C$5:C$2868,B31,'Alle Gebaeude'!H$5:H$2868,3)</f>
        <v/>
      </c>
      <c r="D31" s="4">
        <f>COUNTIFS('Alle Gebaeude'!C$5:C$2868,B31,'Alle Gebaeude'!H$5:H$2868,2)</f>
        <v/>
      </c>
      <c r="E31" s="4">
        <f>COUNTIFS('Alle Gebaeude'!C$5:C$2868,B31,'Alle Gebaeude'!H$5:H$2868,1)</f>
        <v/>
      </c>
      <c r="F31" s="4">
        <f>COUNTIF('Alle Gebaeude'!C$5:C$2868,B31)</f>
        <v/>
      </c>
      <c r="G31" s="12">
        <f>_xlfn.MAXIFS('Alle Gebaeude'!F$5:F$2868,'Alle Gebaeude'!C$5:C$2868,B31)</f>
        <v/>
      </c>
    </row>
    <row r="32">
      <c r="A32" s="4" t="n">
        <v>28</v>
      </c>
      <c r="B32" s="4" t="inlineStr">
        <is>
          <t>Reulsbergweg</t>
        </is>
      </c>
      <c r="C32" s="4">
        <f>COUNTIFS('Alle Gebaeude'!C$5:C$2868,B32,'Alle Gebaeude'!H$5:H$2868,3)</f>
        <v/>
      </c>
      <c r="D32" s="4">
        <f>COUNTIFS('Alle Gebaeude'!C$5:C$2868,B32,'Alle Gebaeude'!H$5:H$2868,2)</f>
        <v/>
      </c>
      <c r="E32" s="4">
        <f>COUNTIFS('Alle Gebaeude'!C$5:C$2868,B32,'Alle Gebaeude'!H$5:H$2868,1)</f>
        <v/>
      </c>
      <c r="F32" s="4">
        <f>COUNTIF('Alle Gebaeude'!C$5:C$2868,B32)</f>
        <v/>
      </c>
      <c r="G32" s="12">
        <f>_xlfn.MAXIFS('Alle Gebaeude'!F$5:F$2868,'Alle Gebaeude'!C$5:C$2868,B32)</f>
        <v/>
      </c>
    </row>
    <row r="33">
      <c r="A33" s="4" t="n">
        <v>29</v>
      </c>
      <c r="B33" s="4" t="inlineStr">
        <is>
          <t>Prinz-Friedrich-Straße</t>
        </is>
      </c>
      <c r="C33" s="4">
        <f>COUNTIFS('Alle Gebaeude'!C$5:C$2868,B33,'Alle Gebaeude'!H$5:H$2868,3)</f>
        <v/>
      </c>
      <c r="D33" s="4">
        <f>COUNTIFS('Alle Gebaeude'!C$5:C$2868,B33,'Alle Gebaeude'!H$5:H$2868,2)</f>
        <v/>
      </c>
      <c r="E33" s="4">
        <f>COUNTIFS('Alle Gebaeude'!C$5:C$2868,B33,'Alle Gebaeude'!H$5:H$2868,1)</f>
        <v/>
      </c>
      <c r="F33" s="4">
        <f>COUNTIF('Alle Gebaeude'!C$5:C$2868,B33)</f>
        <v/>
      </c>
      <c r="G33" s="12">
        <f>_xlfn.MAXIFS('Alle Gebaeude'!F$5:F$2868,'Alle Gebaeude'!C$5:C$2868,B33)</f>
        <v/>
      </c>
    </row>
    <row r="34">
      <c r="A34" s="4" t="n">
        <v>30</v>
      </c>
      <c r="B34" s="4" t="inlineStr">
        <is>
          <t>Oslenderstraße</t>
        </is>
      </c>
      <c r="C34" s="4">
        <f>COUNTIFS('Alle Gebaeude'!C$5:C$2868,B34,'Alle Gebaeude'!H$5:H$2868,3)</f>
        <v/>
      </c>
      <c r="D34" s="4">
        <f>COUNTIFS('Alle Gebaeude'!C$5:C$2868,B34,'Alle Gebaeude'!H$5:H$2868,2)</f>
        <v/>
      </c>
      <c r="E34" s="4">
        <f>COUNTIFS('Alle Gebaeude'!C$5:C$2868,B34,'Alle Gebaeude'!H$5:H$2868,1)</f>
        <v/>
      </c>
      <c r="F34" s="4">
        <f>COUNTIF('Alle Gebaeude'!C$5:C$2868,B34)</f>
        <v/>
      </c>
      <c r="G34" s="12">
        <f>_xlfn.MAXIFS('Alle Gebaeude'!F$5:F$2868,'Alle Gebaeude'!C$5:C$2868,B34)</f>
        <v/>
      </c>
    </row>
    <row r="35">
      <c r="A35" s="4" t="n">
        <v>31</v>
      </c>
      <c r="B35" s="4" t="inlineStr">
        <is>
          <t>Deilbachtal</t>
        </is>
      </c>
      <c r="C35" s="4">
        <f>COUNTIFS('Alle Gebaeude'!C$5:C$2868,B35,'Alle Gebaeude'!H$5:H$2868,3)</f>
        <v/>
      </c>
      <c r="D35" s="4">
        <f>COUNTIFS('Alle Gebaeude'!C$5:C$2868,B35,'Alle Gebaeude'!H$5:H$2868,2)</f>
        <v/>
      </c>
      <c r="E35" s="4">
        <f>COUNTIFS('Alle Gebaeude'!C$5:C$2868,B35,'Alle Gebaeude'!H$5:H$2868,1)</f>
        <v/>
      </c>
      <c r="F35" s="4">
        <f>COUNTIF('Alle Gebaeude'!C$5:C$2868,B35)</f>
        <v/>
      </c>
      <c r="G35" s="12">
        <f>_xlfn.MAXIFS('Alle Gebaeude'!F$5:F$2868,'Alle Gebaeude'!C$5:C$2868,B35)</f>
        <v/>
      </c>
    </row>
    <row r="36">
      <c r="A36" s="4" t="n">
        <v>32</v>
      </c>
      <c r="B36" s="4" t="inlineStr">
        <is>
          <t>Asbachtal</t>
        </is>
      </c>
      <c r="C36" s="4">
        <f>COUNTIFS('Alle Gebaeude'!C$5:C$2868,B36,'Alle Gebaeude'!H$5:H$2868,3)</f>
        <v/>
      </c>
      <c r="D36" s="4">
        <f>COUNTIFS('Alle Gebaeude'!C$5:C$2868,B36,'Alle Gebaeude'!H$5:H$2868,2)</f>
        <v/>
      </c>
      <c r="E36" s="4">
        <f>COUNTIFS('Alle Gebaeude'!C$5:C$2868,B36,'Alle Gebaeude'!H$5:H$2868,1)</f>
        <v/>
      </c>
      <c r="F36" s="4">
        <f>COUNTIF('Alle Gebaeude'!C$5:C$2868,B36)</f>
        <v/>
      </c>
      <c r="G36" s="12">
        <f>_xlfn.MAXIFS('Alle Gebaeude'!F$5:F$2868,'Alle Gebaeude'!C$5:C$2868,B36)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9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</cols>
  <sheetData>
    <row r="1">
      <c r="A1" s="1" t="inlineStr">
        <is>
          <t>Starkregenrisiko je Gebaeude - Essen-Kupferdreh</t>
        </is>
      </c>
    </row>
    <row r="2">
      <c r="A2" s="2" t="inlineStr">
        <is>
          <t>Untersuchungsgebiet 2 x 2 km (EPSG:25832: 366000-368000 / 5694000-5696000), DGM1 NRW, Gebaeude OpenStreetMap</t>
        </is>
      </c>
    </row>
    <row r="4" ht="42" customHeight="1">
      <c r="A4" s="3" t="inlineStr">
        <is>
          <t>OBJECTID</t>
        </is>
      </c>
      <c r="B4" s="3" t="inlineStr">
        <is>
          <t>Gebaeudetyp (OSM)</t>
        </is>
      </c>
      <c r="C4" s="3" t="inlineStr">
        <is>
          <t>Strasse</t>
        </is>
      </c>
      <c r="D4" s="3" t="inlineStr">
        <is>
          <t>Hausnr.</t>
        </is>
      </c>
      <c r="E4" s="3" t="inlineStr">
        <is>
          <t>Grundflaeche (m2)</t>
        </is>
      </c>
      <c r="F4" s="3" t="inlineStr">
        <is>
          <t>Max. Senkentiefe (m)</t>
        </is>
      </c>
      <c r="G4" s="3" t="inlineStr">
        <is>
          <t>Max. Strahler-Ordnung Fliessweg</t>
        </is>
      </c>
      <c r="H4" s="3" t="inlineStr">
        <is>
          <t>Risikoklasse</t>
        </is>
      </c>
      <c r="I4" s="3" t="inlineStr">
        <is>
          <t>Risiko</t>
        </is>
      </c>
    </row>
    <row r="5">
      <c r="A5" s="4" t="n">
        <v>1</v>
      </c>
      <c r="B5" s="4" t="inlineStr">
        <is>
          <t>yes</t>
        </is>
      </c>
      <c r="C5" s="4" t="inlineStr">
        <is>
          <t>Frauenstein</t>
        </is>
      </c>
      <c r="D5" s="4" t="inlineStr">
        <is>
          <t>119</t>
        </is>
      </c>
      <c r="E5" s="13" t="n">
        <v>96.7</v>
      </c>
      <c r="F5" s="12" t="n">
        <v>0.06999969482421875</v>
      </c>
      <c r="G5" s="4" t="n">
        <v>0</v>
      </c>
      <c r="H5" s="4">
        <f>IF(OR(N(F5)&gt;=0.5,G5&gt;=4),3,IF(OR(N(F5)&gt;=0.3,G5=3),2,IF(OR(N(F5)&gt;=0.1,G5&gt;=1),1,0)))</f>
        <v/>
      </c>
      <c r="I5" s="4">
        <f>CHOOSE(H5+1,"Kein Risiko","Gering","Mittel","Hoch")</f>
        <v/>
      </c>
    </row>
    <row r="6">
      <c r="A6" s="4" t="n">
        <v>2</v>
      </c>
      <c r="B6" s="4" t="inlineStr">
        <is>
          <t>apartments</t>
        </is>
      </c>
      <c r="C6" s="4" t="inlineStr">
        <is>
          <t>Kupferdreher Straße</t>
        </is>
      </c>
      <c r="D6" s="4" t="inlineStr">
        <is>
          <t>156</t>
        </is>
      </c>
      <c r="E6" s="13" t="n">
        <v>150.3</v>
      </c>
      <c r="F6" s="12" t="n">
        <v>0</v>
      </c>
      <c r="G6" s="4" t="n">
        <v>0</v>
      </c>
      <c r="H6" s="4">
        <f>IF(OR(N(F6)&gt;=0.5,G6&gt;=4),3,IF(OR(N(F6)&gt;=0.3,G6=3),2,IF(OR(N(F6)&gt;=0.1,G6&gt;=1),1,0)))</f>
        <v/>
      </c>
      <c r="I6" s="4">
        <f>CHOOSE(H6+1,"Kein Risiko","Gering","Mittel","Hoch")</f>
        <v/>
      </c>
    </row>
    <row r="7">
      <c r="A7" s="4" t="n">
        <v>3</v>
      </c>
      <c r="B7" s="4" t="inlineStr">
        <is>
          <t>apartments</t>
        </is>
      </c>
      <c r="C7" s="4" t="inlineStr">
        <is>
          <t>Bahnstraße</t>
        </is>
      </c>
      <c r="D7" s="4" t="inlineStr">
        <is>
          <t>8</t>
        </is>
      </c>
      <c r="E7" s="13" t="n">
        <v>120</v>
      </c>
      <c r="F7" s="12" t="n">
        <v>0</v>
      </c>
      <c r="G7" s="4" t="n">
        <v>1</v>
      </c>
      <c r="H7" s="4">
        <f>IF(OR(N(F7)&gt;=0.5,G7&gt;=4),3,IF(OR(N(F7)&gt;=0.3,G7=3),2,IF(OR(N(F7)&gt;=0.1,G7&gt;=1),1,0)))</f>
        <v/>
      </c>
      <c r="I7" s="4">
        <f>CHOOSE(H7+1,"Kein Risiko","Gering","Mittel","Hoch")</f>
        <v/>
      </c>
    </row>
    <row r="8">
      <c r="A8" s="4" t="n">
        <v>4</v>
      </c>
      <c r="B8" s="4" t="inlineStr">
        <is>
          <t>apartments</t>
        </is>
      </c>
      <c r="C8" s="4" t="inlineStr">
        <is>
          <t>Byfanger Straße</t>
        </is>
      </c>
      <c r="D8" s="4" t="inlineStr">
        <is>
          <t>3</t>
        </is>
      </c>
      <c r="E8" s="13" t="n">
        <v>108.2</v>
      </c>
      <c r="F8" s="12" t="n">
        <v>0</v>
      </c>
      <c r="G8" s="4" t="n">
        <v>0</v>
      </c>
      <c r="H8" s="4">
        <f>IF(OR(N(F8)&gt;=0.5,G8&gt;=4),3,IF(OR(N(F8)&gt;=0.3,G8=3),2,IF(OR(N(F8)&gt;=0.1,G8&gt;=1),1,0)))</f>
        <v/>
      </c>
      <c r="I8" s="4">
        <f>CHOOSE(H8+1,"Kein Risiko","Gering","Mittel","Hoch")</f>
        <v/>
      </c>
    </row>
    <row r="9">
      <c r="A9" s="4" t="n">
        <v>5</v>
      </c>
      <c r="B9" s="4" t="inlineStr">
        <is>
          <t>apartments</t>
        </is>
      </c>
      <c r="C9" s="4" t="inlineStr">
        <is>
          <t>Hofstraße</t>
        </is>
      </c>
      <c r="D9" s="4" t="inlineStr">
        <is>
          <t>6</t>
        </is>
      </c>
      <c r="E9" s="13" t="n">
        <v>122.7</v>
      </c>
      <c r="F9" s="12" t="n">
        <v>0</v>
      </c>
      <c r="G9" s="4" t="n">
        <v>0</v>
      </c>
      <c r="H9" s="4">
        <f>IF(OR(N(F9)&gt;=0.5,G9&gt;=4),3,IF(OR(N(F9)&gt;=0.3,G9=3),2,IF(OR(N(F9)&gt;=0.1,G9&gt;=1),1,0)))</f>
        <v/>
      </c>
      <c r="I9" s="4">
        <f>CHOOSE(H9+1,"Kein Risiko","Gering","Mittel","Hoch")</f>
        <v/>
      </c>
    </row>
    <row r="10">
      <c r="A10" s="4" t="n">
        <v>6</v>
      </c>
      <c r="B10" s="4" t="inlineStr">
        <is>
          <t>yes</t>
        </is>
      </c>
      <c r="C10" s="4" t="inlineStr">
        <is>
          <t>Colsmanstraße</t>
        </is>
      </c>
      <c r="D10" s="4" t="inlineStr">
        <is>
          <t>7</t>
        </is>
      </c>
      <c r="E10" s="13" t="n">
        <v>200.9</v>
      </c>
      <c r="F10" s="12" t="n">
        <v>1.05999755859375</v>
      </c>
      <c r="G10" s="4" t="n">
        <v>0</v>
      </c>
      <c r="H10" s="4">
        <f>IF(OR(N(F10)&gt;=0.5,G10&gt;=4),3,IF(OR(N(F10)&gt;=0.3,G10=3),2,IF(OR(N(F10)&gt;=0.1,G10&gt;=1),1,0)))</f>
        <v/>
      </c>
      <c r="I10" s="4">
        <f>CHOOSE(H10+1,"Kein Risiko","Gering","Mittel","Hoch")</f>
        <v/>
      </c>
    </row>
    <row r="11">
      <c r="A11" s="4" t="n">
        <v>7</v>
      </c>
      <c r="B11" s="4" t="inlineStr">
        <is>
          <t>apartments</t>
        </is>
      </c>
      <c r="C11" s="4" t="inlineStr"/>
      <c r="D11" s="4" t="inlineStr"/>
      <c r="E11" s="13" t="n">
        <v>371.3</v>
      </c>
      <c r="F11" s="12" t="n">
        <v>0.02000045776367188</v>
      </c>
      <c r="G11" s="4" t="n">
        <v>0</v>
      </c>
      <c r="H11" s="4">
        <f>IF(OR(N(F11)&gt;=0.5,G11&gt;=4),3,IF(OR(N(F11)&gt;=0.3,G11=3),2,IF(OR(N(F11)&gt;=0.1,G11&gt;=1),1,0)))</f>
        <v/>
      </c>
      <c r="I11" s="4">
        <f>CHOOSE(H11+1,"Kein Risiko","Gering","Mittel","Hoch")</f>
        <v/>
      </c>
    </row>
    <row r="12">
      <c r="A12" s="4" t="n">
        <v>8</v>
      </c>
      <c r="B12" s="4" t="inlineStr">
        <is>
          <t>apartments</t>
        </is>
      </c>
      <c r="C12" s="4" t="inlineStr">
        <is>
          <t>Kupferdreher Straße</t>
        </is>
      </c>
      <c r="D12" s="4" t="inlineStr">
        <is>
          <t>165</t>
        </is>
      </c>
      <c r="E12" s="13" t="n">
        <v>192.6</v>
      </c>
      <c r="F12" s="12" t="n">
        <v>0.01000213623046875</v>
      </c>
      <c r="G12" s="4" t="n">
        <v>5</v>
      </c>
      <c r="H12" s="4">
        <f>IF(OR(N(F12)&gt;=0.5,G12&gt;=4),3,IF(OR(N(F12)&gt;=0.3,G12=3),2,IF(OR(N(F12)&gt;=0.1,G12&gt;=1),1,0)))</f>
        <v/>
      </c>
      <c r="I12" s="4">
        <f>CHOOSE(H12+1,"Kein Risiko","Gering","Mittel","Hoch")</f>
        <v/>
      </c>
    </row>
    <row r="13">
      <c r="A13" s="4" t="n">
        <v>9</v>
      </c>
      <c r="B13" s="4" t="inlineStr">
        <is>
          <t>hospital</t>
        </is>
      </c>
      <c r="C13" s="4" t="inlineStr">
        <is>
          <t>Heidbergweg</t>
        </is>
      </c>
      <c r="D13" s="4" t="inlineStr">
        <is>
          <t>22-24</t>
        </is>
      </c>
      <c r="E13" s="13" t="n">
        <v>2522</v>
      </c>
      <c r="F13" s="12" t="n">
        <v>0.4800033569335938</v>
      </c>
      <c r="G13" s="4" t="n">
        <v>2</v>
      </c>
      <c r="H13" s="4">
        <f>IF(OR(N(F13)&gt;=0.5,G13&gt;=4),3,IF(OR(N(F13)&gt;=0.3,G13=3),2,IF(OR(N(F13)&gt;=0.1,G13&gt;=1),1,0)))</f>
        <v/>
      </c>
      <c r="I13" s="4">
        <f>CHOOSE(H13+1,"Kein Risiko","Gering","Mittel","Hoch")</f>
        <v/>
      </c>
    </row>
    <row r="14">
      <c r="A14" s="4" t="n">
        <v>10</v>
      </c>
      <c r="B14" s="4" t="inlineStr">
        <is>
          <t>apartments</t>
        </is>
      </c>
      <c r="C14" s="4" t="inlineStr">
        <is>
          <t>Narjesstraße</t>
        </is>
      </c>
      <c r="D14" s="4" t="inlineStr">
        <is>
          <t>12</t>
        </is>
      </c>
      <c r="E14" s="13" t="n">
        <v>244</v>
      </c>
      <c r="F14" s="12" t="n">
        <v>0.03000640869140625</v>
      </c>
      <c r="G14" s="4" t="n">
        <v>0</v>
      </c>
      <c r="H14" s="4">
        <f>IF(OR(N(F14)&gt;=0.5,G14&gt;=4),3,IF(OR(N(F14)&gt;=0.3,G14=3),2,IF(OR(N(F14)&gt;=0.1,G14&gt;=1),1,0)))</f>
        <v/>
      </c>
      <c r="I14" s="4">
        <f>CHOOSE(H14+1,"Kein Risiko","Gering","Mittel","Hoch")</f>
        <v/>
      </c>
    </row>
    <row r="15">
      <c r="A15" s="4" t="n">
        <v>11</v>
      </c>
      <c r="B15" s="4" t="inlineStr">
        <is>
          <t>public</t>
        </is>
      </c>
      <c r="C15" s="4" t="inlineStr">
        <is>
          <t>Benderstraße</t>
        </is>
      </c>
      <c r="D15" s="4" t="inlineStr">
        <is>
          <t>15</t>
        </is>
      </c>
      <c r="E15" s="13" t="n">
        <v>167.7</v>
      </c>
      <c r="F15" s="12" t="n">
        <v>0</v>
      </c>
      <c r="G15" s="4" t="n">
        <v>1</v>
      </c>
      <c r="H15" s="4">
        <f>IF(OR(N(F15)&gt;=0.5,G15&gt;=4),3,IF(OR(N(F15)&gt;=0.3,G15=3),2,IF(OR(N(F15)&gt;=0.1,G15&gt;=1),1,0)))</f>
        <v/>
      </c>
      <c r="I15" s="4">
        <f>CHOOSE(H15+1,"Kein Risiko","Gering","Mittel","Hoch")</f>
        <v/>
      </c>
    </row>
    <row r="16">
      <c r="A16" s="4" t="n">
        <v>12</v>
      </c>
      <c r="B16" s="4" t="inlineStr">
        <is>
          <t>kindergarten</t>
        </is>
      </c>
      <c r="C16" s="4" t="inlineStr">
        <is>
          <t>Benderstraße</t>
        </is>
      </c>
      <c r="D16" s="4" t="inlineStr">
        <is>
          <t>14</t>
        </is>
      </c>
      <c r="E16" s="13" t="n">
        <v>490.7</v>
      </c>
      <c r="F16" s="12" t="n">
        <v>0.0800018310546875</v>
      </c>
      <c r="G16" s="4" t="n">
        <v>1</v>
      </c>
      <c r="H16" s="4">
        <f>IF(OR(N(F16)&gt;=0.5,G16&gt;=4),3,IF(OR(N(F16)&gt;=0.3,G16=3),2,IF(OR(N(F16)&gt;=0.1,G16&gt;=1),1,0)))</f>
        <v/>
      </c>
      <c r="I16" s="4">
        <f>CHOOSE(H16+1,"Kein Risiko","Gering","Mittel","Hoch")</f>
        <v/>
      </c>
    </row>
    <row r="17">
      <c r="A17" s="4" t="n">
        <v>13</v>
      </c>
      <c r="B17" s="4" t="inlineStr">
        <is>
          <t>apartments</t>
        </is>
      </c>
      <c r="C17" s="4" t="inlineStr">
        <is>
          <t>Benderstraße</t>
        </is>
      </c>
      <c r="D17" s="4" t="inlineStr">
        <is>
          <t>12</t>
        </is>
      </c>
      <c r="E17" s="13" t="n">
        <v>168.1</v>
      </c>
      <c r="F17" s="12" t="n">
        <v>0</v>
      </c>
      <c r="G17" s="4" t="n">
        <v>0</v>
      </c>
      <c r="H17" s="4">
        <f>IF(OR(N(F17)&gt;=0.5,G17&gt;=4),3,IF(OR(N(F17)&gt;=0.3,G17=3),2,IF(OR(N(F17)&gt;=0.1,G17&gt;=1),1,0)))</f>
        <v/>
      </c>
      <c r="I17" s="4">
        <f>CHOOSE(H17+1,"Kein Risiko","Gering","Mittel","Hoch")</f>
        <v/>
      </c>
    </row>
    <row r="18">
      <c r="A18" s="4" t="n">
        <v>14</v>
      </c>
      <c r="B18" s="4" t="inlineStr">
        <is>
          <t>garage</t>
        </is>
      </c>
      <c r="C18" s="4" t="inlineStr">
        <is>
          <t>Dixbäume</t>
        </is>
      </c>
      <c r="D18" s="4" t="inlineStr">
        <is>
          <t>78</t>
        </is>
      </c>
      <c r="E18" s="13" t="n">
        <v>62.6</v>
      </c>
      <c r="F18" s="12" t="n">
        <v>0</v>
      </c>
      <c r="G18" s="4" t="n">
        <v>0</v>
      </c>
      <c r="H18" s="4">
        <f>IF(OR(N(F18)&gt;=0.5,G18&gt;=4),3,IF(OR(N(F18)&gt;=0.3,G18=3),2,IF(OR(N(F18)&gt;=0.1,G18&gt;=1),1,0)))</f>
        <v/>
      </c>
      <c r="I18" s="4">
        <f>CHOOSE(H18+1,"Kein Risiko","Gering","Mittel","Hoch")</f>
        <v/>
      </c>
    </row>
    <row r="19">
      <c r="A19" s="4" t="n">
        <v>15</v>
      </c>
      <c r="B19" s="4" t="inlineStr">
        <is>
          <t>house</t>
        </is>
      </c>
      <c r="C19" s="4" t="inlineStr">
        <is>
          <t>Dixbäume</t>
        </is>
      </c>
      <c r="D19" s="4" t="inlineStr">
        <is>
          <t>75</t>
        </is>
      </c>
      <c r="E19" s="13" t="n">
        <v>118.2</v>
      </c>
      <c r="F19" s="12" t="n">
        <v>0</v>
      </c>
      <c r="G19" s="4" t="n">
        <v>1</v>
      </c>
      <c r="H19" s="4">
        <f>IF(OR(N(F19)&gt;=0.5,G19&gt;=4),3,IF(OR(N(F19)&gt;=0.3,G19=3),2,IF(OR(N(F19)&gt;=0.1,G19&gt;=1),1,0)))</f>
        <v/>
      </c>
      <c r="I19" s="4">
        <f>CHOOSE(H19+1,"Kein Risiko","Gering","Mittel","Hoch")</f>
        <v/>
      </c>
    </row>
    <row r="20">
      <c r="A20" s="4" t="n">
        <v>16</v>
      </c>
      <c r="B20" s="4" t="inlineStr">
        <is>
          <t>house</t>
        </is>
      </c>
      <c r="C20" s="4" t="inlineStr">
        <is>
          <t>Dixbäume</t>
        </is>
      </c>
      <c r="D20" s="4" t="inlineStr">
        <is>
          <t>81</t>
        </is>
      </c>
      <c r="E20" s="13" t="n">
        <v>149.5</v>
      </c>
      <c r="F20" s="12" t="n">
        <v>0.01000213623046875</v>
      </c>
      <c r="G20" s="4" t="n">
        <v>0</v>
      </c>
      <c r="H20" s="4">
        <f>IF(OR(N(F20)&gt;=0.5,G20&gt;=4),3,IF(OR(N(F20)&gt;=0.3,G20=3),2,IF(OR(N(F20)&gt;=0.1,G20&gt;=1),1,0)))</f>
        <v/>
      </c>
      <c r="I20" s="4">
        <f>CHOOSE(H20+1,"Kein Risiko","Gering","Mittel","Hoch")</f>
        <v/>
      </c>
    </row>
    <row r="21">
      <c r="A21" s="4" t="n">
        <v>17</v>
      </c>
      <c r="B21" s="4" t="inlineStr">
        <is>
          <t>kindergarten</t>
        </is>
      </c>
      <c r="C21" s="4" t="inlineStr">
        <is>
          <t>Anstockstraße</t>
        </is>
      </c>
      <c r="D21" s="4" t="inlineStr">
        <is>
          <t>11</t>
        </is>
      </c>
      <c r="E21" s="13" t="n">
        <v>388.7</v>
      </c>
      <c r="F21" s="12" t="n">
        <v>0</v>
      </c>
      <c r="G21" s="4" t="n">
        <v>0</v>
      </c>
      <c r="H21" s="4">
        <f>IF(OR(N(F21)&gt;=0.5,G21&gt;=4),3,IF(OR(N(F21)&gt;=0.3,G21=3),2,IF(OR(N(F21)&gt;=0.1,G21&gt;=1),1,0)))</f>
        <v/>
      </c>
      <c r="I21" s="4">
        <f>CHOOSE(H21+1,"Kein Risiko","Gering","Mittel","Hoch")</f>
        <v/>
      </c>
    </row>
    <row r="22">
      <c r="A22" s="4" t="n">
        <v>18</v>
      </c>
      <c r="B22" s="4" t="inlineStr">
        <is>
          <t>sports_centre</t>
        </is>
      </c>
      <c r="C22" s="4" t="inlineStr"/>
      <c r="D22" s="4" t="inlineStr"/>
      <c r="E22" s="13" t="n">
        <v>457.4</v>
      </c>
      <c r="F22" s="12" t="n">
        <v>0.0800018310546875</v>
      </c>
      <c r="G22" s="4" t="n">
        <v>0</v>
      </c>
      <c r="H22" s="4">
        <f>IF(OR(N(F22)&gt;=0.5,G22&gt;=4),3,IF(OR(N(F22)&gt;=0.3,G22=3),2,IF(OR(N(F22)&gt;=0.1,G22&gt;=1),1,0)))</f>
        <v/>
      </c>
      <c r="I22" s="4">
        <f>CHOOSE(H22+1,"Kein Risiko","Gering","Mittel","Hoch")</f>
        <v/>
      </c>
    </row>
    <row r="23">
      <c r="A23" s="4" t="n">
        <v>19</v>
      </c>
      <c r="B23" s="4" t="inlineStr">
        <is>
          <t>museum</t>
        </is>
      </c>
      <c r="C23" s="4" t="inlineStr">
        <is>
          <t>Kupferdreher Straße</t>
        </is>
      </c>
      <c r="D23" s="4" t="inlineStr">
        <is>
          <t>141-143</t>
        </is>
      </c>
      <c r="E23" s="13" t="n">
        <v>447.2</v>
      </c>
      <c r="F23" s="12" t="n">
        <v>0.03000259399414062</v>
      </c>
      <c r="G23" s="4" t="n">
        <v>0</v>
      </c>
      <c r="H23" s="4">
        <f>IF(OR(N(F23)&gt;=0.5,G23&gt;=4),3,IF(OR(N(F23)&gt;=0.3,G23=3),2,IF(OR(N(F23)&gt;=0.1,G23&gt;=1),1,0)))</f>
        <v/>
      </c>
      <c r="I23" s="4">
        <f>CHOOSE(H23+1,"Kein Risiko","Gering","Mittel","Hoch")</f>
        <v/>
      </c>
    </row>
    <row r="24">
      <c r="A24" s="4" t="n">
        <v>20</v>
      </c>
      <c r="B24" s="4" t="inlineStr">
        <is>
          <t>sports_centre</t>
        </is>
      </c>
      <c r="C24" s="4" t="inlineStr">
        <is>
          <t>Schwermannstraße</t>
        </is>
      </c>
      <c r="D24" s="4" t="inlineStr">
        <is>
          <t>45</t>
        </is>
      </c>
      <c r="E24" s="13" t="n">
        <v>1142.7</v>
      </c>
      <c r="F24" s="12" t="n">
        <v>0.04999542236328125</v>
      </c>
      <c r="G24" s="4" t="n">
        <v>0</v>
      </c>
      <c r="H24" s="4">
        <f>IF(OR(N(F24)&gt;=0.5,G24&gt;=4),3,IF(OR(N(F24)&gt;=0.3,G24=3),2,IF(OR(N(F24)&gt;=0.1,G24&gt;=1),1,0)))</f>
        <v/>
      </c>
      <c r="I24" s="4">
        <f>CHOOSE(H24+1,"Kein Risiko","Gering","Mittel","Hoch")</f>
        <v/>
      </c>
    </row>
    <row r="25">
      <c r="A25" s="4" t="n">
        <v>21</v>
      </c>
      <c r="B25" s="4" t="inlineStr">
        <is>
          <t>apartments</t>
        </is>
      </c>
      <c r="C25" s="4" t="inlineStr">
        <is>
          <t>Byfanger Straße</t>
        </is>
      </c>
      <c r="D25" s="4" t="inlineStr">
        <is>
          <t>34</t>
        </is>
      </c>
      <c r="E25" s="13" t="n">
        <v>177.8</v>
      </c>
      <c r="F25" s="12" t="n">
        <v>0</v>
      </c>
      <c r="G25" s="4" t="n">
        <v>5</v>
      </c>
      <c r="H25" s="4">
        <f>IF(OR(N(F25)&gt;=0.5,G25&gt;=4),3,IF(OR(N(F25)&gt;=0.3,G25=3),2,IF(OR(N(F25)&gt;=0.1,G25&gt;=1),1,0)))</f>
        <v/>
      </c>
      <c r="I25" s="4">
        <f>CHOOSE(H25+1,"Kein Risiko","Gering","Mittel","Hoch")</f>
        <v/>
      </c>
    </row>
    <row r="26">
      <c r="A26" s="4" t="n">
        <v>22</v>
      </c>
      <c r="B26" s="4" t="inlineStr">
        <is>
          <t>apartments</t>
        </is>
      </c>
      <c r="C26" s="4" t="inlineStr">
        <is>
          <t>Dixbäume</t>
        </is>
      </c>
      <c r="D26" s="4" t="inlineStr">
        <is>
          <t>83</t>
        </is>
      </c>
      <c r="E26" s="13" t="n">
        <v>137.7</v>
      </c>
      <c r="F26" s="12" t="n">
        <v>0</v>
      </c>
      <c r="G26" s="4" t="n">
        <v>2</v>
      </c>
      <c r="H26" s="4">
        <f>IF(OR(N(F26)&gt;=0.5,G26&gt;=4),3,IF(OR(N(F26)&gt;=0.3,G26=3),2,IF(OR(N(F26)&gt;=0.1,G26&gt;=1),1,0)))</f>
        <v/>
      </c>
      <c r="I26" s="4">
        <f>CHOOSE(H26+1,"Kein Risiko","Gering","Mittel","Hoch")</f>
        <v/>
      </c>
    </row>
    <row r="27">
      <c r="A27" s="4" t="n">
        <v>23</v>
      </c>
      <c r="B27" s="4" t="inlineStr">
        <is>
          <t>church</t>
        </is>
      </c>
      <c r="C27" s="4" t="inlineStr">
        <is>
          <t>Dilldorfer Straße</t>
        </is>
      </c>
      <c r="D27" s="4" t="inlineStr">
        <is>
          <t>34</t>
        </is>
      </c>
      <c r="E27" s="13" t="n">
        <v>837.6</v>
      </c>
      <c r="F27" s="12" t="n">
        <v>0.01000213623046875</v>
      </c>
      <c r="G27" s="4" t="n">
        <v>0</v>
      </c>
      <c r="H27" s="4">
        <f>IF(OR(N(F27)&gt;=0.5,G27&gt;=4),3,IF(OR(N(F27)&gt;=0.3,G27=3),2,IF(OR(N(F27)&gt;=0.1,G27&gt;=1),1,0)))</f>
        <v/>
      </c>
      <c r="I27" s="4">
        <f>CHOOSE(H27+1,"Kein Risiko","Gering","Mittel","Hoch")</f>
        <v/>
      </c>
    </row>
    <row r="28">
      <c r="A28" s="4" t="n">
        <v>24</v>
      </c>
      <c r="B28" s="4" t="inlineStr">
        <is>
          <t>yes</t>
        </is>
      </c>
      <c r="C28" s="4" t="inlineStr">
        <is>
          <t>Eisenhammerweg</t>
        </is>
      </c>
      <c r="D28" s="4" t="inlineStr">
        <is>
          <t>25a</t>
        </is>
      </c>
      <c r="E28" s="13" t="n">
        <v>72.59999999999999</v>
      </c>
      <c r="F28" s="12" t="n">
        <v>0</v>
      </c>
      <c r="G28" s="4" t="n">
        <v>1</v>
      </c>
      <c r="H28" s="4">
        <f>IF(OR(N(F28)&gt;=0.5,G28&gt;=4),3,IF(OR(N(F28)&gt;=0.3,G28=3),2,IF(OR(N(F28)&gt;=0.1,G28&gt;=1),1,0)))</f>
        <v/>
      </c>
      <c r="I28" s="4">
        <f>CHOOSE(H28+1,"Kein Risiko","Gering","Mittel","Hoch")</f>
        <v/>
      </c>
    </row>
    <row r="29">
      <c r="A29" s="4" t="n">
        <v>25</v>
      </c>
      <c r="B29" s="4" t="inlineStr">
        <is>
          <t>office</t>
        </is>
      </c>
      <c r="C29" s="4" t="inlineStr">
        <is>
          <t>Deilbachtal</t>
        </is>
      </c>
      <c r="D29" s="4" t="inlineStr">
        <is>
          <t>173</t>
        </is>
      </c>
      <c r="E29" s="13" t="n">
        <v>2625.9</v>
      </c>
      <c r="F29" s="12" t="n"/>
      <c r="G29" s="4" t="n">
        <v>0</v>
      </c>
      <c r="H29" s="4">
        <f>IF(OR(N(F29)&gt;=0.5,G29&gt;=4),3,IF(OR(N(F29)&gt;=0.3,G29=3),2,IF(OR(N(F29)&gt;=0.1,G29&gt;=1),1,0)))</f>
        <v/>
      </c>
      <c r="I29" s="4">
        <f>CHOOSE(H29+1,"Kein Risiko","Gering","Mittel","Hoch")</f>
        <v/>
      </c>
    </row>
    <row r="30">
      <c r="A30" s="4" t="n">
        <v>26</v>
      </c>
      <c r="B30" s="4" t="inlineStr">
        <is>
          <t>yes</t>
        </is>
      </c>
      <c r="C30" s="4" t="inlineStr">
        <is>
          <t>Kampmannbrücke</t>
        </is>
      </c>
      <c r="D30" s="4" t="inlineStr">
        <is>
          <t>37</t>
        </is>
      </c>
      <c r="E30" s="13" t="n">
        <v>62.8</v>
      </c>
      <c r="F30" s="12" t="n">
        <v>0.2000007629394531</v>
      </c>
      <c r="G30" s="4" t="n">
        <v>0</v>
      </c>
      <c r="H30" s="4">
        <f>IF(OR(N(F30)&gt;=0.5,G30&gt;=4),3,IF(OR(N(F30)&gt;=0.3,G30=3),2,IF(OR(N(F30)&gt;=0.1,G30&gt;=1),1,0)))</f>
        <v/>
      </c>
      <c r="I30" s="4">
        <f>CHOOSE(H30+1,"Kein Risiko","Gering","Mittel","Hoch")</f>
        <v/>
      </c>
    </row>
    <row r="31">
      <c r="A31" s="4" t="n">
        <v>27</v>
      </c>
      <c r="B31" s="4" t="inlineStr">
        <is>
          <t>parking</t>
        </is>
      </c>
      <c r="C31" s="4" t="inlineStr"/>
      <c r="D31" s="4" t="inlineStr"/>
      <c r="E31" s="13" t="n">
        <v>2328.4</v>
      </c>
      <c r="F31" s="12" t="n">
        <v>0.05999755859375</v>
      </c>
      <c r="G31" s="4" t="n">
        <v>1</v>
      </c>
      <c r="H31" s="4">
        <f>IF(OR(N(F31)&gt;=0.5,G31&gt;=4),3,IF(OR(N(F31)&gt;=0.3,G31=3),2,IF(OR(N(F31)&gt;=0.1,G31&gt;=1),1,0)))</f>
        <v/>
      </c>
      <c r="I31" s="4">
        <f>CHOOSE(H31+1,"Kein Risiko","Gering","Mittel","Hoch")</f>
        <v/>
      </c>
    </row>
    <row r="32">
      <c r="A32" s="4" t="n">
        <v>28</v>
      </c>
      <c r="B32" s="4" t="inlineStr">
        <is>
          <t>yes</t>
        </is>
      </c>
      <c r="C32" s="4" t="inlineStr">
        <is>
          <t>Frauenstein</t>
        </is>
      </c>
      <c r="D32" s="4" t="inlineStr">
        <is>
          <t>121</t>
        </is>
      </c>
      <c r="E32" s="13" t="n">
        <v>113.8</v>
      </c>
      <c r="F32" s="12" t="n">
        <v>0.0200042724609375</v>
      </c>
      <c r="G32" s="4" t="n">
        <v>0</v>
      </c>
      <c r="H32" s="4">
        <f>IF(OR(N(F32)&gt;=0.5,G32&gt;=4),3,IF(OR(N(F32)&gt;=0.3,G32=3),2,IF(OR(N(F32)&gt;=0.1,G32&gt;=1),1,0)))</f>
        <v/>
      </c>
      <c r="I32" s="4">
        <f>CHOOSE(H32+1,"Kein Risiko","Gering","Mittel","Hoch")</f>
        <v/>
      </c>
    </row>
    <row r="33">
      <c r="A33" s="4" t="n">
        <v>29</v>
      </c>
      <c r="B33" s="4" t="inlineStr">
        <is>
          <t>commercial</t>
        </is>
      </c>
      <c r="C33" s="4" t="inlineStr">
        <is>
          <t>Kupferdreher Straße</t>
        </is>
      </c>
      <c r="D33" s="4" t="inlineStr">
        <is>
          <t>137</t>
        </is>
      </c>
      <c r="E33" s="13" t="n">
        <v>503.2</v>
      </c>
      <c r="F33" s="12" t="n">
        <v>0.2000007629394531</v>
      </c>
      <c r="G33" s="4" t="n">
        <v>2</v>
      </c>
      <c r="H33" s="4">
        <f>IF(OR(N(F33)&gt;=0.5,G33&gt;=4),3,IF(OR(N(F33)&gt;=0.3,G33=3),2,IF(OR(N(F33)&gt;=0.1,G33&gt;=1),1,0)))</f>
        <v/>
      </c>
      <c r="I33" s="4">
        <f>CHOOSE(H33+1,"Kein Risiko","Gering","Mittel","Hoch")</f>
        <v/>
      </c>
    </row>
    <row r="34">
      <c r="A34" s="4" t="n">
        <v>30</v>
      </c>
      <c r="B34" s="4" t="inlineStr">
        <is>
          <t>yes</t>
        </is>
      </c>
      <c r="C34" s="4" t="inlineStr">
        <is>
          <t>Kupferdreher Straße</t>
        </is>
      </c>
      <c r="D34" s="4" t="inlineStr">
        <is>
          <t>41</t>
        </is>
      </c>
      <c r="E34" s="13" t="n">
        <v>1294.6</v>
      </c>
      <c r="F34" s="12" t="n">
        <v>0.04000091552734375</v>
      </c>
      <c r="G34" s="4" t="n">
        <v>0</v>
      </c>
      <c r="H34" s="4">
        <f>IF(OR(N(F34)&gt;=0.5,G34&gt;=4),3,IF(OR(N(F34)&gt;=0.3,G34=3),2,IF(OR(N(F34)&gt;=0.1,G34&gt;=1),1,0)))</f>
        <v/>
      </c>
      <c r="I34" s="4">
        <f>CHOOSE(H34+1,"Kein Risiko","Gering","Mittel","Hoch")</f>
        <v/>
      </c>
    </row>
    <row r="35">
      <c r="A35" s="4" t="n">
        <v>31</v>
      </c>
      <c r="B35" s="4" t="inlineStr">
        <is>
          <t>yes</t>
        </is>
      </c>
      <c r="C35" s="4" t="inlineStr">
        <is>
          <t>Kupferdreher Straße</t>
        </is>
      </c>
      <c r="D35" s="4" t="inlineStr">
        <is>
          <t>43</t>
        </is>
      </c>
      <c r="E35" s="13" t="n">
        <v>1381.6</v>
      </c>
      <c r="F35" s="12" t="n">
        <v>0.2399978637695312</v>
      </c>
      <c r="G35" s="4" t="n">
        <v>2</v>
      </c>
      <c r="H35" s="4">
        <f>IF(OR(N(F35)&gt;=0.5,G35&gt;=4),3,IF(OR(N(F35)&gt;=0.3,G35=3),2,IF(OR(N(F35)&gt;=0.1,G35&gt;=1),1,0)))</f>
        <v/>
      </c>
      <c r="I35" s="4">
        <f>CHOOSE(H35+1,"Kein Risiko","Gering","Mittel","Hoch")</f>
        <v/>
      </c>
    </row>
    <row r="36">
      <c r="A36" s="4" t="n">
        <v>32</v>
      </c>
      <c r="B36" s="4" t="inlineStr">
        <is>
          <t>yes</t>
        </is>
      </c>
      <c r="C36" s="4" t="inlineStr"/>
      <c r="D36" s="4" t="inlineStr"/>
      <c r="E36" s="13" t="n">
        <v>265.8</v>
      </c>
      <c r="F36" s="12" t="n">
        <v>0</v>
      </c>
      <c r="G36" s="4" t="n">
        <v>0</v>
      </c>
      <c r="H36" s="4">
        <f>IF(OR(N(F36)&gt;=0.5,G36&gt;=4),3,IF(OR(N(F36)&gt;=0.3,G36=3),2,IF(OR(N(F36)&gt;=0.1,G36&gt;=1),1,0)))</f>
        <v/>
      </c>
      <c r="I36" s="4">
        <f>CHOOSE(H36+1,"Kein Risiko","Gering","Mittel","Hoch")</f>
        <v/>
      </c>
    </row>
    <row r="37">
      <c r="A37" s="4" t="n">
        <v>33</v>
      </c>
      <c r="B37" s="4" t="inlineStr">
        <is>
          <t>apartments</t>
        </is>
      </c>
      <c r="C37" s="4" t="inlineStr">
        <is>
          <t>Byfanger Straße</t>
        </is>
      </c>
      <c r="D37" s="4" t="inlineStr">
        <is>
          <t>8</t>
        </is>
      </c>
      <c r="E37" s="13" t="n">
        <v>236.1</v>
      </c>
      <c r="F37" s="12" t="n">
        <v>0</v>
      </c>
      <c r="G37" s="4" t="n">
        <v>0</v>
      </c>
      <c r="H37" s="4">
        <f>IF(OR(N(F37)&gt;=0.5,G37&gt;=4),3,IF(OR(N(F37)&gt;=0.3,G37=3),2,IF(OR(N(F37)&gt;=0.1,G37&gt;=1),1,0)))</f>
        <v/>
      </c>
      <c r="I37" s="4">
        <f>CHOOSE(H37+1,"Kein Risiko","Gering","Mittel","Hoch")</f>
        <v/>
      </c>
    </row>
    <row r="38">
      <c r="A38" s="4" t="n">
        <v>34</v>
      </c>
      <c r="B38" s="4" t="inlineStr">
        <is>
          <t>yes</t>
        </is>
      </c>
      <c r="C38" s="4" t="inlineStr">
        <is>
          <t>Hardenbergufer</t>
        </is>
      </c>
      <c r="D38" s="4" t="inlineStr"/>
      <c r="E38" s="13" t="n">
        <v>48.2</v>
      </c>
      <c r="F38" s="12" t="n">
        <v>0</v>
      </c>
      <c r="G38" s="4" t="n">
        <v>1</v>
      </c>
      <c r="H38" s="4">
        <f>IF(OR(N(F38)&gt;=0.5,G38&gt;=4),3,IF(OR(N(F38)&gt;=0.3,G38=3),2,IF(OR(N(F38)&gt;=0.1,G38&gt;=1),1,0)))</f>
        <v/>
      </c>
      <c r="I38" s="4">
        <f>CHOOSE(H38+1,"Kein Risiko","Gering","Mittel","Hoch")</f>
        <v/>
      </c>
    </row>
    <row r="39">
      <c r="A39" s="4" t="n">
        <v>35</v>
      </c>
      <c r="B39" s="4" t="inlineStr">
        <is>
          <t>school</t>
        </is>
      </c>
      <c r="C39" s="4" t="inlineStr">
        <is>
          <t>Prinz-Friedrich-Straße</t>
        </is>
      </c>
      <c r="D39" s="4" t="inlineStr">
        <is>
          <t>28a</t>
        </is>
      </c>
      <c r="E39" s="13" t="n">
        <v>1047.2</v>
      </c>
      <c r="F39" s="12" t="n">
        <v>0.01000213623046875</v>
      </c>
      <c r="G39" s="4" t="n">
        <v>0</v>
      </c>
      <c r="H39" s="4">
        <f>IF(OR(N(F39)&gt;=0.5,G39&gt;=4),3,IF(OR(N(F39)&gt;=0.3,G39=3),2,IF(OR(N(F39)&gt;=0.1,G39&gt;=1),1,0)))</f>
        <v/>
      </c>
      <c r="I39" s="4">
        <f>CHOOSE(H39+1,"Kein Risiko","Gering","Mittel","Hoch")</f>
        <v/>
      </c>
    </row>
    <row r="40">
      <c r="A40" s="4" t="n">
        <v>36</v>
      </c>
      <c r="B40" s="4" t="inlineStr">
        <is>
          <t>yes</t>
        </is>
      </c>
      <c r="C40" s="4" t="inlineStr">
        <is>
          <t>Prinz-Friedrich-Straße</t>
        </is>
      </c>
      <c r="D40" s="4" t="inlineStr">
        <is>
          <t>34</t>
        </is>
      </c>
      <c r="E40" s="13" t="n">
        <v>1332.8</v>
      </c>
      <c r="F40" s="12" t="n">
        <v>0.02000045776367188</v>
      </c>
      <c r="G40" s="4" t="n">
        <v>1</v>
      </c>
      <c r="H40" s="4">
        <f>IF(OR(N(F40)&gt;=0.5,G40&gt;=4),3,IF(OR(N(F40)&gt;=0.3,G40=3),2,IF(OR(N(F40)&gt;=0.1,G40&gt;=1),1,0)))</f>
        <v/>
      </c>
      <c r="I40" s="4">
        <f>CHOOSE(H40+1,"Kein Risiko","Gering","Mittel","Hoch")</f>
        <v/>
      </c>
    </row>
    <row r="41">
      <c r="A41" s="4" t="n">
        <v>37</v>
      </c>
      <c r="B41" s="4" t="inlineStr">
        <is>
          <t>industrial</t>
        </is>
      </c>
      <c r="C41" s="4" t="inlineStr">
        <is>
          <t>Prinz-Friedrich-Straße</t>
        </is>
      </c>
      <c r="D41" s="4" t="inlineStr">
        <is>
          <t>18</t>
        </is>
      </c>
      <c r="E41" s="13" t="n">
        <v>1085.1</v>
      </c>
      <c r="F41" s="12" t="n">
        <v>0.06999969482421875</v>
      </c>
      <c r="G41" s="4" t="n">
        <v>0</v>
      </c>
      <c r="H41" s="4">
        <f>IF(OR(N(F41)&gt;=0.5,G41&gt;=4),3,IF(OR(N(F41)&gt;=0.3,G41=3),2,IF(OR(N(F41)&gt;=0.1,G41&gt;=1),1,0)))</f>
        <v/>
      </c>
      <c r="I41" s="4">
        <f>CHOOSE(H41+1,"Kein Risiko","Gering","Mittel","Hoch")</f>
        <v/>
      </c>
    </row>
    <row r="42">
      <c r="A42" s="4" t="n">
        <v>38</v>
      </c>
      <c r="B42" s="4" t="inlineStr">
        <is>
          <t>industrial</t>
        </is>
      </c>
      <c r="C42" s="4" t="inlineStr">
        <is>
          <t>Prinz-Friedrich-Straße</t>
        </is>
      </c>
      <c r="D42" s="4" t="inlineStr">
        <is>
          <t>10</t>
        </is>
      </c>
      <c r="E42" s="13" t="n">
        <v>537.1</v>
      </c>
      <c r="F42" s="12" t="n">
        <v>0</v>
      </c>
      <c r="G42" s="4" t="n">
        <v>0</v>
      </c>
      <c r="H42" s="4">
        <f>IF(OR(N(F42)&gt;=0.5,G42&gt;=4),3,IF(OR(N(F42)&gt;=0.3,G42=3),2,IF(OR(N(F42)&gt;=0.1,G42&gt;=1),1,0)))</f>
        <v/>
      </c>
      <c r="I42" s="4">
        <f>CHOOSE(H42+1,"Kein Risiko","Gering","Mittel","Hoch")</f>
        <v/>
      </c>
    </row>
    <row r="43">
      <c r="A43" s="4" t="n">
        <v>39</v>
      </c>
      <c r="B43" s="4" t="inlineStr">
        <is>
          <t>yes</t>
        </is>
      </c>
      <c r="C43" s="4" t="inlineStr">
        <is>
          <t>Prinz-Friedrich-Straße</t>
        </is>
      </c>
      <c r="D43" s="4" t="inlineStr">
        <is>
          <t>26</t>
        </is>
      </c>
      <c r="E43" s="13" t="n">
        <v>450.9</v>
      </c>
      <c r="F43" s="12" t="n">
        <v>0.25</v>
      </c>
      <c r="G43" s="4" t="n">
        <v>1</v>
      </c>
      <c r="H43" s="4">
        <f>IF(OR(N(F43)&gt;=0.5,G43&gt;=4),3,IF(OR(N(F43)&gt;=0.3,G43=3),2,IF(OR(N(F43)&gt;=0.1,G43&gt;=1),1,0)))</f>
        <v/>
      </c>
      <c r="I43" s="4">
        <f>CHOOSE(H43+1,"Kein Risiko","Gering","Mittel","Hoch")</f>
        <v/>
      </c>
    </row>
    <row r="44">
      <c r="A44" s="4" t="n">
        <v>40</v>
      </c>
      <c r="B44" s="4" t="inlineStr">
        <is>
          <t>yes</t>
        </is>
      </c>
      <c r="C44" s="4" t="inlineStr">
        <is>
          <t>Prinz-Friedrich-Straße</t>
        </is>
      </c>
      <c r="D44" s="4" t="inlineStr">
        <is>
          <t>24b</t>
        </is>
      </c>
      <c r="E44" s="13" t="n">
        <v>109.8</v>
      </c>
      <c r="F44" s="12" t="n">
        <v>0.2599983215332031</v>
      </c>
      <c r="G44" s="4" t="n">
        <v>0</v>
      </c>
      <c r="H44" s="4">
        <f>IF(OR(N(F44)&gt;=0.5,G44&gt;=4),3,IF(OR(N(F44)&gt;=0.3,G44=3),2,IF(OR(N(F44)&gt;=0.1,G44&gt;=1),1,0)))</f>
        <v/>
      </c>
      <c r="I44" s="4">
        <f>CHOOSE(H44+1,"Kein Risiko","Gering","Mittel","Hoch")</f>
        <v/>
      </c>
    </row>
    <row r="45">
      <c r="A45" s="4" t="n">
        <v>41</v>
      </c>
      <c r="B45" s="4" t="inlineStr">
        <is>
          <t>industrial</t>
        </is>
      </c>
      <c r="C45" s="4" t="inlineStr">
        <is>
          <t>Prinz-Friedrich-Straße</t>
        </is>
      </c>
      <c r="D45" s="4" t="inlineStr">
        <is>
          <t>10</t>
        </is>
      </c>
      <c r="E45" s="13" t="n">
        <v>296.1</v>
      </c>
      <c r="F45" s="12" t="n">
        <v>0.009998321533203125</v>
      </c>
      <c r="G45" s="4" t="n">
        <v>0</v>
      </c>
      <c r="H45" s="4">
        <f>IF(OR(N(F45)&gt;=0.5,G45&gt;=4),3,IF(OR(N(F45)&gt;=0.3,G45=3),2,IF(OR(N(F45)&gt;=0.1,G45&gt;=1),1,0)))</f>
        <v/>
      </c>
      <c r="I45" s="4">
        <f>CHOOSE(H45+1,"Kein Risiko","Gering","Mittel","Hoch")</f>
        <v/>
      </c>
    </row>
    <row r="46">
      <c r="A46" s="4" t="n">
        <v>42</v>
      </c>
      <c r="B46" s="4" t="inlineStr">
        <is>
          <t>industrial</t>
        </is>
      </c>
      <c r="C46" s="4" t="inlineStr"/>
      <c r="D46" s="4" t="inlineStr"/>
      <c r="E46" s="13" t="n">
        <v>525.4</v>
      </c>
      <c r="F46" s="12" t="n">
        <v>0.2900009155273438</v>
      </c>
      <c r="G46" s="4" t="n">
        <v>0</v>
      </c>
      <c r="H46" s="4">
        <f>IF(OR(N(F46)&gt;=0.5,G46&gt;=4),3,IF(OR(N(F46)&gt;=0.3,G46=3),2,IF(OR(N(F46)&gt;=0.1,G46&gt;=1),1,0)))</f>
        <v/>
      </c>
      <c r="I46" s="4">
        <f>CHOOSE(H46+1,"Kein Risiko","Gering","Mittel","Hoch")</f>
        <v/>
      </c>
    </row>
    <row r="47">
      <c r="A47" s="4" t="n">
        <v>43</v>
      </c>
      <c r="B47" s="4" t="inlineStr">
        <is>
          <t>apartments</t>
        </is>
      </c>
      <c r="C47" s="4" t="inlineStr">
        <is>
          <t>Prinz-Friedrich-Straße</t>
        </is>
      </c>
      <c r="D47" s="4" t="inlineStr">
        <is>
          <t>14</t>
        </is>
      </c>
      <c r="E47" s="13" t="n">
        <v>251.7</v>
      </c>
      <c r="F47" s="12" t="n">
        <v>0.1899986267089844</v>
      </c>
      <c r="G47" s="4" t="n">
        <v>0</v>
      </c>
      <c r="H47" s="4">
        <f>IF(OR(N(F47)&gt;=0.5,G47&gt;=4),3,IF(OR(N(F47)&gt;=0.3,G47=3),2,IF(OR(N(F47)&gt;=0.1,G47&gt;=1),1,0)))</f>
        <v/>
      </c>
      <c r="I47" s="4">
        <f>CHOOSE(H47+1,"Kein Risiko","Gering","Mittel","Hoch")</f>
        <v/>
      </c>
    </row>
    <row r="48">
      <c r="A48" s="4" t="n">
        <v>44</v>
      </c>
      <c r="B48" s="4" t="inlineStr">
        <is>
          <t>industrial</t>
        </is>
      </c>
      <c r="C48" s="4" t="inlineStr">
        <is>
          <t>Prinz-Friedrich-Straße</t>
        </is>
      </c>
      <c r="D48" s="4" t="inlineStr">
        <is>
          <t>24a</t>
        </is>
      </c>
      <c r="E48" s="13" t="n">
        <v>156</v>
      </c>
      <c r="F48" s="12" t="n">
        <v>0</v>
      </c>
      <c r="G48" s="4" t="n">
        <v>0</v>
      </c>
      <c r="H48" s="4">
        <f>IF(OR(N(F48)&gt;=0.5,G48&gt;=4),3,IF(OR(N(F48)&gt;=0.3,G48=3),2,IF(OR(N(F48)&gt;=0.1,G48&gt;=1),1,0)))</f>
        <v/>
      </c>
      <c r="I48" s="4">
        <f>CHOOSE(H48+1,"Kein Risiko","Gering","Mittel","Hoch")</f>
        <v/>
      </c>
    </row>
    <row r="49">
      <c r="A49" s="4" t="n">
        <v>45</v>
      </c>
      <c r="B49" s="4" t="inlineStr">
        <is>
          <t>industrial</t>
        </is>
      </c>
      <c r="C49" s="4" t="inlineStr"/>
      <c r="D49" s="4" t="inlineStr"/>
      <c r="E49" s="13" t="n">
        <v>147.2</v>
      </c>
      <c r="F49" s="12" t="n">
        <v>0.04000091552734375</v>
      </c>
      <c r="G49" s="4" t="n">
        <v>0</v>
      </c>
      <c r="H49" s="4">
        <f>IF(OR(N(F49)&gt;=0.5,G49&gt;=4),3,IF(OR(N(F49)&gt;=0.3,G49=3),2,IF(OR(N(F49)&gt;=0.1,G49&gt;=1),1,0)))</f>
        <v/>
      </c>
      <c r="I49" s="4">
        <f>CHOOSE(H49+1,"Kein Risiko","Gering","Mittel","Hoch")</f>
        <v/>
      </c>
    </row>
    <row r="50">
      <c r="A50" s="4" t="n">
        <v>46</v>
      </c>
      <c r="B50" s="4" t="inlineStr">
        <is>
          <t>yes</t>
        </is>
      </c>
      <c r="C50" s="4" t="inlineStr">
        <is>
          <t>Prinz-Friedrich-Straße</t>
        </is>
      </c>
      <c r="D50" s="4" t="inlineStr">
        <is>
          <t>3</t>
        </is>
      </c>
      <c r="E50" s="13" t="n">
        <v>1074.9</v>
      </c>
      <c r="F50" s="12" t="n">
        <v>2.659999847412109</v>
      </c>
      <c r="G50" s="4" t="n">
        <v>5</v>
      </c>
      <c r="H50" s="4">
        <f>IF(OR(N(F50)&gt;=0.5,G50&gt;=4),3,IF(OR(N(F50)&gt;=0.3,G50=3),2,IF(OR(N(F50)&gt;=0.1,G50&gt;=1),1,0)))</f>
        <v/>
      </c>
      <c r="I50" s="4">
        <f>CHOOSE(H50+1,"Kein Risiko","Gering","Mittel","Hoch")</f>
        <v/>
      </c>
    </row>
    <row r="51">
      <c r="A51" s="4" t="n">
        <v>47</v>
      </c>
      <c r="B51" s="4" t="inlineStr">
        <is>
          <t>yes</t>
        </is>
      </c>
      <c r="C51" s="4" t="inlineStr"/>
      <c r="D51" s="4" t="inlineStr"/>
      <c r="E51" s="13" t="n">
        <v>479.7</v>
      </c>
      <c r="F51" s="12" t="n">
        <v>1.329998016357422</v>
      </c>
      <c r="G51" s="4" t="n">
        <v>2</v>
      </c>
      <c r="H51" s="4">
        <f>IF(OR(N(F51)&gt;=0.5,G51&gt;=4),3,IF(OR(N(F51)&gt;=0.3,G51=3),2,IF(OR(N(F51)&gt;=0.1,G51&gt;=1),1,0)))</f>
        <v/>
      </c>
      <c r="I51" s="4">
        <f>CHOOSE(H51+1,"Kein Risiko","Gering","Mittel","Hoch")</f>
        <v/>
      </c>
    </row>
    <row r="52">
      <c r="A52" s="4" t="n">
        <v>48</v>
      </c>
      <c r="B52" s="4" t="inlineStr">
        <is>
          <t>commercial</t>
        </is>
      </c>
      <c r="C52" s="4" t="inlineStr">
        <is>
          <t>Hinsbecker Löh</t>
        </is>
      </c>
      <c r="D52" s="4" t="inlineStr">
        <is>
          <t>46</t>
        </is>
      </c>
      <c r="E52" s="13" t="n">
        <v>117.6</v>
      </c>
      <c r="F52" s="12" t="n">
        <v>0.06000137329101562</v>
      </c>
      <c r="G52" s="4" t="n">
        <v>0</v>
      </c>
      <c r="H52" s="4">
        <f>IF(OR(N(F52)&gt;=0.5,G52&gt;=4),3,IF(OR(N(F52)&gt;=0.3,G52=3),2,IF(OR(N(F52)&gt;=0.1,G52&gt;=1),1,0)))</f>
        <v/>
      </c>
      <c r="I52" s="4">
        <f>CHOOSE(H52+1,"Kein Risiko","Gering","Mittel","Hoch")</f>
        <v/>
      </c>
    </row>
    <row r="53">
      <c r="A53" s="4" t="n">
        <v>49</v>
      </c>
      <c r="B53" s="4" t="inlineStr">
        <is>
          <t>commercial</t>
        </is>
      </c>
      <c r="C53" s="4" t="inlineStr">
        <is>
          <t>Hinsbecker Löh</t>
        </is>
      </c>
      <c r="D53" s="4" t="inlineStr">
        <is>
          <t>44</t>
        </is>
      </c>
      <c r="E53" s="13" t="n">
        <v>397.9</v>
      </c>
      <c r="F53" s="12" t="n">
        <v>0.06999969482421875</v>
      </c>
      <c r="G53" s="4" t="n">
        <v>1</v>
      </c>
      <c r="H53" s="4">
        <f>IF(OR(N(F53)&gt;=0.5,G53&gt;=4),3,IF(OR(N(F53)&gt;=0.3,G53=3),2,IF(OR(N(F53)&gt;=0.1,G53&gt;=1),1,0)))</f>
        <v/>
      </c>
      <c r="I53" s="4">
        <f>CHOOSE(H53+1,"Kein Risiko","Gering","Mittel","Hoch")</f>
        <v/>
      </c>
    </row>
    <row r="54">
      <c r="A54" s="4" t="n">
        <v>50</v>
      </c>
      <c r="B54" s="4" t="inlineStr">
        <is>
          <t>yes</t>
        </is>
      </c>
      <c r="C54" s="4" t="inlineStr">
        <is>
          <t>Hinsbecker Löh</t>
        </is>
      </c>
      <c r="D54" s="4" t="inlineStr">
        <is>
          <t>32</t>
        </is>
      </c>
      <c r="E54" s="13" t="n">
        <v>500.6</v>
      </c>
      <c r="F54" s="12" t="n">
        <v>0.029998779296875</v>
      </c>
      <c r="G54" s="4" t="n">
        <v>1</v>
      </c>
      <c r="H54" s="4">
        <f>IF(OR(N(F54)&gt;=0.5,G54&gt;=4),3,IF(OR(N(F54)&gt;=0.3,G54=3),2,IF(OR(N(F54)&gt;=0.1,G54&gt;=1),1,0)))</f>
        <v/>
      </c>
      <c r="I54" s="4">
        <f>CHOOSE(H54+1,"Kein Risiko","Gering","Mittel","Hoch")</f>
        <v/>
      </c>
    </row>
    <row r="55">
      <c r="A55" s="4" t="n">
        <v>51</v>
      </c>
      <c r="B55" s="4" t="inlineStr">
        <is>
          <t>yes</t>
        </is>
      </c>
      <c r="C55" s="4" t="inlineStr">
        <is>
          <t>Hinsbecker Löh</t>
        </is>
      </c>
      <c r="D55" s="4" t="inlineStr">
        <is>
          <t>30</t>
        </is>
      </c>
      <c r="E55" s="13" t="n">
        <v>324</v>
      </c>
      <c r="F55" s="12" t="n">
        <v>1.360000610351562</v>
      </c>
      <c r="G55" s="4" t="n">
        <v>0</v>
      </c>
      <c r="H55" s="4">
        <f>IF(OR(N(F55)&gt;=0.5,G55&gt;=4),3,IF(OR(N(F55)&gt;=0.3,G55=3),2,IF(OR(N(F55)&gt;=0.1,G55&gt;=1),1,0)))</f>
        <v/>
      </c>
      <c r="I55" s="4">
        <f>CHOOSE(H55+1,"Kein Risiko","Gering","Mittel","Hoch")</f>
        <v/>
      </c>
    </row>
    <row r="56">
      <c r="A56" s="4" t="n">
        <v>52</v>
      </c>
      <c r="B56" s="4" t="inlineStr">
        <is>
          <t>yes</t>
        </is>
      </c>
      <c r="C56" s="4" t="inlineStr">
        <is>
          <t>Hinsbecker Löh</t>
        </is>
      </c>
      <c r="D56" s="4" t="inlineStr">
        <is>
          <t>28</t>
        </is>
      </c>
      <c r="E56" s="13" t="n">
        <v>472.3</v>
      </c>
      <c r="F56" s="12" t="n">
        <v>1.610000610351562</v>
      </c>
      <c r="G56" s="4" t="n">
        <v>0</v>
      </c>
      <c r="H56" s="4">
        <f>IF(OR(N(F56)&gt;=0.5,G56&gt;=4),3,IF(OR(N(F56)&gt;=0.3,G56=3),2,IF(OR(N(F56)&gt;=0.1,G56&gt;=1),1,0)))</f>
        <v/>
      </c>
      <c r="I56" s="4">
        <f>CHOOSE(H56+1,"Kein Risiko","Gering","Mittel","Hoch")</f>
        <v/>
      </c>
    </row>
    <row r="57">
      <c r="A57" s="4" t="n">
        <v>53</v>
      </c>
      <c r="B57" s="4" t="inlineStr">
        <is>
          <t>yes</t>
        </is>
      </c>
      <c r="C57" s="4" t="inlineStr"/>
      <c r="D57" s="4" t="inlineStr"/>
      <c r="E57" s="13" t="n">
        <v>380.8</v>
      </c>
      <c r="F57" s="12" t="n">
        <v>0.7999992370605469</v>
      </c>
      <c r="G57" s="4" t="n">
        <v>1</v>
      </c>
      <c r="H57" s="4">
        <f>IF(OR(N(F57)&gt;=0.5,G57&gt;=4),3,IF(OR(N(F57)&gt;=0.3,G57=3),2,IF(OR(N(F57)&gt;=0.1,G57&gt;=1),1,0)))</f>
        <v/>
      </c>
      <c r="I57" s="4">
        <f>CHOOSE(H57+1,"Kein Risiko","Gering","Mittel","Hoch")</f>
        <v/>
      </c>
    </row>
    <row r="58">
      <c r="A58" s="4" t="n">
        <v>54</v>
      </c>
      <c r="B58" s="4" t="inlineStr">
        <is>
          <t>yes</t>
        </is>
      </c>
      <c r="C58" s="4" t="inlineStr">
        <is>
          <t>Hinsbecker Löh</t>
        </is>
      </c>
      <c r="D58" s="4" t="inlineStr">
        <is>
          <t>25</t>
        </is>
      </c>
      <c r="E58" s="13" t="n">
        <v>231.6</v>
      </c>
      <c r="F58" s="12" t="n">
        <v>0.8400001525878906</v>
      </c>
      <c r="G58" s="4" t="n">
        <v>1</v>
      </c>
      <c r="H58" s="4">
        <f>IF(OR(N(F58)&gt;=0.5,G58&gt;=4),3,IF(OR(N(F58)&gt;=0.3,G58=3),2,IF(OR(N(F58)&gt;=0.1,G58&gt;=1),1,0)))</f>
        <v/>
      </c>
      <c r="I58" s="4">
        <f>CHOOSE(H58+1,"Kein Risiko","Gering","Mittel","Hoch")</f>
        <v/>
      </c>
    </row>
    <row r="59">
      <c r="A59" s="4" t="n">
        <v>55</v>
      </c>
      <c r="B59" s="4" t="inlineStr">
        <is>
          <t>yes</t>
        </is>
      </c>
      <c r="C59" s="4" t="inlineStr">
        <is>
          <t>Hinsbecker Löh</t>
        </is>
      </c>
      <c r="D59" s="4" t="inlineStr">
        <is>
          <t>22</t>
        </is>
      </c>
      <c r="E59" s="13" t="n">
        <v>162.9</v>
      </c>
      <c r="F59" s="12" t="n">
        <v>0.4500007629394531</v>
      </c>
      <c r="G59" s="4" t="n">
        <v>0</v>
      </c>
      <c r="H59" s="4">
        <f>IF(OR(N(F59)&gt;=0.5,G59&gt;=4),3,IF(OR(N(F59)&gt;=0.3,G59=3),2,IF(OR(N(F59)&gt;=0.1,G59&gt;=1),1,0)))</f>
        <v/>
      </c>
      <c r="I59" s="4">
        <f>CHOOSE(H59+1,"Kein Risiko","Gering","Mittel","Hoch")</f>
        <v/>
      </c>
    </row>
    <row r="60">
      <c r="A60" s="4" t="n">
        <v>56</v>
      </c>
      <c r="B60" s="4" t="inlineStr">
        <is>
          <t>yes</t>
        </is>
      </c>
      <c r="C60" s="4" t="inlineStr">
        <is>
          <t>Hinsbecker Löh</t>
        </is>
      </c>
      <c r="D60" s="4" t="inlineStr">
        <is>
          <t>23</t>
        </is>
      </c>
      <c r="E60" s="13" t="n">
        <v>226.2</v>
      </c>
      <c r="F60" s="12" t="n">
        <v>0.9399986267089844</v>
      </c>
      <c r="G60" s="4" t="n">
        <v>1</v>
      </c>
      <c r="H60" s="4">
        <f>IF(OR(N(F60)&gt;=0.5,G60&gt;=4),3,IF(OR(N(F60)&gt;=0.3,G60=3),2,IF(OR(N(F60)&gt;=0.1,G60&gt;=1),1,0)))</f>
        <v/>
      </c>
      <c r="I60" s="4">
        <f>CHOOSE(H60+1,"Kein Risiko","Gering","Mittel","Hoch")</f>
        <v/>
      </c>
    </row>
    <row r="61">
      <c r="A61" s="4" t="n">
        <v>57</v>
      </c>
      <c r="B61" s="4" t="inlineStr">
        <is>
          <t>yes</t>
        </is>
      </c>
      <c r="C61" s="4" t="inlineStr">
        <is>
          <t>Hinsbecker Löh</t>
        </is>
      </c>
      <c r="D61" s="4" t="inlineStr">
        <is>
          <t>21</t>
        </is>
      </c>
      <c r="E61" s="13" t="n">
        <v>218.7</v>
      </c>
      <c r="F61" s="12" t="n">
        <v>1</v>
      </c>
      <c r="G61" s="4" t="n">
        <v>1</v>
      </c>
      <c r="H61" s="4">
        <f>IF(OR(N(F61)&gt;=0.5,G61&gt;=4),3,IF(OR(N(F61)&gt;=0.3,G61=3),2,IF(OR(N(F61)&gt;=0.1,G61&gt;=1),1,0)))</f>
        <v/>
      </c>
      <c r="I61" s="4">
        <f>CHOOSE(H61+1,"Kein Risiko","Gering","Mittel","Hoch")</f>
        <v/>
      </c>
    </row>
    <row r="62">
      <c r="A62" s="4" t="n">
        <v>58</v>
      </c>
      <c r="B62" s="4" t="inlineStr">
        <is>
          <t>supermarket</t>
        </is>
      </c>
      <c r="C62" s="4" t="inlineStr">
        <is>
          <t>Hinsbecker Löh</t>
        </is>
      </c>
      <c r="D62" s="4" t="inlineStr">
        <is>
          <t>16</t>
        </is>
      </c>
      <c r="E62" s="13" t="n">
        <v>399.7</v>
      </c>
      <c r="F62" s="12" t="n">
        <v>0.6599998474121094</v>
      </c>
      <c r="G62" s="4" t="n">
        <v>0</v>
      </c>
      <c r="H62" s="4">
        <f>IF(OR(N(F62)&gt;=0.5,G62&gt;=4),3,IF(OR(N(F62)&gt;=0.3,G62=3),2,IF(OR(N(F62)&gt;=0.1,G62&gt;=1),1,0)))</f>
        <v/>
      </c>
      <c r="I62" s="4">
        <f>CHOOSE(H62+1,"Kein Risiko","Gering","Mittel","Hoch")</f>
        <v/>
      </c>
    </row>
    <row r="63">
      <c r="A63" s="4" t="n">
        <v>59</v>
      </c>
      <c r="B63" s="4" t="inlineStr">
        <is>
          <t>retail</t>
        </is>
      </c>
      <c r="C63" s="4" t="inlineStr">
        <is>
          <t>Hinsbecker Löh</t>
        </is>
      </c>
      <c r="D63" s="4" t="inlineStr">
        <is>
          <t>16</t>
        </is>
      </c>
      <c r="E63" s="13" t="n">
        <v>1373.4</v>
      </c>
      <c r="F63" s="12" t="n">
        <v>0.2000007629394531</v>
      </c>
      <c r="G63" s="4" t="n">
        <v>3</v>
      </c>
      <c r="H63" s="4">
        <f>IF(OR(N(F63)&gt;=0.5,G63&gt;=4),3,IF(OR(N(F63)&gt;=0.3,G63=3),2,IF(OR(N(F63)&gt;=0.1,G63&gt;=1),1,0)))</f>
        <v/>
      </c>
      <c r="I63" s="4">
        <f>CHOOSE(H63+1,"Kein Risiko","Gering","Mittel","Hoch")</f>
        <v/>
      </c>
    </row>
    <row r="64">
      <c r="A64" s="4" t="n">
        <v>60</v>
      </c>
      <c r="B64" s="4" t="inlineStr">
        <is>
          <t>yes</t>
        </is>
      </c>
      <c r="C64" s="4" t="inlineStr">
        <is>
          <t>Hinsbecker Löh</t>
        </is>
      </c>
      <c r="D64" s="4" t="inlineStr">
        <is>
          <t>14</t>
        </is>
      </c>
      <c r="E64" s="13" t="n">
        <v>292.6</v>
      </c>
      <c r="F64" s="12" t="n">
        <v>0.9500007629394531</v>
      </c>
      <c r="G64" s="4" t="n">
        <v>3</v>
      </c>
      <c r="H64" s="4">
        <f>IF(OR(N(F64)&gt;=0.5,G64&gt;=4),3,IF(OR(N(F64)&gt;=0.3,G64=3),2,IF(OR(N(F64)&gt;=0.1,G64&gt;=1),1,0)))</f>
        <v/>
      </c>
      <c r="I64" s="4">
        <f>CHOOSE(H64+1,"Kein Risiko","Gering","Mittel","Hoch")</f>
        <v/>
      </c>
    </row>
    <row r="65">
      <c r="A65" s="4" t="n">
        <v>61</v>
      </c>
      <c r="B65" s="4" t="inlineStr">
        <is>
          <t>retail</t>
        </is>
      </c>
      <c r="C65" s="4" t="inlineStr">
        <is>
          <t>Kupferdreher Straße</t>
        </is>
      </c>
      <c r="D65" s="4" t="inlineStr">
        <is>
          <t>128</t>
        </is>
      </c>
      <c r="E65" s="13" t="n">
        <v>1067.3</v>
      </c>
      <c r="F65" s="12" t="n">
        <v>0.02000045776367188</v>
      </c>
      <c r="G65" s="4" t="n">
        <v>0</v>
      </c>
      <c r="H65" s="4">
        <f>IF(OR(N(F65)&gt;=0.5,G65&gt;=4),3,IF(OR(N(F65)&gt;=0.3,G65=3),2,IF(OR(N(F65)&gt;=0.1,G65&gt;=1),1,0)))</f>
        <v/>
      </c>
      <c r="I65" s="4">
        <f>CHOOSE(H65+1,"Kein Risiko","Gering","Mittel","Hoch")</f>
        <v/>
      </c>
    </row>
    <row r="66">
      <c r="A66" s="4" t="n">
        <v>62</v>
      </c>
      <c r="B66" s="4" t="inlineStr">
        <is>
          <t>yes</t>
        </is>
      </c>
      <c r="C66" s="4" t="inlineStr">
        <is>
          <t>Hinsbecker Löh</t>
        </is>
      </c>
      <c r="D66" s="4" t="inlineStr">
        <is>
          <t>12</t>
        </is>
      </c>
      <c r="E66" s="13" t="n">
        <v>293.1</v>
      </c>
      <c r="F66" s="12" t="n">
        <v>0.2599983215332031</v>
      </c>
      <c r="G66" s="4" t="n">
        <v>3</v>
      </c>
      <c r="H66" s="4">
        <f>IF(OR(N(F66)&gt;=0.5,G66&gt;=4),3,IF(OR(N(F66)&gt;=0.3,G66=3),2,IF(OR(N(F66)&gt;=0.1,G66&gt;=1),1,0)))</f>
        <v/>
      </c>
      <c r="I66" s="4">
        <f>CHOOSE(H66+1,"Kein Risiko","Gering","Mittel","Hoch")</f>
        <v/>
      </c>
    </row>
    <row r="67">
      <c r="A67" s="4" t="n">
        <v>63</v>
      </c>
      <c r="B67" s="4" t="inlineStr">
        <is>
          <t>industrial</t>
        </is>
      </c>
      <c r="C67" s="4" t="inlineStr">
        <is>
          <t>Hinsbecker Löh</t>
        </is>
      </c>
      <c r="D67" s="4" t="inlineStr">
        <is>
          <t>10</t>
        </is>
      </c>
      <c r="E67" s="13" t="n">
        <v>19339.5</v>
      </c>
      <c r="F67" s="12" t="n">
        <v>1.979999542236328</v>
      </c>
      <c r="G67" s="4" t="n">
        <v>5</v>
      </c>
      <c r="H67" s="4">
        <f>IF(OR(N(F67)&gt;=0.5,G67&gt;=4),3,IF(OR(N(F67)&gt;=0.3,G67=3),2,IF(OR(N(F67)&gt;=0.1,G67&gt;=1),1,0)))</f>
        <v/>
      </c>
      <c r="I67" s="4">
        <f>CHOOSE(H67+1,"Kein Risiko","Gering","Mittel","Hoch")</f>
        <v/>
      </c>
    </row>
    <row r="68">
      <c r="A68" s="4" t="n">
        <v>64</v>
      </c>
      <c r="B68" s="4" t="inlineStr">
        <is>
          <t>sports_centre</t>
        </is>
      </c>
      <c r="C68" s="4" t="inlineStr">
        <is>
          <t>Nierenhofer Straße</t>
        </is>
      </c>
      <c r="D68" s="4" t="inlineStr">
        <is>
          <t>14</t>
        </is>
      </c>
      <c r="E68" s="13" t="n">
        <v>292.6</v>
      </c>
      <c r="F68" s="12" t="n">
        <v>0.01000213623046875</v>
      </c>
      <c r="G68" s="4" t="n">
        <v>0</v>
      </c>
      <c r="H68" s="4">
        <f>IF(OR(N(F68)&gt;=0.5,G68&gt;=4),3,IF(OR(N(F68)&gt;=0.3,G68=3),2,IF(OR(N(F68)&gt;=0.1,G68&gt;=1),1,0)))</f>
        <v/>
      </c>
      <c r="I68" s="4">
        <f>CHOOSE(H68+1,"Kein Risiko","Gering","Mittel","Hoch")</f>
        <v/>
      </c>
    </row>
    <row r="69">
      <c r="A69" s="4" t="n">
        <v>65</v>
      </c>
      <c r="B69" s="4" t="inlineStr">
        <is>
          <t>yes</t>
        </is>
      </c>
      <c r="C69" s="4" t="inlineStr">
        <is>
          <t>Hardenbergufer</t>
        </is>
      </c>
      <c r="D69" s="4" t="inlineStr">
        <is>
          <t>700</t>
        </is>
      </c>
      <c r="E69" s="13" t="n">
        <v>270.8</v>
      </c>
      <c r="F69" s="12" t="n">
        <v>0.06999969482421875</v>
      </c>
      <c r="G69" s="4" t="n">
        <v>0</v>
      </c>
      <c r="H69" s="4">
        <f>IF(OR(N(F69)&gt;=0.5,G69&gt;=4),3,IF(OR(N(F69)&gt;=0.3,G69=3),2,IF(OR(N(F69)&gt;=0.1,G69&gt;=1),1,0)))</f>
        <v/>
      </c>
      <c r="I69" s="4">
        <f>CHOOSE(H69+1,"Kein Risiko","Gering","Mittel","Hoch")</f>
        <v/>
      </c>
    </row>
    <row r="70">
      <c r="A70" s="4" t="n">
        <v>66</v>
      </c>
      <c r="B70" s="4" t="inlineStr">
        <is>
          <t>apartments</t>
        </is>
      </c>
      <c r="C70" s="4" t="inlineStr">
        <is>
          <t>Dilldorfer Allee</t>
        </is>
      </c>
      <c r="D70" s="4" t="inlineStr">
        <is>
          <t>23</t>
        </is>
      </c>
      <c r="E70" s="13" t="n">
        <v>370.3</v>
      </c>
      <c r="F70" s="12" t="n">
        <v>0.01000213623046875</v>
      </c>
      <c r="G70" s="4" t="n">
        <v>0</v>
      </c>
      <c r="H70" s="4">
        <f>IF(OR(N(F70)&gt;=0.5,G70&gt;=4),3,IF(OR(N(F70)&gt;=0.3,G70=3),2,IF(OR(N(F70)&gt;=0.1,G70&gt;=1),1,0)))</f>
        <v/>
      </c>
      <c r="I70" s="4">
        <f>CHOOSE(H70+1,"Kein Risiko","Gering","Mittel","Hoch")</f>
        <v/>
      </c>
    </row>
    <row r="71">
      <c r="A71" s="4" t="n">
        <v>67</v>
      </c>
      <c r="B71" s="4" t="inlineStr">
        <is>
          <t>apartments</t>
        </is>
      </c>
      <c r="C71" s="4" t="inlineStr">
        <is>
          <t>Dilldorfer Allee</t>
        </is>
      </c>
      <c r="D71" s="4" t="inlineStr">
        <is>
          <t>20</t>
        </is>
      </c>
      <c r="E71" s="13" t="n">
        <v>355</v>
      </c>
      <c r="F71" s="12" t="n">
        <v>0.1100006103515625</v>
      </c>
      <c r="G71" s="4" t="n">
        <v>0</v>
      </c>
      <c r="H71" s="4">
        <f>IF(OR(N(F71)&gt;=0.5,G71&gt;=4),3,IF(OR(N(F71)&gt;=0.3,G71=3),2,IF(OR(N(F71)&gt;=0.1,G71&gt;=1),1,0)))</f>
        <v/>
      </c>
      <c r="I71" s="4">
        <f>CHOOSE(H71+1,"Kein Risiko","Gering","Mittel","Hoch")</f>
        <v/>
      </c>
    </row>
    <row r="72">
      <c r="A72" s="4" t="n">
        <v>68</v>
      </c>
      <c r="B72" s="4" t="inlineStr">
        <is>
          <t>apartments</t>
        </is>
      </c>
      <c r="C72" s="4" t="inlineStr">
        <is>
          <t>Dilldorfer Allee</t>
        </is>
      </c>
      <c r="D72" s="4" t="inlineStr">
        <is>
          <t>22</t>
        </is>
      </c>
      <c r="E72" s="13" t="n">
        <v>307.1</v>
      </c>
      <c r="F72" s="12" t="n">
        <v>0.06000518798828125</v>
      </c>
      <c r="G72" s="4" t="n">
        <v>0</v>
      </c>
      <c r="H72" s="4">
        <f>IF(OR(N(F72)&gt;=0.5,G72&gt;=4),3,IF(OR(N(F72)&gt;=0.3,G72=3),2,IF(OR(N(F72)&gt;=0.1,G72&gt;=1),1,0)))</f>
        <v/>
      </c>
      <c r="I72" s="4">
        <f>CHOOSE(H72+1,"Kein Risiko","Gering","Mittel","Hoch")</f>
        <v/>
      </c>
    </row>
    <row r="73">
      <c r="A73" s="4" t="n">
        <v>69</v>
      </c>
      <c r="B73" s="4" t="inlineStr">
        <is>
          <t>semidetached_house</t>
        </is>
      </c>
      <c r="C73" s="4" t="inlineStr">
        <is>
          <t>Tholshof</t>
        </is>
      </c>
      <c r="D73" s="4" t="inlineStr">
        <is>
          <t>12</t>
        </is>
      </c>
      <c r="E73" s="13" t="n">
        <v>67.2</v>
      </c>
      <c r="F73" s="12" t="n">
        <v>0.06999969482421875</v>
      </c>
      <c r="G73" s="4" t="n">
        <v>0</v>
      </c>
      <c r="H73" s="4">
        <f>IF(OR(N(F73)&gt;=0.5,G73&gt;=4),3,IF(OR(N(F73)&gt;=0.3,G73=3),2,IF(OR(N(F73)&gt;=0.1,G73&gt;=1),1,0)))</f>
        <v/>
      </c>
      <c r="I73" s="4">
        <f>CHOOSE(H73+1,"Kein Risiko","Gering","Mittel","Hoch")</f>
        <v/>
      </c>
    </row>
    <row r="74">
      <c r="A74" s="4" t="n">
        <v>70</v>
      </c>
      <c r="B74" s="4" t="inlineStr">
        <is>
          <t>apartments</t>
        </is>
      </c>
      <c r="C74" s="4" t="inlineStr">
        <is>
          <t>Dilldorfer Allee</t>
        </is>
      </c>
      <c r="D74" s="4" t="inlineStr">
        <is>
          <t>24</t>
        </is>
      </c>
      <c r="E74" s="13" t="n">
        <v>308.7</v>
      </c>
      <c r="F74" s="12" t="n">
        <v>0.1800003051757812</v>
      </c>
      <c r="G74" s="4" t="n">
        <v>0</v>
      </c>
      <c r="H74" s="4">
        <f>IF(OR(N(F74)&gt;=0.5,G74&gt;=4),3,IF(OR(N(F74)&gt;=0.3,G74=3),2,IF(OR(N(F74)&gt;=0.1,G74&gt;=1),1,0)))</f>
        <v/>
      </c>
      <c r="I74" s="4">
        <f>CHOOSE(H74+1,"Kein Risiko","Gering","Mittel","Hoch")</f>
        <v/>
      </c>
    </row>
    <row r="75">
      <c r="A75" s="4" t="n">
        <v>71</v>
      </c>
      <c r="B75" s="4" t="inlineStr">
        <is>
          <t>yes</t>
        </is>
      </c>
      <c r="C75" s="4" t="inlineStr">
        <is>
          <t>Phönixberg</t>
        </is>
      </c>
      <c r="D75" s="4" t="inlineStr">
        <is>
          <t>35</t>
        </is>
      </c>
      <c r="E75" s="13" t="n">
        <v>73.8</v>
      </c>
      <c r="F75" s="12" t="n">
        <v>0</v>
      </c>
      <c r="G75" s="4" t="n">
        <v>0</v>
      </c>
      <c r="H75" s="4">
        <f>IF(OR(N(F75)&gt;=0.5,G75&gt;=4),3,IF(OR(N(F75)&gt;=0.3,G75=3),2,IF(OR(N(F75)&gt;=0.1,G75&gt;=1),1,0)))</f>
        <v/>
      </c>
      <c r="I75" s="4">
        <f>CHOOSE(H75+1,"Kein Risiko","Gering","Mittel","Hoch")</f>
        <v/>
      </c>
    </row>
    <row r="76">
      <c r="A76" s="4" t="n">
        <v>72</v>
      </c>
      <c r="B76" s="4" t="inlineStr">
        <is>
          <t>apartments</t>
        </is>
      </c>
      <c r="C76" s="4" t="inlineStr">
        <is>
          <t>Ruhrlandbogen</t>
        </is>
      </c>
      <c r="D76" s="4" t="inlineStr">
        <is>
          <t>5</t>
        </is>
      </c>
      <c r="E76" s="13" t="n">
        <v>235.5</v>
      </c>
      <c r="F76" s="12" t="n">
        <v>0.0200042724609375</v>
      </c>
      <c r="G76" s="4" t="n">
        <v>0</v>
      </c>
      <c r="H76" s="4">
        <f>IF(OR(N(F76)&gt;=0.5,G76&gt;=4),3,IF(OR(N(F76)&gt;=0.3,G76=3),2,IF(OR(N(F76)&gt;=0.1,G76&gt;=1),1,0)))</f>
        <v/>
      </c>
      <c r="I76" s="4">
        <f>CHOOSE(H76+1,"Kein Risiko","Gering","Mittel","Hoch")</f>
        <v/>
      </c>
    </row>
    <row r="77">
      <c r="A77" s="4" t="n">
        <v>73</v>
      </c>
      <c r="B77" s="4" t="inlineStr">
        <is>
          <t>apartments</t>
        </is>
      </c>
      <c r="C77" s="4" t="inlineStr">
        <is>
          <t>Ruhrlandbogen</t>
        </is>
      </c>
      <c r="D77" s="4" t="inlineStr">
        <is>
          <t>2</t>
        </is>
      </c>
      <c r="E77" s="13" t="n">
        <v>387.8</v>
      </c>
      <c r="F77" s="12" t="n">
        <v>0.0500030517578125</v>
      </c>
      <c r="G77" s="4" t="n">
        <v>0</v>
      </c>
      <c r="H77" s="4">
        <f>IF(OR(N(F77)&gt;=0.5,G77&gt;=4),3,IF(OR(N(F77)&gt;=0.3,G77=3),2,IF(OR(N(F77)&gt;=0.1,G77&gt;=1),1,0)))</f>
        <v/>
      </c>
      <c r="I77" s="4">
        <f>CHOOSE(H77+1,"Kein Risiko","Gering","Mittel","Hoch")</f>
        <v/>
      </c>
    </row>
    <row r="78">
      <c r="A78" s="4" t="n">
        <v>74</v>
      </c>
      <c r="B78" s="4" t="inlineStr">
        <is>
          <t>apartments</t>
        </is>
      </c>
      <c r="C78" s="4" t="inlineStr">
        <is>
          <t>Dilldorfer Allee</t>
        </is>
      </c>
      <c r="D78" s="4" t="inlineStr">
        <is>
          <t>16</t>
        </is>
      </c>
      <c r="E78" s="13" t="n">
        <v>354.4</v>
      </c>
      <c r="F78" s="12" t="n">
        <v>0.04000091552734375</v>
      </c>
      <c r="G78" s="4" t="n">
        <v>0</v>
      </c>
      <c r="H78" s="4">
        <f>IF(OR(N(F78)&gt;=0.5,G78&gt;=4),3,IF(OR(N(F78)&gt;=0.3,G78=3),2,IF(OR(N(F78)&gt;=0.1,G78&gt;=1),1,0)))</f>
        <v/>
      </c>
      <c r="I78" s="4">
        <f>CHOOSE(H78+1,"Kein Risiko","Gering","Mittel","Hoch")</f>
        <v/>
      </c>
    </row>
    <row r="79">
      <c r="A79" s="4" t="n">
        <v>75</v>
      </c>
      <c r="B79" s="4" t="inlineStr">
        <is>
          <t>yes</t>
        </is>
      </c>
      <c r="C79" s="4" t="inlineStr">
        <is>
          <t>Ruhrlandbogen</t>
        </is>
      </c>
      <c r="D79" s="4" t="inlineStr">
        <is>
          <t>27</t>
        </is>
      </c>
      <c r="E79" s="13" t="n">
        <v>208.6</v>
      </c>
      <c r="F79" s="12" t="n">
        <v>0</v>
      </c>
      <c r="G79" s="4" t="n">
        <v>0</v>
      </c>
      <c r="H79" s="4">
        <f>IF(OR(N(F79)&gt;=0.5,G79&gt;=4),3,IF(OR(N(F79)&gt;=0.3,G79=3),2,IF(OR(N(F79)&gt;=0.1,G79&gt;=1),1,0)))</f>
        <v/>
      </c>
      <c r="I79" s="4">
        <f>CHOOSE(H79+1,"Kein Risiko","Gering","Mittel","Hoch")</f>
        <v/>
      </c>
    </row>
    <row r="80">
      <c r="A80" s="4" t="n">
        <v>76</v>
      </c>
      <c r="B80" s="4" t="inlineStr">
        <is>
          <t>yes</t>
        </is>
      </c>
      <c r="C80" s="4" t="inlineStr">
        <is>
          <t>Phönixberg</t>
        </is>
      </c>
      <c r="D80" s="4" t="inlineStr">
        <is>
          <t>26</t>
        </is>
      </c>
      <c r="E80" s="13" t="n">
        <v>246.8</v>
      </c>
      <c r="F80" s="12" t="n">
        <v>0.0200042724609375</v>
      </c>
      <c r="G80" s="4" t="n">
        <v>0</v>
      </c>
      <c r="H80" s="4">
        <f>IF(OR(N(F80)&gt;=0.5,G80&gt;=4),3,IF(OR(N(F80)&gt;=0.3,G80=3),2,IF(OR(N(F80)&gt;=0.1,G80&gt;=1),1,0)))</f>
        <v/>
      </c>
      <c r="I80" s="4">
        <f>CHOOSE(H80+1,"Kein Risiko","Gering","Mittel","Hoch")</f>
        <v/>
      </c>
    </row>
    <row r="81">
      <c r="A81" s="4" t="n">
        <v>77</v>
      </c>
      <c r="B81" s="4" t="inlineStr">
        <is>
          <t>apartments</t>
        </is>
      </c>
      <c r="C81" s="4" t="inlineStr">
        <is>
          <t>Dilldorfer Allee</t>
        </is>
      </c>
      <c r="D81" s="4" t="inlineStr">
        <is>
          <t>12</t>
        </is>
      </c>
      <c r="E81" s="13" t="n">
        <v>404.8</v>
      </c>
      <c r="F81" s="12" t="n">
        <v>0.0800018310546875</v>
      </c>
      <c r="G81" s="4" t="n">
        <v>0</v>
      </c>
      <c r="H81" s="4">
        <f>IF(OR(N(F81)&gt;=0.5,G81&gt;=4),3,IF(OR(N(F81)&gt;=0.3,G81=3),2,IF(OR(N(F81)&gt;=0.1,G81&gt;=1),1,0)))</f>
        <v/>
      </c>
      <c r="I81" s="4">
        <f>CHOOSE(H81+1,"Kein Risiko","Gering","Mittel","Hoch")</f>
        <v/>
      </c>
    </row>
    <row r="82">
      <c r="A82" s="4" t="n">
        <v>78</v>
      </c>
      <c r="B82" s="4" t="inlineStr">
        <is>
          <t>semidetached_house</t>
        </is>
      </c>
      <c r="C82" s="4" t="inlineStr">
        <is>
          <t>Ruhrlandbogen</t>
        </is>
      </c>
      <c r="D82" s="4" t="inlineStr">
        <is>
          <t>9</t>
        </is>
      </c>
      <c r="E82" s="13" t="n">
        <v>73.5</v>
      </c>
      <c r="F82" s="12" t="n">
        <v>0.089996337890625</v>
      </c>
      <c r="G82" s="4" t="n">
        <v>0</v>
      </c>
      <c r="H82" s="4">
        <f>IF(OR(N(F82)&gt;=0.5,G82&gt;=4),3,IF(OR(N(F82)&gt;=0.3,G82=3),2,IF(OR(N(F82)&gt;=0.1,G82&gt;=1),1,0)))</f>
        <v/>
      </c>
      <c r="I82" s="4">
        <f>CHOOSE(H82+1,"Kein Risiko","Gering","Mittel","Hoch")</f>
        <v/>
      </c>
    </row>
    <row r="83">
      <c r="A83" s="4" t="n">
        <v>79</v>
      </c>
      <c r="B83" s="4" t="inlineStr">
        <is>
          <t>apartments</t>
        </is>
      </c>
      <c r="C83" s="4" t="inlineStr">
        <is>
          <t>Phönixberg</t>
        </is>
      </c>
      <c r="D83" s="4" t="inlineStr">
        <is>
          <t>2</t>
        </is>
      </c>
      <c r="E83" s="13" t="n">
        <v>233.6</v>
      </c>
      <c r="F83" s="12" t="n">
        <v>0.029998779296875</v>
      </c>
      <c r="G83" s="4" t="n">
        <v>1</v>
      </c>
      <c r="H83" s="4">
        <f>IF(OR(N(F83)&gt;=0.5,G83&gt;=4),3,IF(OR(N(F83)&gt;=0.3,G83=3),2,IF(OR(N(F83)&gt;=0.1,G83&gt;=1),1,0)))</f>
        <v/>
      </c>
      <c r="I83" s="4">
        <f>CHOOSE(H83+1,"Kein Risiko","Gering","Mittel","Hoch")</f>
        <v/>
      </c>
    </row>
    <row r="84">
      <c r="A84" s="4" t="n">
        <v>80</v>
      </c>
      <c r="B84" s="4" t="inlineStr">
        <is>
          <t>yes</t>
        </is>
      </c>
      <c r="C84" s="4" t="inlineStr">
        <is>
          <t>Ruhrlandbogen</t>
        </is>
      </c>
      <c r="D84" s="4" t="inlineStr">
        <is>
          <t>26</t>
        </is>
      </c>
      <c r="E84" s="13" t="n">
        <v>235</v>
      </c>
      <c r="F84" s="12" t="n">
        <v>0.06999969482421875</v>
      </c>
      <c r="G84" s="4" t="n">
        <v>0</v>
      </c>
      <c r="H84" s="4">
        <f>IF(OR(N(F84)&gt;=0.5,G84&gt;=4),3,IF(OR(N(F84)&gt;=0.3,G84=3),2,IF(OR(N(F84)&gt;=0.1,G84&gt;=1),1,0)))</f>
        <v/>
      </c>
      <c r="I84" s="4">
        <f>CHOOSE(H84+1,"Kein Risiko","Gering","Mittel","Hoch")</f>
        <v/>
      </c>
    </row>
    <row r="85">
      <c r="A85" s="4" t="n">
        <v>81</v>
      </c>
      <c r="B85" s="4" t="inlineStr">
        <is>
          <t>apartments</t>
        </is>
      </c>
      <c r="C85" s="4" t="inlineStr">
        <is>
          <t>Dilldorfer Allee</t>
        </is>
      </c>
      <c r="D85" s="4" t="inlineStr">
        <is>
          <t>21</t>
        </is>
      </c>
      <c r="E85" s="13" t="n">
        <v>380.3</v>
      </c>
      <c r="F85" s="12" t="n">
        <v>0.2600021362304688</v>
      </c>
      <c r="G85" s="4" t="n">
        <v>0</v>
      </c>
      <c r="H85" s="4">
        <f>IF(OR(N(F85)&gt;=0.5,G85&gt;=4),3,IF(OR(N(F85)&gt;=0.3,G85=3),2,IF(OR(N(F85)&gt;=0.1,G85&gt;=1),1,0)))</f>
        <v/>
      </c>
      <c r="I85" s="4">
        <f>CHOOSE(H85+1,"Kein Risiko","Gering","Mittel","Hoch")</f>
        <v/>
      </c>
    </row>
    <row r="86">
      <c r="A86" s="4" t="n">
        <v>82</v>
      </c>
      <c r="B86" s="4" t="inlineStr">
        <is>
          <t>yes</t>
        </is>
      </c>
      <c r="C86" s="4" t="inlineStr">
        <is>
          <t>Ruhrlandbogen</t>
        </is>
      </c>
      <c r="D86" s="4" t="inlineStr">
        <is>
          <t>29</t>
        </is>
      </c>
      <c r="E86" s="13" t="n">
        <v>207.8</v>
      </c>
      <c r="F86" s="12" t="n">
        <v>0.029998779296875</v>
      </c>
      <c r="G86" s="4" t="n">
        <v>0</v>
      </c>
      <c r="H86" s="4">
        <f>IF(OR(N(F86)&gt;=0.5,G86&gt;=4),3,IF(OR(N(F86)&gt;=0.3,G86=3),2,IF(OR(N(F86)&gt;=0.1,G86&gt;=1),1,0)))</f>
        <v/>
      </c>
      <c r="I86" s="4">
        <f>CHOOSE(H86+1,"Kein Risiko","Gering","Mittel","Hoch")</f>
        <v/>
      </c>
    </row>
    <row r="87">
      <c r="A87" s="4" t="n">
        <v>83</v>
      </c>
      <c r="B87" s="4" t="inlineStr">
        <is>
          <t>apartments</t>
        </is>
      </c>
      <c r="C87" s="4" t="inlineStr">
        <is>
          <t>Dilldorfer Allee</t>
        </is>
      </c>
      <c r="D87" s="4" t="inlineStr">
        <is>
          <t>18</t>
        </is>
      </c>
      <c r="E87" s="13" t="n">
        <v>348.8</v>
      </c>
      <c r="F87" s="12" t="n">
        <v>0.01000213623046875</v>
      </c>
      <c r="G87" s="4" t="n">
        <v>0</v>
      </c>
      <c r="H87" s="4">
        <f>IF(OR(N(F87)&gt;=0.5,G87&gt;=4),3,IF(OR(N(F87)&gt;=0.3,G87=3),2,IF(OR(N(F87)&gt;=0.1,G87&gt;=1),1,0)))</f>
        <v/>
      </c>
      <c r="I87" s="4">
        <f>CHOOSE(H87+1,"Kein Risiko","Gering","Mittel","Hoch")</f>
        <v/>
      </c>
    </row>
    <row r="88">
      <c r="A88" s="4" t="n">
        <v>84</v>
      </c>
      <c r="B88" s="4" t="inlineStr">
        <is>
          <t>apartments</t>
        </is>
      </c>
      <c r="C88" s="4" t="inlineStr">
        <is>
          <t>Byfanger Straße</t>
        </is>
      </c>
      <c r="D88" s="4" t="inlineStr">
        <is>
          <t>64</t>
        </is>
      </c>
      <c r="E88" s="13" t="n">
        <v>170.1</v>
      </c>
      <c r="F88" s="12" t="n">
        <v>0.0099945068359375</v>
      </c>
      <c r="G88" s="4" t="n">
        <v>1</v>
      </c>
      <c r="H88" s="4">
        <f>IF(OR(N(F88)&gt;=0.5,G88&gt;=4),3,IF(OR(N(F88)&gt;=0.3,G88=3),2,IF(OR(N(F88)&gt;=0.1,G88&gt;=1),1,0)))</f>
        <v/>
      </c>
      <c r="I88" s="4">
        <f>CHOOSE(H88+1,"Kein Risiko","Gering","Mittel","Hoch")</f>
        <v/>
      </c>
    </row>
    <row r="89">
      <c r="A89" s="4" t="n">
        <v>85</v>
      </c>
      <c r="B89" s="4" t="inlineStr">
        <is>
          <t>apartments</t>
        </is>
      </c>
      <c r="C89" s="4" t="inlineStr">
        <is>
          <t>Niederweniger Straße</t>
        </is>
      </c>
      <c r="D89" s="4" t="inlineStr">
        <is>
          <t>9</t>
        </is>
      </c>
      <c r="E89" s="13" t="n">
        <v>117.3</v>
      </c>
      <c r="F89" s="12" t="n">
        <v>0</v>
      </c>
      <c r="G89" s="4" t="n">
        <v>0</v>
      </c>
      <c r="H89" s="4">
        <f>IF(OR(N(F89)&gt;=0.5,G89&gt;=4),3,IF(OR(N(F89)&gt;=0.3,G89=3),2,IF(OR(N(F89)&gt;=0.1,G89&gt;=1),1,0)))</f>
        <v/>
      </c>
      <c r="I89" s="4">
        <f>CHOOSE(H89+1,"Kein Risiko","Gering","Mittel","Hoch")</f>
        <v/>
      </c>
    </row>
    <row r="90">
      <c r="A90" s="4" t="n">
        <v>86</v>
      </c>
      <c r="B90" s="4" t="inlineStr">
        <is>
          <t>yes</t>
        </is>
      </c>
      <c r="C90" s="4" t="inlineStr">
        <is>
          <t>Heidbergweg</t>
        </is>
      </c>
      <c r="D90" s="4" t="inlineStr">
        <is>
          <t>37</t>
        </is>
      </c>
      <c r="E90" s="13" t="n">
        <v>95.8</v>
      </c>
      <c r="F90" s="12" t="n">
        <v>0.01999664306640625</v>
      </c>
      <c r="G90" s="4" t="n">
        <v>0</v>
      </c>
      <c r="H90" s="4">
        <f>IF(OR(N(F90)&gt;=0.5,G90&gt;=4),3,IF(OR(N(F90)&gt;=0.3,G90=3),2,IF(OR(N(F90)&gt;=0.1,G90&gt;=1),1,0)))</f>
        <v/>
      </c>
      <c r="I90" s="4">
        <f>CHOOSE(H90+1,"Kein Risiko","Gering","Mittel","Hoch")</f>
        <v/>
      </c>
    </row>
    <row r="91">
      <c r="A91" s="4" t="n">
        <v>87</v>
      </c>
      <c r="B91" s="4" t="inlineStr">
        <is>
          <t>apartments</t>
        </is>
      </c>
      <c r="C91" s="4" t="inlineStr">
        <is>
          <t>Niederweniger Straße</t>
        </is>
      </c>
      <c r="D91" s="4" t="inlineStr">
        <is>
          <t>11</t>
        </is>
      </c>
      <c r="E91" s="13" t="n">
        <v>128.2</v>
      </c>
      <c r="F91" s="12" t="n">
        <v>0.07999420166015625</v>
      </c>
      <c r="G91" s="4" t="n">
        <v>1</v>
      </c>
      <c r="H91" s="4">
        <f>IF(OR(N(F91)&gt;=0.5,G91&gt;=4),3,IF(OR(N(F91)&gt;=0.3,G91=3),2,IF(OR(N(F91)&gt;=0.1,G91&gt;=1),1,0)))</f>
        <v/>
      </c>
      <c r="I91" s="4">
        <f>CHOOSE(H91+1,"Kein Risiko","Gering","Mittel","Hoch")</f>
        <v/>
      </c>
    </row>
    <row r="92">
      <c r="A92" s="4" t="n">
        <v>88</v>
      </c>
      <c r="B92" s="4" t="inlineStr">
        <is>
          <t>yes</t>
        </is>
      </c>
      <c r="C92" s="4" t="inlineStr">
        <is>
          <t>Heidbergweg</t>
        </is>
      </c>
      <c r="D92" s="4" t="inlineStr">
        <is>
          <t>14a</t>
        </is>
      </c>
      <c r="E92" s="13" t="n">
        <v>163.6</v>
      </c>
      <c r="F92" s="12" t="n">
        <v>0.01000213623046875</v>
      </c>
      <c r="G92" s="4" t="n">
        <v>0</v>
      </c>
      <c r="H92" s="4">
        <f>IF(OR(N(F92)&gt;=0.5,G92&gt;=4),3,IF(OR(N(F92)&gt;=0.3,G92=3),2,IF(OR(N(F92)&gt;=0.1,G92&gt;=1),1,0)))</f>
        <v/>
      </c>
      <c r="I92" s="4">
        <f>CHOOSE(H92+1,"Kein Risiko","Gering","Mittel","Hoch")</f>
        <v/>
      </c>
    </row>
    <row r="93">
      <c r="A93" s="4" t="n">
        <v>89</v>
      </c>
      <c r="B93" s="4" t="inlineStr">
        <is>
          <t>apartments</t>
        </is>
      </c>
      <c r="C93" s="4" t="inlineStr">
        <is>
          <t>Narjesstraße</t>
        </is>
      </c>
      <c r="D93" s="4" t="inlineStr">
        <is>
          <t>3</t>
        </is>
      </c>
      <c r="E93" s="13" t="n">
        <v>100.5</v>
      </c>
      <c r="F93" s="12" t="n">
        <v>0.03000640869140625</v>
      </c>
      <c r="G93" s="4" t="n">
        <v>1</v>
      </c>
      <c r="H93" s="4">
        <f>IF(OR(N(F93)&gt;=0.5,G93&gt;=4),3,IF(OR(N(F93)&gt;=0.3,G93=3),2,IF(OR(N(F93)&gt;=0.1,G93&gt;=1),1,0)))</f>
        <v/>
      </c>
      <c r="I93" s="4">
        <f>CHOOSE(H93+1,"Kein Risiko","Gering","Mittel","Hoch")</f>
        <v/>
      </c>
    </row>
    <row r="94">
      <c r="A94" s="4" t="n">
        <v>90</v>
      </c>
      <c r="B94" s="4" t="inlineStr">
        <is>
          <t>apartments</t>
        </is>
      </c>
      <c r="C94" s="4" t="inlineStr">
        <is>
          <t>Niederweniger Straße</t>
        </is>
      </c>
      <c r="D94" s="4" t="inlineStr">
        <is>
          <t>10</t>
        </is>
      </c>
      <c r="E94" s="13" t="n">
        <v>225.6</v>
      </c>
      <c r="F94" s="12" t="n">
        <v>0</v>
      </c>
      <c r="G94" s="4" t="n">
        <v>0</v>
      </c>
      <c r="H94" s="4">
        <f>IF(OR(N(F94)&gt;=0.5,G94&gt;=4),3,IF(OR(N(F94)&gt;=0.3,G94=3),2,IF(OR(N(F94)&gt;=0.1,G94&gt;=1),1,0)))</f>
        <v/>
      </c>
      <c r="I94" s="4">
        <f>CHOOSE(H94+1,"Kein Risiko","Gering","Mittel","Hoch")</f>
        <v/>
      </c>
    </row>
    <row r="95">
      <c r="A95" s="4" t="n">
        <v>91</v>
      </c>
      <c r="B95" s="4" t="inlineStr">
        <is>
          <t>commercial</t>
        </is>
      </c>
      <c r="C95" s="4" t="inlineStr">
        <is>
          <t>Kupferdreher Straße</t>
        </is>
      </c>
      <c r="D95" s="4" t="inlineStr">
        <is>
          <t>135</t>
        </is>
      </c>
      <c r="E95" s="13" t="n">
        <v>324.9</v>
      </c>
      <c r="F95" s="12" t="n">
        <v>0</v>
      </c>
      <c r="G95" s="4" t="n">
        <v>1</v>
      </c>
      <c r="H95" s="4">
        <f>IF(OR(N(F95)&gt;=0.5,G95&gt;=4),3,IF(OR(N(F95)&gt;=0.3,G95=3),2,IF(OR(N(F95)&gt;=0.1,G95&gt;=1),1,0)))</f>
        <v/>
      </c>
      <c r="I95" s="4">
        <f>CHOOSE(H95+1,"Kein Risiko","Gering","Mittel","Hoch")</f>
        <v/>
      </c>
    </row>
    <row r="96">
      <c r="A96" s="4" t="n">
        <v>92</v>
      </c>
      <c r="B96" s="4" t="inlineStr">
        <is>
          <t>apartments</t>
        </is>
      </c>
      <c r="C96" s="4" t="inlineStr">
        <is>
          <t>Zementstraße</t>
        </is>
      </c>
      <c r="D96" s="4" t="inlineStr">
        <is>
          <t>57</t>
        </is>
      </c>
      <c r="E96" s="13" t="n">
        <v>149.5</v>
      </c>
      <c r="F96" s="12" t="n">
        <v>0</v>
      </c>
      <c r="G96" s="4" t="n">
        <v>0</v>
      </c>
      <c r="H96" s="4">
        <f>IF(OR(N(F96)&gt;=0.5,G96&gt;=4),3,IF(OR(N(F96)&gt;=0.3,G96=3),2,IF(OR(N(F96)&gt;=0.1,G96&gt;=1),1,0)))</f>
        <v/>
      </c>
      <c r="I96" s="4">
        <f>CHOOSE(H96+1,"Kein Risiko","Gering","Mittel","Hoch")</f>
        <v/>
      </c>
    </row>
    <row r="97">
      <c r="A97" s="4" t="n">
        <v>93</v>
      </c>
      <c r="B97" s="4" t="inlineStr">
        <is>
          <t>yes</t>
        </is>
      </c>
      <c r="C97" s="4" t="inlineStr">
        <is>
          <t>Dixbäume</t>
        </is>
      </c>
      <c r="D97" s="4" t="inlineStr">
        <is>
          <t>5</t>
        </is>
      </c>
      <c r="E97" s="13" t="n">
        <v>140.9</v>
      </c>
      <c r="F97" s="12" t="n">
        <v>0</v>
      </c>
      <c r="G97" s="4" t="n">
        <v>0</v>
      </c>
      <c r="H97" s="4">
        <f>IF(OR(N(F97)&gt;=0.5,G97&gt;=4),3,IF(OR(N(F97)&gt;=0.3,G97=3),2,IF(OR(N(F97)&gt;=0.1,G97&gt;=1),1,0)))</f>
        <v/>
      </c>
      <c r="I97" s="4">
        <f>CHOOSE(H97+1,"Kein Risiko","Gering","Mittel","Hoch")</f>
        <v/>
      </c>
    </row>
    <row r="98">
      <c r="A98" s="4" t="n">
        <v>94</v>
      </c>
      <c r="B98" s="4" t="inlineStr">
        <is>
          <t>apartments</t>
        </is>
      </c>
      <c r="C98" s="4" t="inlineStr">
        <is>
          <t>Schwermannstraße</t>
        </is>
      </c>
      <c r="D98" s="4" t="inlineStr">
        <is>
          <t>62</t>
        </is>
      </c>
      <c r="E98" s="13" t="n">
        <v>180.5</v>
      </c>
      <c r="F98" s="12" t="n">
        <v>0.01999664306640625</v>
      </c>
      <c r="G98" s="4" t="n">
        <v>1</v>
      </c>
      <c r="H98" s="4">
        <f>IF(OR(N(F98)&gt;=0.5,G98&gt;=4),3,IF(OR(N(F98)&gt;=0.3,G98=3),2,IF(OR(N(F98)&gt;=0.1,G98&gt;=1),1,0)))</f>
        <v/>
      </c>
      <c r="I98" s="4">
        <f>CHOOSE(H98+1,"Kein Risiko","Gering","Mittel","Hoch")</f>
        <v/>
      </c>
    </row>
    <row r="99">
      <c r="A99" s="4" t="n">
        <v>95</v>
      </c>
      <c r="B99" s="4" t="inlineStr">
        <is>
          <t>apartments</t>
        </is>
      </c>
      <c r="C99" s="4" t="inlineStr">
        <is>
          <t>Reulsbergweg</t>
        </is>
      </c>
      <c r="D99" s="4" t="inlineStr">
        <is>
          <t>2</t>
        </is>
      </c>
      <c r="E99" s="13" t="n">
        <v>121.9</v>
      </c>
      <c r="F99" s="12" t="n">
        <v>0</v>
      </c>
      <c r="G99" s="4" t="n">
        <v>0</v>
      </c>
      <c r="H99" s="4">
        <f>IF(OR(N(F99)&gt;=0.5,G99&gt;=4),3,IF(OR(N(F99)&gt;=0.3,G99=3),2,IF(OR(N(F99)&gt;=0.1,G99&gt;=1),1,0)))</f>
        <v/>
      </c>
      <c r="I99" s="4">
        <f>CHOOSE(H99+1,"Kein Risiko","Gering","Mittel","Hoch")</f>
        <v/>
      </c>
    </row>
    <row r="100">
      <c r="A100" s="4" t="n">
        <v>96</v>
      </c>
      <c r="B100" s="4" t="inlineStr">
        <is>
          <t>detached</t>
        </is>
      </c>
      <c r="C100" s="4" t="inlineStr">
        <is>
          <t>Byfanger Straße</t>
        </is>
      </c>
      <c r="D100" s="4" t="inlineStr">
        <is>
          <t>85</t>
        </is>
      </c>
      <c r="E100" s="13" t="n">
        <v>85.7</v>
      </c>
      <c r="F100" s="12" t="n">
        <v>0.06000518798828125</v>
      </c>
      <c r="G100" s="4" t="n">
        <v>0</v>
      </c>
      <c r="H100" s="4">
        <f>IF(OR(N(F100)&gt;=0.5,G100&gt;=4),3,IF(OR(N(F100)&gt;=0.3,G100=3),2,IF(OR(N(F100)&gt;=0.1,G100&gt;=1),1,0)))</f>
        <v/>
      </c>
      <c r="I100" s="4">
        <f>CHOOSE(H100+1,"Kein Risiko","Gering","Mittel","Hoch")</f>
        <v/>
      </c>
    </row>
    <row r="101">
      <c r="A101" s="4" t="n">
        <v>97</v>
      </c>
      <c r="B101" s="4" t="inlineStr">
        <is>
          <t>apartments</t>
        </is>
      </c>
      <c r="C101" s="4" t="inlineStr">
        <is>
          <t>Sandstraße</t>
        </is>
      </c>
      <c r="D101" s="4" t="inlineStr">
        <is>
          <t>16</t>
        </is>
      </c>
      <c r="E101" s="13" t="n">
        <v>114.4</v>
      </c>
      <c r="F101" s="12" t="n">
        <v>0</v>
      </c>
      <c r="G101" s="4" t="n">
        <v>0</v>
      </c>
      <c r="H101" s="4">
        <f>IF(OR(N(F101)&gt;=0.5,G101&gt;=4),3,IF(OR(N(F101)&gt;=0.3,G101=3),2,IF(OR(N(F101)&gt;=0.1,G101&gt;=1),1,0)))</f>
        <v/>
      </c>
      <c r="I101" s="4">
        <f>CHOOSE(H101+1,"Kein Risiko","Gering","Mittel","Hoch")</f>
        <v/>
      </c>
    </row>
    <row r="102">
      <c r="A102" s="4" t="n">
        <v>98</v>
      </c>
      <c r="B102" s="4" t="inlineStr">
        <is>
          <t>detached</t>
        </is>
      </c>
      <c r="C102" s="4" t="inlineStr">
        <is>
          <t>Byfanger Straße</t>
        </is>
      </c>
      <c r="D102" s="4" t="inlineStr">
        <is>
          <t>68a</t>
        </is>
      </c>
      <c r="E102" s="13" t="n">
        <v>159.8</v>
      </c>
      <c r="F102" s="12" t="n">
        <v>0</v>
      </c>
      <c r="G102" s="4" t="n">
        <v>1</v>
      </c>
      <c r="H102" s="4">
        <f>IF(OR(N(F102)&gt;=0.5,G102&gt;=4),3,IF(OR(N(F102)&gt;=0.3,G102=3),2,IF(OR(N(F102)&gt;=0.1,G102&gt;=1),1,0)))</f>
        <v/>
      </c>
      <c r="I102" s="4">
        <f>CHOOSE(H102+1,"Kein Risiko","Gering","Mittel","Hoch")</f>
        <v/>
      </c>
    </row>
    <row r="103">
      <c r="A103" s="4" t="n">
        <v>99</v>
      </c>
      <c r="B103" s="4" t="inlineStr">
        <is>
          <t>apartments</t>
        </is>
      </c>
      <c r="C103" s="4" t="inlineStr">
        <is>
          <t>Dixbäume</t>
        </is>
      </c>
      <c r="D103" s="4" t="inlineStr">
        <is>
          <t>16</t>
        </is>
      </c>
      <c r="E103" s="13" t="n">
        <v>269.4</v>
      </c>
      <c r="F103" s="12" t="n">
        <v>0.04999542236328125</v>
      </c>
      <c r="G103" s="4" t="n">
        <v>0</v>
      </c>
      <c r="H103" s="4">
        <f>IF(OR(N(F103)&gt;=0.5,G103&gt;=4),3,IF(OR(N(F103)&gt;=0.3,G103=3),2,IF(OR(N(F103)&gt;=0.1,G103&gt;=1),1,0)))</f>
        <v/>
      </c>
      <c r="I103" s="4">
        <f>CHOOSE(H103+1,"Kein Risiko","Gering","Mittel","Hoch")</f>
        <v/>
      </c>
    </row>
    <row r="104">
      <c r="A104" s="4" t="n">
        <v>100</v>
      </c>
      <c r="B104" s="4" t="inlineStr">
        <is>
          <t>apartments</t>
        </is>
      </c>
      <c r="C104" s="4" t="inlineStr">
        <is>
          <t>Zementstraße</t>
        </is>
      </c>
      <c r="D104" s="4" t="inlineStr">
        <is>
          <t>53</t>
        </is>
      </c>
      <c r="E104" s="13" t="n">
        <v>126.5</v>
      </c>
      <c r="F104" s="12" t="n">
        <v>0</v>
      </c>
      <c r="G104" s="4" t="n">
        <v>0</v>
      </c>
      <c r="H104" s="4">
        <f>IF(OR(N(F104)&gt;=0.5,G104&gt;=4),3,IF(OR(N(F104)&gt;=0.3,G104=3),2,IF(OR(N(F104)&gt;=0.1,G104&gt;=1),1,0)))</f>
        <v/>
      </c>
      <c r="I104" s="4">
        <f>CHOOSE(H104+1,"Kein Risiko","Gering","Mittel","Hoch")</f>
        <v/>
      </c>
    </row>
    <row r="105">
      <c r="A105" s="4" t="n">
        <v>101</v>
      </c>
      <c r="B105" s="4" t="inlineStr">
        <is>
          <t>residential</t>
        </is>
      </c>
      <c r="C105" s="4" t="inlineStr">
        <is>
          <t>Heidbergweg</t>
        </is>
      </c>
      <c r="D105" s="4" t="inlineStr">
        <is>
          <t>14</t>
        </is>
      </c>
      <c r="E105" s="13" t="n">
        <v>298.9</v>
      </c>
      <c r="F105" s="12" t="n">
        <v>1.610000610351562</v>
      </c>
      <c r="G105" s="4" t="n">
        <v>1</v>
      </c>
      <c r="H105" s="4">
        <f>IF(OR(N(F105)&gt;=0.5,G105&gt;=4),3,IF(OR(N(F105)&gt;=0.3,G105=3),2,IF(OR(N(F105)&gt;=0.1,G105&gt;=1),1,0)))</f>
        <v/>
      </c>
      <c r="I105" s="4">
        <f>CHOOSE(H105+1,"Kein Risiko","Gering","Mittel","Hoch")</f>
        <v/>
      </c>
    </row>
    <row r="106">
      <c r="A106" s="4" t="n">
        <v>102</v>
      </c>
      <c r="B106" s="4" t="inlineStr">
        <is>
          <t>apartments</t>
        </is>
      </c>
      <c r="C106" s="4" t="inlineStr">
        <is>
          <t>Byfanger Straße</t>
        </is>
      </c>
      <c r="D106" s="4" t="inlineStr">
        <is>
          <t>83</t>
        </is>
      </c>
      <c r="E106" s="13" t="n">
        <v>124.6</v>
      </c>
      <c r="F106" s="12" t="n">
        <v>0.2800064086914062</v>
      </c>
      <c r="G106" s="4" t="n">
        <v>1</v>
      </c>
      <c r="H106" s="4">
        <f>IF(OR(N(F106)&gt;=0.5,G106&gt;=4),3,IF(OR(N(F106)&gt;=0.3,G106=3),2,IF(OR(N(F106)&gt;=0.1,G106&gt;=1),1,0)))</f>
        <v/>
      </c>
      <c r="I106" s="4">
        <f>CHOOSE(H106+1,"Kein Risiko","Gering","Mittel","Hoch")</f>
        <v/>
      </c>
    </row>
    <row r="107">
      <c r="A107" s="4" t="n">
        <v>103</v>
      </c>
      <c r="B107" s="4" t="inlineStr">
        <is>
          <t>yes</t>
        </is>
      </c>
      <c r="C107" s="4" t="inlineStr">
        <is>
          <t>Heidbergweg</t>
        </is>
      </c>
      <c r="D107" s="4" t="inlineStr">
        <is>
          <t>20</t>
        </is>
      </c>
      <c r="E107" s="13" t="n">
        <v>144.7</v>
      </c>
      <c r="F107" s="12" t="n">
        <v>0.0500030517578125</v>
      </c>
      <c r="G107" s="4" t="n">
        <v>0</v>
      </c>
      <c r="H107" s="4">
        <f>IF(OR(N(F107)&gt;=0.5,G107&gt;=4),3,IF(OR(N(F107)&gt;=0.3,G107=3),2,IF(OR(N(F107)&gt;=0.1,G107&gt;=1),1,0)))</f>
        <v/>
      </c>
      <c r="I107" s="4">
        <f>CHOOSE(H107+1,"Kein Risiko","Gering","Mittel","Hoch")</f>
        <v/>
      </c>
    </row>
    <row r="108">
      <c r="A108" s="4" t="n">
        <v>104</v>
      </c>
      <c r="B108" s="4" t="inlineStr">
        <is>
          <t>apartments</t>
        </is>
      </c>
      <c r="C108" s="4" t="inlineStr">
        <is>
          <t>Byfanger Straße</t>
        </is>
      </c>
      <c r="D108" s="4" t="inlineStr">
        <is>
          <t>66</t>
        </is>
      </c>
      <c r="E108" s="13" t="n">
        <v>189.2</v>
      </c>
      <c r="F108" s="12" t="n">
        <v>0.06999969482421875</v>
      </c>
      <c r="G108" s="4" t="n">
        <v>0</v>
      </c>
      <c r="H108" s="4">
        <f>IF(OR(N(F108)&gt;=0.5,G108&gt;=4),3,IF(OR(N(F108)&gt;=0.3,G108=3),2,IF(OR(N(F108)&gt;=0.1,G108&gt;=1),1,0)))</f>
        <v/>
      </c>
      <c r="I108" s="4">
        <f>CHOOSE(H108+1,"Kein Risiko","Gering","Mittel","Hoch")</f>
        <v/>
      </c>
    </row>
    <row r="109">
      <c r="A109" s="4" t="n">
        <v>105</v>
      </c>
      <c r="B109" s="4" t="inlineStr">
        <is>
          <t>apartments</t>
        </is>
      </c>
      <c r="C109" s="4" t="inlineStr">
        <is>
          <t>Sandstraße</t>
        </is>
      </c>
      <c r="D109" s="4" t="inlineStr">
        <is>
          <t>34</t>
        </is>
      </c>
      <c r="E109" s="13" t="n">
        <v>237.1</v>
      </c>
      <c r="F109" s="12" t="n">
        <v>0</v>
      </c>
      <c r="G109" s="4" t="n">
        <v>0</v>
      </c>
      <c r="H109" s="4">
        <f>IF(OR(N(F109)&gt;=0.5,G109&gt;=4),3,IF(OR(N(F109)&gt;=0.3,G109=3),2,IF(OR(N(F109)&gt;=0.1,G109&gt;=1),1,0)))</f>
        <v/>
      </c>
      <c r="I109" s="4">
        <f>CHOOSE(H109+1,"Kein Risiko","Gering","Mittel","Hoch")</f>
        <v/>
      </c>
    </row>
    <row r="110">
      <c r="A110" s="4" t="n">
        <v>106</v>
      </c>
      <c r="B110" s="4" t="inlineStr">
        <is>
          <t>apartments</t>
        </is>
      </c>
      <c r="C110" s="4" t="inlineStr">
        <is>
          <t>Zementstraße</t>
        </is>
      </c>
      <c r="D110" s="4" t="inlineStr">
        <is>
          <t>55</t>
        </is>
      </c>
      <c r="E110" s="13" t="n">
        <v>136.2</v>
      </c>
      <c r="F110" s="12" t="n">
        <v>0</v>
      </c>
      <c r="G110" s="4" t="n">
        <v>0</v>
      </c>
      <c r="H110" s="4">
        <f>IF(OR(N(F110)&gt;=0.5,G110&gt;=4),3,IF(OR(N(F110)&gt;=0.3,G110=3),2,IF(OR(N(F110)&gt;=0.1,G110&gt;=1),1,0)))</f>
        <v/>
      </c>
      <c r="I110" s="4">
        <f>CHOOSE(H110+1,"Kein Risiko","Gering","Mittel","Hoch")</f>
        <v/>
      </c>
    </row>
    <row r="111">
      <c r="A111" s="4" t="n">
        <v>107</v>
      </c>
      <c r="B111" s="4" t="inlineStr">
        <is>
          <t>yes</t>
        </is>
      </c>
      <c r="C111" s="4" t="inlineStr">
        <is>
          <t>Dixbäume</t>
        </is>
      </c>
      <c r="D111" s="4" t="inlineStr">
        <is>
          <t>5b</t>
        </is>
      </c>
      <c r="E111" s="13" t="n">
        <v>187.3</v>
      </c>
      <c r="F111" s="12" t="n">
        <v>0.04000091552734375</v>
      </c>
      <c r="G111" s="4" t="n">
        <v>1</v>
      </c>
      <c r="H111" s="4">
        <f>IF(OR(N(F111)&gt;=0.5,G111&gt;=4),3,IF(OR(N(F111)&gt;=0.3,G111=3),2,IF(OR(N(F111)&gt;=0.1,G111&gt;=1),1,0)))</f>
        <v/>
      </c>
      <c r="I111" s="4">
        <f>CHOOSE(H111+1,"Kein Risiko","Gering","Mittel","Hoch")</f>
        <v/>
      </c>
    </row>
    <row r="112">
      <c r="A112" s="4" t="n">
        <v>108</v>
      </c>
      <c r="B112" s="4" t="inlineStr">
        <is>
          <t>apartments</t>
        </is>
      </c>
      <c r="C112" s="4" t="inlineStr">
        <is>
          <t>Narjesstraße</t>
        </is>
      </c>
      <c r="D112" s="4" t="inlineStr">
        <is>
          <t>7</t>
        </is>
      </c>
      <c r="E112" s="13" t="n">
        <v>166.8</v>
      </c>
      <c r="F112" s="12" t="n">
        <v>0</v>
      </c>
      <c r="G112" s="4" t="n">
        <v>3</v>
      </c>
      <c r="H112" s="4">
        <f>IF(OR(N(F112)&gt;=0.5,G112&gt;=4),3,IF(OR(N(F112)&gt;=0.3,G112=3),2,IF(OR(N(F112)&gt;=0.1,G112&gt;=1),1,0)))</f>
        <v/>
      </c>
      <c r="I112" s="4">
        <f>CHOOSE(H112+1,"Kein Risiko","Gering","Mittel","Hoch")</f>
        <v/>
      </c>
    </row>
    <row r="113">
      <c r="A113" s="4" t="n">
        <v>109</v>
      </c>
      <c r="B113" s="4" t="inlineStr">
        <is>
          <t>residential</t>
        </is>
      </c>
      <c r="C113" s="4" t="inlineStr">
        <is>
          <t>Dixbäume</t>
        </is>
      </c>
      <c r="D113" s="4" t="inlineStr">
        <is>
          <t>5d</t>
        </is>
      </c>
      <c r="E113" s="13" t="n">
        <v>202.8</v>
      </c>
      <c r="F113" s="12" t="n">
        <v>0</v>
      </c>
      <c r="G113" s="4" t="n">
        <v>2</v>
      </c>
      <c r="H113" s="4">
        <f>IF(OR(N(F113)&gt;=0.5,G113&gt;=4),3,IF(OR(N(F113)&gt;=0.3,G113=3),2,IF(OR(N(F113)&gt;=0.1,G113&gt;=1),1,0)))</f>
        <v/>
      </c>
      <c r="I113" s="4">
        <f>CHOOSE(H113+1,"Kein Risiko","Gering","Mittel","Hoch")</f>
        <v/>
      </c>
    </row>
    <row r="114">
      <c r="A114" s="4" t="n">
        <v>110</v>
      </c>
      <c r="B114" s="4" t="inlineStr">
        <is>
          <t>yes</t>
        </is>
      </c>
      <c r="C114" s="4" t="inlineStr">
        <is>
          <t>Heidbergweg</t>
        </is>
      </c>
      <c r="D114" s="4" t="inlineStr">
        <is>
          <t>4</t>
        </is>
      </c>
      <c r="E114" s="13" t="n">
        <v>144.2</v>
      </c>
      <c r="F114" s="12" t="n">
        <v>0</v>
      </c>
      <c r="G114" s="4" t="n">
        <v>0</v>
      </c>
      <c r="H114" s="4">
        <f>IF(OR(N(F114)&gt;=0.5,G114&gt;=4),3,IF(OR(N(F114)&gt;=0.3,G114=3),2,IF(OR(N(F114)&gt;=0.1,G114&gt;=1),1,0)))</f>
        <v/>
      </c>
      <c r="I114" s="4">
        <f>CHOOSE(H114+1,"Kein Risiko","Gering","Mittel","Hoch")</f>
        <v/>
      </c>
    </row>
    <row r="115">
      <c r="A115" s="4" t="n">
        <v>111</v>
      </c>
      <c r="B115" s="4" t="inlineStr">
        <is>
          <t>yes</t>
        </is>
      </c>
      <c r="C115" s="4" t="inlineStr">
        <is>
          <t>Dixbäume</t>
        </is>
      </c>
      <c r="D115" s="4" t="inlineStr">
        <is>
          <t>5e</t>
        </is>
      </c>
      <c r="E115" s="13" t="n">
        <v>81.90000000000001</v>
      </c>
      <c r="F115" s="12" t="n">
        <v>0</v>
      </c>
      <c r="G115" s="4" t="n">
        <v>4</v>
      </c>
      <c r="H115" s="4">
        <f>IF(OR(N(F115)&gt;=0.5,G115&gt;=4),3,IF(OR(N(F115)&gt;=0.3,G115=3),2,IF(OR(N(F115)&gt;=0.1,G115&gt;=1),1,0)))</f>
        <v/>
      </c>
      <c r="I115" s="4">
        <f>CHOOSE(H115+1,"Kein Risiko","Gering","Mittel","Hoch")</f>
        <v/>
      </c>
    </row>
    <row r="116">
      <c r="A116" s="4" t="n">
        <v>112</v>
      </c>
      <c r="B116" s="4" t="inlineStr">
        <is>
          <t>apartments</t>
        </is>
      </c>
      <c r="C116" s="4" t="inlineStr">
        <is>
          <t>Sandstraße</t>
        </is>
      </c>
      <c r="D116" s="4" t="inlineStr">
        <is>
          <t>30,32</t>
        </is>
      </c>
      <c r="E116" s="13" t="n">
        <v>308.5</v>
      </c>
      <c r="F116" s="12" t="n">
        <v>0</v>
      </c>
      <c r="G116" s="4" t="n">
        <v>0</v>
      </c>
      <c r="H116" s="4">
        <f>IF(OR(N(F116)&gt;=0.5,G116&gt;=4),3,IF(OR(N(F116)&gt;=0.3,G116=3),2,IF(OR(N(F116)&gt;=0.1,G116&gt;=1),1,0)))</f>
        <v/>
      </c>
      <c r="I116" s="4">
        <f>CHOOSE(H116+1,"Kein Risiko","Gering","Mittel","Hoch")</f>
        <v/>
      </c>
    </row>
    <row r="117">
      <c r="A117" s="4" t="n">
        <v>113</v>
      </c>
      <c r="B117" s="4" t="inlineStr">
        <is>
          <t>yes</t>
        </is>
      </c>
      <c r="C117" s="4" t="inlineStr">
        <is>
          <t>Heidbergweg</t>
        </is>
      </c>
      <c r="D117" s="4" t="inlineStr">
        <is>
          <t>2</t>
        </is>
      </c>
      <c r="E117" s="13" t="n">
        <v>120.1</v>
      </c>
      <c r="F117" s="12" t="n">
        <v>0.029998779296875</v>
      </c>
      <c r="G117" s="4" t="n">
        <v>3</v>
      </c>
      <c r="H117" s="4">
        <f>IF(OR(N(F117)&gt;=0.5,G117&gt;=4),3,IF(OR(N(F117)&gt;=0.3,G117=3),2,IF(OR(N(F117)&gt;=0.1,G117&gt;=1),1,0)))</f>
        <v/>
      </c>
      <c r="I117" s="4">
        <f>CHOOSE(H117+1,"Kein Risiko","Gering","Mittel","Hoch")</f>
        <v/>
      </c>
    </row>
    <row r="118">
      <c r="A118" s="4" t="n">
        <v>114</v>
      </c>
      <c r="B118" s="4" t="inlineStr">
        <is>
          <t>apartments</t>
        </is>
      </c>
      <c r="C118" s="4" t="inlineStr">
        <is>
          <t>Narjesstraße</t>
        </is>
      </c>
      <c r="D118" s="4" t="inlineStr">
        <is>
          <t>5</t>
        </is>
      </c>
      <c r="E118" s="13" t="n">
        <v>141</v>
      </c>
      <c r="F118" s="12" t="n">
        <v>0.0099945068359375</v>
      </c>
      <c r="G118" s="4" t="n">
        <v>1</v>
      </c>
      <c r="H118" s="4">
        <f>IF(OR(N(F118)&gt;=0.5,G118&gt;=4),3,IF(OR(N(F118)&gt;=0.3,G118=3),2,IF(OR(N(F118)&gt;=0.1,G118&gt;=1),1,0)))</f>
        <v/>
      </c>
      <c r="I118" s="4">
        <f>CHOOSE(H118+1,"Kein Risiko","Gering","Mittel","Hoch")</f>
        <v/>
      </c>
    </row>
    <row r="119">
      <c r="A119" s="4" t="n">
        <v>115</v>
      </c>
      <c r="B119" s="4" t="inlineStr">
        <is>
          <t>apartments</t>
        </is>
      </c>
      <c r="C119" s="4" t="inlineStr">
        <is>
          <t>Schwermannstraße</t>
        </is>
      </c>
      <c r="D119" s="4" t="inlineStr">
        <is>
          <t>60</t>
        </is>
      </c>
      <c r="E119" s="13" t="n">
        <v>183.7</v>
      </c>
      <c r="F119" s="12" t="n">
        <v>0</v>
      </c>
      <c r="G119" s="4" t="n">
        <v>0</v>
      </c>
      <c r="H119" s="4">
        <f>IF(OR(N(F119)&gt;=0.5,G119&gt;=4),3,IF(OR(N(F119)&gt;=0.3,G119=3),2,IF(OR(N(F119)&gt;=0.1,G119&gt;=1),1,0)))</f>
        <v/>
      </c>
      <c r="I119" s="4">
        <f>CHOOSE(H119+1,"Kein Risiko","Gering","Mittel","Hoch")</f>
        <v/>
      </c>
    </row>
    <row r="120">
      <c r="A120" s="4" t="n">
        <v>116</v>
      </c>
      <c r="B120" s="4" t="inlineStr">
        <is>
          <t>yes</t>
        </is>
      </c>
      <c r="C120" s="4" t="inlineStr">
        <is>
          <t>Heidbergweg</t>
        </is>
      </c>
      <c r="D120" s="4" t="inlineStr">
        <is>
          <t>33</t>
        </is>
      </c>
      <c r="E120" s="13" t="n">
        <v>1959.3</v>
      </c>
      <c r="F120" s="12" t="n">
        <v>1.259994506835938</v>
      </c>
      <c r="G120" s="4" t="n">
        <v>2</v>
      </c>
      <c r="H120" s="4">
        <f>IF(OR(N(F120)&gt;=0.5,G120&gt;=4),3,IF(OR(N(F120)&gt;=0.3,G120=3),2,IF(OR(N(F120)&gt;=0.1,G120&gt;=1),1,0)))</f>
        <v/>
      </c>
      <c r="I120" s="4">
        <f>CHOOSE(H120+1,"Kein Risiko","Gering","Mittel","Hoch")</f>
        <v/>
      </c>
    </row>
    <row r="121">
      <c r="A121" s="4" t="n">
        <v>117</v>
      </c>
      <c r="B121" s="4" t="inlineStr">
        <is>
          <t>apartments</t>
        </is>
      </c>
      <c r="C121" s="4" t="inlineStr">
        <is>
          <t>Dixbäume</t>
        </is>
      </c>
      <c r="D121" s="4" t="inlineStr">
        <is>
          <t>29</t>
        </is>
      </c>
      <c r="E121" s="13" t="n">
        <v>127.3</v>
      </c>
      <c r="F121" s="12" t="n">
        <v>0.05999755859375</v>
      </c>
      <c r="G121" s="4" t="n">
        <v>0</v>
      </c>
      <c r="H121" s="4">
        <f>IF(OR(N(F121)&gt;=0.5,G121&gt;=4),3,IF(OR(N(F121)&gt;=0.3,G121=3),2,IF(OR(N(F121)&gt;=0.1,G121&gt;=1),1,0)))</f>
        <v/>
      </c>
      <c r="I121" s="4">
        <f>CHOOSE(H121+1,"Kein Risiko","Gering","Mittel","Hoch")</f>
        <v/>
      </c>
    </row>
    <row r="122">
      <c r="A122" s="4" t="n">
        <v>118</v>
      </c>
      <c r="B122" s="4" t="inlineStr">
        <is>
          <t>apartments</t>
        </is>
      </c>
      <c r="C122" s="4" t="inlineStr">
        <is>
          <t>Reulsbergweg</t>
        </is>
      </c>
      <c r="D122" s="4" t="inlineStr">
        <is>
          <t>7</t>
        </is>
      </c>
      <c r="E122" s="13" t="n">
        <v>122.6</v>
      </c>
      <c r="F122" s="12" t="n">
        <v>0</v>
      </c>
      <c r="G122" s="4" t="n">
        <v>0</v>
      </c>
      <c r="H122" s="4">
        <f>IF(OR(N(F122)&gt;=0.5,G122&gt;=4),3,IF(OR(N(F122)&gt;=0.3,G122=3),2,IF(OR(N(F122)&gt;=0.1,G122&gt;=1),1,0)))</f>
        <v/>
      </c>
      <c r="I122" s="4">
        <f>CHOOSE(H122+1,"Kein Risiko","Gering","Mittel","Hoch")</f>
        <v/>
      </c>
    </row>
    <row r="123">
      <c r="A123" s="4" t="n">
        <v>119</v>
      </c>
      <c r="B123" s="4" t="inlineStr">
        <is>
          <t>apartments</t>
        </is>
      </c>
      <c r="C123" s="4" t="inlineStr">
        <is>
          <t>Dixbäume</t>
        </is>
      </c>
      <c r="D123" s="4" t="inlineStr">
        <is>
          <t>3</t>
        </is>
      </c>
      <c r="E123" s="13" t="n">
        <v>125.4</v>
      </c>
      <c r="F123" s="12" t="n">
        <v>0</v>
      </c>
      <c r="G123" s="4" t="n">
        <v>2</v>
      </c>
      <c r="H123" s="4">
        <f>IF(OR(N(F123)&gt;=0.5,G123&gt;=4),3,IF(OR(N(F123)&gt;=0.3,G123=3),2,IF(OR(N(F123)&gt;=0.1,G123&gt;=1),1,0)))</f>
        <v/>
      </c>
      <c r="I123" s="4">
        <f>CHOOSE(H123+1,"Kein Risiko","Gering","Mittel","Hoch")</f>
        <v/>
      </c>
    </row>
    <row r="124">
      <c r="A124" s="4" t="n">
        <v>120</v>
      </c>
      <c r="B124" s="4" t="inlineStr">
        <is>
          <t>apartments</t>
        </is>
      </c>
      <c r="C124" s="4" t="inlineStr">
        <is>
          <t>Kupferdreher Straße</t>
        </is>
      </c>
      <c r="D124" s="4" t="inlineStr">
        <is>
          <t>87</t>
        </is>
      </c>
      <c r="E124" s="13" t="n">
        <v>189.5</v>
      </c>
      <c r="F124" s="12" t="n">
        <v>0.06999969482421875</v>
      </c>
      <c r="G124" s="4" t="n">
        <v>1</v>
      </c>
      <c r="H124" s="4">
        <f>IF(OR(N(F124)&gt;=0.5,G124&gt;=4),3,IF(OR(N(F124)&gt;=0.3,G124=3),2,IF(OR(N(F124)&gt;=0.1,G124&gt;=1),1,0)))</f>
        <v/>
      </c>
      <c r="I124" s="4">
        <f>CHOOSE(H124+1,"Kein Risiko","Gering","Mittel","Hoch")</f>
        <v/>
      </c>
    </row>
    <row r="125">
      <c r="A125" s="4" t="n">
        <v>121</v>
      </c>
      <c r="B125" s="4" t="inlineStr">
        <is>
          <t>apartments</t>
        </is>
      </c>
      <c r="C125" s="4" t="inlineStr">
        <is>
          <t>Reulsbergweg</t>
        </is>
      </c>
      <c r="D125" s="4" t="inlineStr">
        <is>
          <t>1b,3</t>
        </is>
      </c>
      <c r="E125" s="13" t="n">
        <v>272.8</v>
      </c>
      <c r="F125" s="12" t="n">
        <v>0</v>
      </c>
      <c r="G125" s="4" t="n">
        <v>1</v>
      </c>
      <c r="H125" s="4">
        <f>IF(OR(N(F125)&gt;=0.5,G125&gt;=4),3,IF(OR(N(F125)&gt;=0.3,G125=3),2,IF(OR(N(F125)&gt;=0.1,G125&gt;=1),1,0)))</f>
        <v/>
      </c>
      <c r="I125" s="4">
        <f>CHOOSE(H125+1,"Kein Risiko","Gering","Mittel","Hoch")</f>
        <v/>
      </c>
    </row>
    <row r="126">
      <c r="A126" s="4" t="n">
        <v>122</v>
      </c>
      <c r="B126" s="4" t="inlineStr">
        <is>
          <t>garage</t>
        </is>
      </c>
      <c r="C126" s="4" t="inlineStr"/>
      <c r="D126" s="4" t="inlineStr"/>
      <c r="E126" s="13" t="n">
        <v>49.7</v>
      </c>
      <c r="F126" s="12" t="n">
        <v>0</v>
      </c>
      <c r="G126" s="4" t="n">
        <v>0</v>
      </c>
      <c r="H126" s="4">
        <f>IF(OR(N(F126)&gt;=0.5,G126&gt;=4),3,IF(OR(N(F126)&gt;=0.3,G126=3),2,IF(OR(N(F126)&gt;=0.1,G126&gt;=1),1,0)))</f>
        <v/>
      </c>
      <c r="I126" s="4">
        <f>CHOOSE(H126+1,"Kein Risiko","Gering","Mittel","Hoch")</f>
        <v/>
      </c>
    </row>
    <row r="127">
      <c r="A127" s="4" t="n">
        <v>123</v>
      </c>
      <c r="B127" s="4" t="inlineStr">
        <is>
          <t>semidetached_house</t>
        </is>
      </c>
      <c r="C127" s="4" t="inlineStr">
        <is>
          <t>Gillesweg</t>
        </is>
      </c>
      <c r="D127" s="4" t="inlineStr">
        <is>
          <t>9</t>
        </is>
      </c>
      <c r="E127" s="13" t="n">
        <v>122.5</v>
      </c>
      <c r="F127" s="12" t="n">
        <v>0</v>
      </c>
      <c r="G127" s="4" t="n">
        <v>0</v>
      </c>
      <c r="H127" s="4">
        <f>IF(OR(N(F127)&gt;=0.5,G127&gt;=4),3,IF(OR(N(F127)&gt;=0.3,G127=3),2,IF(OR(N(F127)&gt;=0.1,G127&gt;=1),1,0)))</f>
        <v/>
      </c>
      <c r="I127" s="4">
        <f>CHOOSE(H127+1,"Kein Risiko","Gering","Mittel","Hoch")</f>
        <v/>
      </c>
    </row>
    <row r="128">
      <c r="A128" s="4" t="n">
        <v>124</v>
      </c>
      <c r="B128" s="4" t="inlineStr">
        <is>
          <t>apartments</t>
        </is>
      </c>
      <c r="C128" s="4" t="inlineStr">
        <is>
          <t>Provesthöhe</t>
        </is>
      </c>
      <c r="D128" s="4" t="inlineStr">
        <is>
          <t>8</t>
        </is>
      </c>
      <c r="E128" s="13" t="n">
        <v>75.09999999999999</v>
      </c>
      <c r="F128" s="12" t="n">
        <v>0.0200042724609375</v>
      </c>
      <c r="G128" s="4" t="n">
        <v>1</v>
      </c>
      <c r="H128" s="4">
        <f>IF(OR(N(F128)&gt;=0.5,G128&gt;=4),3,IF(OR(N(F128)&gt;=0.3,G128=3),2,IF(OR(N(F128)&gt;=0.1,G128&gt;=1),1,0)))</f>
        <v/>
      </c>
      <c r="I128" s="4">
        <f>CHOOSE(H128+1,"Kein Risiko","Gering","Mittel","Hoch")</f>
        <v/>
      </c>
    </row>
    <row r="129">
      <c r="A129" s="4" t="n">
        <v>125</v>
      </c>
      <c r="B129" s="4" t="inlineStr">
        <is>
          <t>residential</t>
        </is>
      </c>
      <c r="C129" s="4" t="inlineStr">
        <is>
          <t>Dixbäume</t>
        </is>
      </c>
      <c r="D129" s="4" t="inlineStr">
        <is>
          <t>7b</t>
        </is>
      </c>
      <c r="E129" s="13" t="n">
        <v>139.9</v>
      </c>
      <c r="F129" s="12" t="n">
        <v>0</v>
      </c>
      <c r="G129" s="4" t="n">
        <v>1</v>
      </c>
      <c r="H129" s="4">
        <f>IF(OR(N(F129)&gt;=0.5,G129&gt;=4),3,IF(OR(N(F129)&gt;=0.3,G129=3),2,IF(OR(N(F129)&gt;=0.1,G129&gt;=1),1,0)))</f>
        <v/>
      </c>
      <c r="I129" s="4">
        <f>CHOOSE(H129+1,"Kein Risiko","Gering","Mittel","Hoch")</f>
        <v/>
      </c>
    </row>
    <row r="130">
      <c r="A130" s="4" t="n">
        <v>126</v>
      </c>
      <c r="B130" s="4" t="inlineStr">
        <is>
          <t>detached</t>
        </is>
      </c>
      <c r="C130" s="4" t="inlineStr">
        <is>
          <t>Heidbergweg</t>
        </is>
      </c>
      <c r="D130" s="4" t="inlineStr">
        <is>
          <t>43</t>
        </is>
      </c>
      <c r="E130" s="13" t="n">
        <v>179.2</v>
      </c>
      <c r="F130" s="12" t="n">
        <v>0.04000091552734375</v>
      </c>
      <c r="G130" s="4" t="n">
        <v>2</v>
      </c>
      <c r="H130" s="4">
        <f>IF(OR(N(F130)&gt;=0.5,G130&gt;=4),3,IF(OR(N(F130)&gt;=0.3,G130=3),2,IF(OR(N(F130)&gt;=0.1,G130&gt;=1),1,0)))</f>
        <v/>
      </c>
      <c r="I130" s="4">
        <f>CHOOSE(H130+1,"Kein Risiko","Gering","Mittel","Hoch")</f>
        <v/>
      </c>
    </row>
    <row r="131">
      <c r="A131" s="4" t="n">
        <v>127</v>
      </c>
      <c r="B131" s="4" t="inlineStr">
        <is>
          <t>residential</t>
        </is>
      </c>
      <c r="C131" s="4" t="inlineStr">
        <is>
          <t>Dixbäume</t>
        </is>
      </c>
      <c r="D131" s="4" t="inlineStr">
        <is>
          <t>7c</t>
        </is>
      </c>
      <c r="E131" s="13" t="n">
        <v>102.8</v>
      </c>
      <c r="F131" s="12" t="n">
        <v>0.3000030517578125</v>
      </c>
      <c r="G131" s="4" t="n">
        <v>2</v>
      </c>
      <c r="H131" s="4">
        <f>IF(OR(N(F131)&gt;=0.5,G131&gt;=4),3,IF(OR(N(F131)&gt;=0.3,G131=3),2,IF(OR(N(F131)&gt;=0.1,G131&gt;=1),1,0)))</f>
        <v/>
      </c>
      <c r="I131" s="4">
        <f>CHOOSE(H131+1,"Kein Risiko","Gering","Mittel","Hoch")</f>
        <v/>
      </c>
    </row>
    <row r="132">
      <c r="A132" s="4" t="n">
        <v>128</v>
      </c>
      <c r="B132" s="4" t="inlineStr">
        <is>
          <t>residential</t>
        </is>
      </c>
      <c r="C132" s="4" t="inlineStr">
        <is>
          <t>Dixbäume</t>
        </is>
      </c>
      <c r="D132" s="4" t="inlineStr">
        <is>
          <t>7</t>
        </is>
      </c>
      <c r="E132" s="13" t="n">
        <v>155.7</v>
      </c>
      <c r="F132" s="12" t="n">
        <v>0</v>
      </c>
      <c r="G132" s="4" t="n">
        <v>2</v>
      </c>
      <c r="H132" s="4">
        <f>IF(OR(N(F132)&gt;=0.5,G132&gt;=4),3,IF(OR(N(F132)&gt;=0.3,G132=3),2,IF(OR(N(F132)&gt;=0.1,G132&gt;=1),1,0)))</f>
        <v/>
      </c>
      <c r="I132" s="4">
        <f>CHOOSE(H132+1,"Kein Risiko","Gering","Mittel","Hoch")</f>
        <v/>
      </c>
    </row>
    <row r="133">
      <c r="A133" s="4" t="n">
        <v>129</v>
      </c>
      <c r="B133" s="4" t="inlineStr">
        <is>
          <t>detached</t>
        </is>
      </c>
      <c r="C133" s="4" t="inlineStr">
        <is>
          <t>Dixbäume</t>
        </is>
      </c>
      <c r="D133" s="4" t="inlineStr">
        <is>
          <t>19e</t>
        </is>
      </c>
      <c r="E133" s="13" t="n">
        <v>89.2</v>
      </c>
      <c r="F133" s="12" t="n">
        <v>0.529998779296875</v>
      </c>
      <c r="G133" s="4" t="n">
        <v>0</v>
      </c>
      <c r="H133" s="4">
        <f>IF(OR(N(F133)&gt;=0.5,G133&gt;=4),3,IF(OR(N(F133)&gt;=0.3,G133=3),2,IF(OR(N(F133)&gt;=0.1,G133&gt;=1),1,0)))</f>
        <v/>
      </c>
      <c r="I133" s="4">
        <f>CHOOSE(H133+1,"Kein Risiko","Gering","Mittel","Hoch")</f>
        <v/>
      </c>
    </row>
    <row r="134">
      <c r="A134" s="4" t="n">
        <v>130</v>
      </c>
      <c r="B134" s="4" t="inlineStr">
        <is>
          <t>yes</t>
        </is>
      </c>
      <c r="C134" s="4" t="inlineStr">
        <is>
          <t>Heidbergweg</t>
        </is>
      </c>
      <c r="D134" s="4" t="inlineStr">
        <is>
          <t>41</t>
        </is>
      </c>
      <c r="E134" s="13" t="n">
        <v>179.2</v>
      </c>
      <c r="F134" s="12" t="n">
        <v>0</v>
      </c>
      <c r="G134" s="4" t="n">
        <v>0</v>
      </c>
      <c r="H134" s="4">
        <f>IF(OR(N(F134)&gt;=0.5,G134&gt;=4),3,IF(OR(N(F134)&gt;=0.3,G134=3),2,IF(OR(N(F134)&gt;=0.1,G134&gt;=1),1,0)))</f>
        <v/>
      </c>
      <c r="I134" s="4">
        <f>CHOOSE(H134+1,"Kein Risiko","Gering","Mittel","Hoch")</f>
        <v/>
      </c>
    </row>
    <row r="135">
      <c r="A135" s="4" t="n">
        <v>131</v>
      </c>
      <c r="B135" s="4" t="inlineStr">
        <is>
          <t>residential</t>
        </is>
      </c>
      <c r="C135" s="4" t="inlineStr">
        <is>
          <t>Dixbäume</t>
        </is>
      </c>
      <c r="D135" s="4" t="inlineStr">
        <is>
          <t>7a</t>
        </is>
      </c>
      <c r="E135" s="13" t="n">
        <v>96.90000000000001</v>
      </c>
      <c r="F135" s="12" t="n">
        <v>0</v>
      </c>
      <c r="G135" s="4" t="n">
        <v>1</v>
      </c>
      <c r="H135" s="4">
        <f>IF(OR(N(F135)&gt;=0.5,G135&gt;=4),3,IF(OR(N(F135)&gt;=0.3,G135=3),2,IF(OR(N(F135)&gt;=0.1,G135&gt;=1),1,0)))</f>
        <v/>
      </c>
      <c r="I135" s="4">
        <f>CHOOSE(H135+1,"Kein Risiko","Gering","Mittel","Hoch")</f>
        <v/>
      </c>
    </row>
    <row r="136">
      <c r="A136" s="4" t="n">
        <v>132</v>
      </c>
      <c r="B136" s="4" t="inlineStr">
        <is>
          <t>detached</t>
        </is>
      </c>
      <c r="C136" s="4" t="inlineStr">
        <is>
          <t>Heidbergweg</t>
        </is>
      </c>
      <c r="D136" s="4" t="inlineStr">
        <is>
          <t>45</t>
        </is>
      </c>
      <c r="E136" s="13" t="n">
        <v>177</v>
      </c>
      <c r="F136" s="12" t="n">
        <v>0.029998779296875</v>
      </c>
      <c r="G136" s="4" t="n">
        <v>1</v>
      </c>
      <c r="H136" s="4">
        <f>IF(OR(N(F136)&gt;=0.5,G136&gt;=4),3,IF(OR(N(F136)&gt;=0.3,G136=3),2,IF(OR(N(F136)&gt;=0.1,G136&gt;=1),1,0)))</f>
        <v/>
      </c>
      <c r="I136" s="4">
        <f>CHOOSE(H136+1,"Kein Risiko","Gering","Mittel","Hoch")</f>
        <v/>
      </c>
    </row>
    <row r="137">
      <c r="A137" s="4" t="n">
        <v>133</v>
      </c>
      <c r="B137" s="4" t="inlineStr">
        <is>
          <t>apartments</t>
        </is>
      </c>
      <c r="C137" s="4" t="inlineStr">
        <is>
          <t>Reulsbergweg</t>
        </is>
      </c>
      <c r="D137" s="4" t="inlineStr">
        <is>
          <t>11b</t>
        </is>
      </c>
      <c r="E137" s="13" t="n">
        <v>159.5</v>
      </c>
      <c r="F137" s="12" t="n">
        <v>0</v>
      </c>
      <c r="G137" s="4" t="n">
        <v>3</v>
      </c>
      <c r="H137" s="4">
        <f>IF(OR(N(F137)&gt;=0.5,G137&gt;=4),3,IF(OR(N(F137)&gt;=0.3,G137=3),2,IF(OR(N(F137)&gt;=0.1,G137&gt;=1),1,0)))</f>
        <v/>
      </c>
      <c r="I137" s="4">
        <f>CHOOSE(H137+1,"Kein Risiko","Gering","Mittel","Hoch")</f>
        <v/>
      </c>
    </row>
    <row r="138">
      <c r="A138" s="4" t="n">
        <v>134</v>
      </c>
      <c r="B138" s="4" t="inlineStr">
        <is>
          <t>apartments</t>
        </is>
      </c>
      <c r="C138" s="4" t="inlineStr">
        <is>
          <t>Provesthöhe</t>
        </is>
      </c>
      <c r="D138" s="4" t="inlineStr">
        <is>
          <t>9</t>
        </is>
      </c>
      <c r="E138" s="13" t="n">
        <v>162.4</v>
      </c>
      <c r="F138" s="12" t="n">
        <v>0.04000091552734375</v>
      </c>
      <c r="G138" s="4" t="n">
        <v>0</v>
      </c>
      <c r="H138" s="4">
        <f>IF(OR(N(F138)&gt;=0.5,G138&gt;=4),3,IF(OR(N(F138)&gt;=0.3,G138=3),2,IF(OR(N(F138)&gt;=0.1,G138&gt;=1),1,0)))</f>
        <v/>
      </c>
      <c r="I138" s="4">
        <f>CHOOSE(H138+1,"Kein Risiko","Gering","Mittel","Hoch")</f>
        <v/>
      </c>
    </row>
    <row r="139">
      <c r="A139" s="4" t="n">
        <v>135</v>
      </c>
      <c r="B139" s="4" t="inlineStr">
        <is>
          <t>apartments</t>
        </is>
      </c>
      <c r="C139" s="4" t="inlineStr">
        <is>
          <t>Schwermannstraße</t>
        </is>
      </c>
      <c r="D139" s="4" t="inlineStr">
        <is>
          <t>65</t>
        </is>
      </c>
      <c r="E139" s="13" t="n">
        <v>185.8</v>
      </c>
      <c r="F139" s="12" t="n">
        <v>0.0200042724609375</v>
      </c>
      <c r="G139" s="4" t="n">
        <v>0</v>
      </c>
      <c r="H139" s="4">
        <f>IF(OR(N(F139)&gt;=0.5,G139&gt;=4),3,IF(OR(N(F139)&gt;=0.3,G139=3),2,IF(OR(N(F139)&gt;=0.1,G139&gt;=1),1,0)))</f>
        <v/>
      </c>
      <c r="I139" s="4">
        <f>CHOOSE(H139+1,"Kein Risiko","Gering","Mittel","Hoch")</f>
        <v/>
      </c>
    </row>
    <row r="140">
      <c r="A140" s="4" t="n">
        <v>136</v>
      </c>
      <c r="B140" s="4" t="inlineStr">
        <is>
          <t>apartments</t>
        </is>
      </c>
      <c r="C140" s="4" t="inlineStr">
        <is>
          <t>Heidbergweg</t>
        </is>
      </c>
      <c r="D140" s="4" t="inlineStr">
        <is>
          <t>47</t>
        </is>
      </c>
      <c r="E140" s="13" t="n">
        <v>114.1</v>
      </c>
      <c r="F140" s="12" t="n">
        <v>0</v>
      </c>
      <c r="G140" s="4" t="n">
        <v>1</v>
      </c>
      <c r="H140" s="4">
        <f>IF(OR(N(F140)&gt;=0.5,G140&gt;=4),3,IF(OR(N(F140)&gt;=0.3,G140=3),2,IF(OR(N(F140)&gt;=0.1,G140&gt;=1),1,0)))</f>
        <v/>
      </c>
      <c r="I140" s="4">
        <f>CHOOSE(H140+1,"Kein Risiko","Gering","Mittel","Hoch")</f>
        <v/>
      </c>
    </row>
    <row r="141">
      <c r="A141" s="4" t="n">
        <v>137</v>
      </c>
      <c r="B141" s="4" t="inlineStr">
        <is>
          <t>detached</t>
        </is>
      </c>
      <c r="C141" s="4" t="inlineStr">
        <is>
          <t>Byfanger Straße</t>
        </is>
      </c>
      <c r="D141" s="4" t="inlineStr">
        <is>
          <t>70</t>
        </is>
      </c>
      <c r="E141" s="13" t="n">
        <v>181.5</v>
      </c>
      <c r="F141" s="12" t="n">
        <v>0.1299972534179688</v>
      </c>
      <c r="G141" s="4" t="n">
        <v>0</v>
      </c>
      <c r="H141" s="4">
        <f>IF(OR(N(F141)&gt;=0.5,G141&gt;=4),3,IF(OR(N(F141)&gt;=0.3,G141=3),2,IF(OR(N(F141)&gt;=0.1,G141&gt;=1),1,0)))</f>
        <v/>
      </c>
      <c r="I141" s="4">
        <f>CHOOSE(H141+1,"Kein Risiko","Gering","Mittel","Hoch")</f>
        <v/>
      </c>
    </row>
    <row r="142">
      <c r="A142" s="4" t="n">
        <v>138</v>
      </c>
      <c r="B142" s="4" t="inlineStr">
        <is>
          <t>detached</t>
        </is>
      </c>
      <c r="C142" s="4" t="inlineStr">
        <is>
          <t>Dixbäume</t>
        </is>
      </c>
      <c r="D142" s="4" t="inlineStr">
        <is>
          <t>19a</t>
        </is>
      </c>
      <c r="E142" s="13" t="n">
        <v>124</v>
      </c>
      <c r="F142" s="12" t="n">
        <v>0</v>
      </c>
      <c r="G142" s="4" t="n">
        <v>0</v>
      </c>
      <c r="H142" s="4">
        <f>IF(OR(N(F142)&gt;=0.5,G142&gt;=4),3,IF(OR(N(F142)&gt;=0.3,G142=3),2,IF(OR(N(F142)&gt;=0.1,G142&gt;=1),1,0)))</f>
        <v/>
      </c>
      <c r="I142" s="4">
        <f>CHOOSE(H142+1,"Kein Risiko","Gering","Mittel","Hoch")</f>
        <v/>
      </c>
    </row>
    <row r="143">
      <c r="A143" s="4" t="n">
        <v>139</v>
      </c>
      <c r="B143" s="4" t="inlineStr">
        <is>
          <t>detached</t>
        </is>
      </c>
      <c r="C143" s="4" t="inlineStr">
        <is>
          <t>Dixbäume</t>
        </is>
      </c>
      <c r="D143" s="4" t="inlineStr">
        <is>
          <t>19d</t>
        </is>
      </c>
      <c r="E143" s="13" t="n">
        <v>88.8</v>
      </c>
      <c r="F143" s="12" t="n">
        <v>0</v>
      </c>
      <c r="G143" s="4" t="n">
        <v>0</v>
      </c>
      <c r="H143" s="4">
        <f>IF(OR(N(F143)&gt;=0.5,G143&gt;=4),3,IF(OR(N(F143)&gt;=0.3,G143=3),2,IF(OR(N(F143)&gt;=0.1,G143&gt;=1),1,0)))</f>
        <v/>
      </c>
      <c r="I143" s="4">
        <f>CHOOSE(H143+1,"Kein Risiko","Gering","Mittel","Hoch")</f>
        <v/>
      </c>
    </row>
    <row r="144">
      <c r="A144" s="4" t="n">
        <v>140</v>
      </c>
      <c r="B144" s="4" t="inlineStr">
        <is>
          <t>detached</t>
        </is>
      </c>
      <c r="C144" s="4" t="inlineStr">
        <is>
          <t>Byfanger Straße</t>
        </is>
      </c>
      <c r="D144" s="4" t="inlineStr">
        <is>
          <t>87</t>
        </is>
      </c>
      <c r="E144" s="13" t="n">
        <v>115.6</v>
      </c>
      <c r="F144" s="12" t="n">
        <v>0</v>
      </c>
      <c r="G144" s="4" t="n">
        <v>0</v>
      </c>
      <c r="H144" s="4">
        <f>IF(OR(N(F144)&gt;=0.5,G144&gt;=4),3,IF(OR(N(F144)&gt;=0.3,G144=3),2,IF(OR(N(F144)&gt;=0.1,G144&gt;=1),1,0)))</f>
        <v/>
      </c>
      <c r="I144" s="4">
        <f>CHOOSE(H144+1,"Kein Risiko","Gering","Mittel","Hoch")</f>
        <v/>
      </c>
    </row>
    <row r="145">
      <c r="A145" s="4" t="n">
        <v>141</v>
      </c>
      <c r="B145" s="4" t="inlineStr">
        <is>
          <t>apartments</t>
        </is>
      </c>
      <c r="C145" s="4" t="inlineStr">
        <is>
          <t>Reulsbergweg</t>
        </is>
      </c>
      <c r="D145" s="4" t="inlineStr">
        <is>
          <t>9</t>
        </is>
      </c>
      <c r="E145" s="13" t="n">
        <v>139.6</v>
      </c>
      <c r="F145" s="12" t="n">
        <v>0.2399978637695312</v>
      </c>
      <c r="G145" s="4" t="n">
        <v>0</v>
      </c>
      <c r="H145" s="4">
        <f>IF(OR(N(F145)&gt;=0.5,G145&gt;=4),3,IF(OR(N(F145)&gt;=0.3,G145=3),2,IF(OR(N(F145)&gt;=0.1,G145&gt;=1),1,0)))</f>
        <v/>
      </c>
      <c r="I145" s="4">
        <f>CHOOSE(H145+1,"Kein Risiko","Gering","Mittel","Hoch")</f>
        <v/>
      </c>
    </row>
    <row r="146">
      <c r="A146" s="4" t="n">
        <v>142</v>
      </c>
      <c r="B146" s="4" t="inlineStr">
        <is>
          <t>detached</t>
        </is>
      </c>
      <c r="C146" s="4" t="inlineStr">
        <is>
          <t>Byfanger Straße</t>
        </is>
      </c>
      <c r="D146" s="4" t="inlineStr">
        <is>
          <t>89</t>
        </is>
      </c>
      <c r="E146" s="13" t="n">
        <v>148.9</v>
      </c>
      <c r="F146" s="12" t="n">
        <v>0.0200042724609375</v>
      </c>
      <c r="G146" s="4" t="n">
        <v>0</v>
      </c>
      <c r="H146" s="4">
        <f>IF(OR(N(F146)&gt;=0.5,G146&gt;=4),3,IF(OR(N(F146)&gt;=0.3,G146=3),2,IF(OR(N(F146)&gt;=0.1,G146&gt;=1),1,0)))</f>
        <v/>
      </c>
      <c r="I146" s="4">
        <f>CHOOSE(H146+1,"Kein Risiko","Gering","Mittel","Hoch")</f>
        <v/>
      </c>
    </row>
    <row r="147">
      <c r="A147" s="4" t="n">
        <v>143</v>
      </c>
      <c r="B147" s="4" t="inlineStr">
        <is>
          <t>detached</t>
        </is>
      </c>
      <c r="C147" s="4" t="inlineStr">
        <is>
          <t>Dixbäume</t>
        </is>
      </c>
      <c r="D147" s="4" t="inlineStr">
        <is>
          <t>19c</t>
        </is>
      </c>
      <c r="E147" s="13" t="n">
        <v>89.5</v>
      </c>
      <c r="F147" s="12" t="n">
        <v>0</v>
      </c>
      <c r="G147" s="4" t="n">
        <v>0</v>
      </c>
      <c r="H147" s="4">
        <f>IF(OR(N(F147)&gt;=0.5,G147&gt;=4),3,IF(OR(N(F147)&gt;=0.3,G147=3),2,IF(OR(N(F147)&gt;=0.1,G147&gt;=1),1,0)))</f>
        <v/>
      </c>
      <c r="I147" s="4">
        <f>CHOOSE(H147+1,"Kein Risiko","Gering","Mittel","Hoch")</f>
        <v/>
      </c>
    </row>
    <row r="148">
      <c r="A148" s="4" t="n">
        <v>144</v>
      </c>
      <c r="B148" s="4" t="inlineStr">
        <is>
          <t>apartments</t>
        </is>
      </c>
      <c r="C148" s="4" t="inlineStr">
        <is>
          <t>Reulsbergweg</t>
        </is>
      </c>
      <c r="D148" s="4" t="inlineStr">
        <is>
          <t>5</t>
        </is>
      </c>
      <c r="E148" s="13" t="n">
        <v>88.2</v>
      </c>
      <c r="F148" s="12" t="n">
        <v>0</v>
      </c>
      <c r="G148" s="4" t="n">
        <v>0</v>
      </c>
      <c r="H148" s="4">
        <f>IF(OR(N(F148)&gt;=0.5,G148&gt;=4),3,IF(OR(N(F148)&gt;=0.3,G148=3),2,IF(OR(N(F148)&gt;=0.1,G148&gt;=1),1,0)))</f>
        <v/>
      </c>
      <c r="I148" s="4">
        <f>CHOOSE(H148+1,"Kein Risiko","Gering","Mittel","Hoch")</f>
        <v/>
      </c>
    </row>
    <row r="149">
      <c r="A149" s="4" t="n">
        <v>145</v>
      </c>
      <c r="B149" s="4" t="inlineStr">
        <is>
          <t>apartments</t>
        </is>
      </c>
      <c r="C149" s="4" t="inlineStr">
        <is>
          <t>Reulsbergweg</t>
        </is>
      </c>
      <c r="D149" s="4" t="inlineStr">
        <is>
          <t>11</t>
        </is>
      </c>
      <c r="E149" s="13" t="n">
        <v>162.9</v>
      </c>
      <c r="F149" s="12" t="n">
        <v>0.6800003051757812</v>
      </c>
      <c r="G149" s="4" t="n">
        <v>0</v>
      </c>
      <c r="H149" s="4">
        <f>IF(OR(N(F149)&gt;=0.5,G149&gt;=4),3,IF(OR(N(F149)&gt;=0.3,G149=3),2,IF(OR(N(F149)&gt;=0.1,G149&gt;=1),1,0)))</f>
        <v/>
      </c>
      <c r="I149" s="4">
        <f>CHOOSE(H149+1,"Kein Risiko","Gering","Mittel","Hoch")</f>
        <v/>
      </c>
    </row>
    <row r="150">
      <c r="A150" s="4" t="n">
        <v>146</v>
      </c>
      <c r="B150" s="4" t="inlineStr">
        <is>
          <t>apartments</t>
        </is>
      </c>
      <c r="C150" s="4" t="inlineStr">
        <is>
          <t>Provesthöhe</t>
        </is>
      </c>
      <c r="D150" s="4" t="inlineStr">
        <is>
          <t>11</t>
        </is>
      </c>
      <c r="E150" s="13" t="n">
        <v>161.6</v>
      </c>
      <c r="F150" s="12" t="n">
        <v>0.04000091552734375</v>
      </c>
      <c r="G150" s="4" t="n">
        <v>0</v>
      </c>
      <c r="H150" s="4">
        <f>IF(OR(N(F150)&gt;=0.5,G150&gt;=4),3,IF(OR(N(F150)&gt;=0.3,G150=3),2,IF(OR(N(F150)&gt;=0.1,G150&gt;=1),1,0)))</f>
        <v/>
      </c>
      <c r="I150" s="4">
        <f>CHOOSE(H150+1,"Kein Risiko","Gering","Mittel","Hoch")</f>
        <v/>
      </c>
    </row>
    <row r="151">
      <c r="A151" s="4" t="n">
        <v>147</v>
      </c>
      <c r="B151" s="4" t="inlineStr">
        <is>
          <t>detached</t>
        </is>
      </c>
      <c r="C151" s="4" t="inlineStr">
        <is>
          <t>Heidbergweg</t>
        </is>
      </c>
      <c r="D151" s="4" t="inlineStr">
        <is>
          <t>30</t>
        </is>
      </c>
      <c r="E151" s="13" t="n">
        <v>142.9</v>
      </c>
      <c r="F151" s="12" t="n">
        <v>0</v>
      </c>
      <c r="G151" s="4" t="n">
        <v>0</v>
      </c>
      <c r="H151" s="4">
        <f>IF(OR(N(F151)&gt;=0.5,G151&gt;=4),3,IF(OR(N(F151)&gt;=0.3,G151=3),2,IF(OR(N(F151)&gt;=0.1,G151&gt;=1),1,0)))</f>
        <v/>
      </c>
      <c r="I151" s="4">
        <f>CHOOSE(H151+1,"Kein Risiko","Gering","Mittel","Hoch")</f>
        <v/>
      </c>
    </row>
    <row r="152">
      <c r="A152" s="4" t="n">
        <v>148</v>
      </c>
      <c r="B152" s="4" t="inlineStr">
        <is>
          <t>apartments</t>
        </is>
      </c>
      <c r="C152" s="4" t="inlineStr">
        <is>
          <t>Provesthöhe</t>
        </is>
      </c>
      <c r="D152" s="4" t="inlineStr">
        <is>
          <t>4</t>
        </is>
      </c>
      <c r="E152" s="13" t="n">
        <v>138.2</v>
      </c>
      <c r="F152" s="12" t="n">
        <v>0</v>
      </c>
      <c r="G152" s="4" t="n">
        <v>2</v>
      </c>
      <c r="H152" s="4">
        <f>IF(OR(N(F152)&gt;=0.5,G152&gt;=4),3,IF(OR(N(F152)&gt;=0.3,G152=3),2,IF(OR(N(F152)&gt;=0.1,G152&gt;=1),1,0)))</f>
        <v/>
      </c>
      <c r="I152" s="4">
        <f>CHOOSE(H152+1,"Kein Risiko","Gering","Mittel","Hoch")</f>
        <v/>
      </c>
    </row>
    <row r="153">
      <c r="A153" s="4" t="n">
        <v>149</v>
      </c>
      <c r="B153" s="4" t="inlineStr">
        <is>
          <t>apartments</t>
        </is>
      </c>
      <c r="C153" s="4" t="inlineStr">
        <is>
          <t>Reulsbergweg</t>
        </is>
      </c>
      <c r="D153" s="4" t="inlineStr">
        <is>
          <t>11a</t>
        </is>
      </c>
      <c r="E153" s="13" t="n">
        <v>140.6</v>
      </c>
      <c r="F153" s="12" t="n">
        <v>0</v>
      </c>
      <c r="G153" s="4" t="n">
        <v>0</v>
      </c>
      <c r="H153" s="4">
        <f>IF(OR(N(F153)&gt;=0.5,G153&gt;=4),3,IF(OR(N(F153)&gt;=0.3,G153=3),2,IF(OR(N(F153)&gt;=0.1,G153&gt;=1),1,0)))</f>
        <v/>
      </c>
      <c r="I153" s="4">
        <f>CHOOSE(H153+1,"Kein Risiko","Gering","Mittel","Hoch")</f>
        <v/>
      </c>
    </row>
    <row r="154">
      <c r="A154" s="4" t="n">
        <v>150</v>
      </c>
      <c r="B154" s="4" t="inlineStr">
        <is>
          <t>apartments</t>
        </is>
      </c>
      <c r="C154" s="4" t="inlineStr">
        <is>
          <t>Provesthöhe</t>
        </is>
      </c>
      <c r="D154" s="4" t="inlineStr">
        <is>
          <t>13</t>
        </is>
      </c>
      <c r="E154" s="13" t="n">
        <v>159.8</v>
      </c>
      <c r="F154" s="12" t="n">
        <v>0.0200042724609375</v>
      </c>
      <c r="G154" s="4" t="n">
        <v>0</v>
      </c>
      <c r="H154" s="4">
        <f>IF(OR(N(F154)&gt;=0.5,G154&gt;=4),3,IF(OR(N(F154)&gt;=0.3,G154=3),2,IF(OR(N(F154)&gt;=0.1,G154&gt;=1),1,0)))</f>
        <v/>
      </c>
      <c r="I154" s="4">
        <f>CHOOSE(H154+1,"Kein Risiko","Gering","Mittel","Hoch")</f>
        <v/>
      </c>
    </row>
    <row r="155">
      <c r="A155" s="4" t="n">
        <v>151</v>
      </c>
      <c r="B155" s="4" t="inlineStr">
        <is>
          <t>detached</t>
        </is>
      </c>
      <c r="C155" s="4" t="inlineStr">
        <is>
          <t>Heidbergweg</t>
        </is>
      </c>
      <c r="D155" s="4" t="inlineStr">
        <is>
          <t>28</t>
        </is>
      </c>
      <c r="E155" s="13" t="n">
        <v>147.2</v>
      </c>
      <c r="F155" s="12" t="n">
        <v>0</v>
      </c>
      <c r="G155" s="4" t="n">
        <v>0</v>
      </c>
      <c r="H155" s="4">
        <f>IF(OR(N(F155)&gt;=0.5,G155&gt;=4),3,IF(OR(N(F155)&gt;=0.3,G155=3),2,IF(OR(N(F155)&gt;=0.1,G155&gt;=1),1,0)))</f>
        <v/>
      </c>
      <c r="I155" s="4">
        <f>CHOOSE(H155+1,"Kein Risiko","Gering","Mittel","Hoch")</f>
        <v/>
      </c>
    </row>
    <row r="156">
      <c r="A156" s="4" t="n">
        <v>152</v>
      </c>
      <c r="B156" s="4" t="inlineStr">
        <is>
          <t>apartments</t>
        </is>
      </c>
      <c r="C156" s="4" t="inlineStr">
        <is>
          <t>Dixbäume</t>
        </is>
      </c>
      <c r="D156" s="4" t="inlineStr">
        <is>
          <t>11</t>
        </is>
      </c>
      <c r="E156" s="13" t="n">
        <v>282.2</v>
      </c>
      <c r="F156" s="12" t="n">
        <v>0.5100021362304688</v>
      </c>
      <c r="G156" s="4" t="n">
        <v>1</v>
      </c>
      <c r="H156" s="4">
        <f>IF(OR(N(F156)&gt;=0.5,G156&gt;=4),3,IF(OR(N(F156)&gt;=0.3,G156=3),2,IF(OR(N(F156)&gt;=0.1,G156&gt;=1),1,0)))</f>
        <v/>
      </c>
      <c r="I156" s="4">
        <f>CHOOSE(H156+1,"Kein Risiko","Gering","Mittel","Hoch")</f>
        <v/>
      </c>
    </row>
    <row r="157">
      <c r="A157" s="4" t="n">
        <v>153</v>
      </c>
      <c r="B157" s="4" t="inlineStr">
        <is>
          <t>detached</t>
        </is>
      </c>
      <c r="C157" s="4" t="inlineStr">
        <is>
          <t>Dixbäume</t>
        </is>
      </c>
      <c r="D157" s="4" t="inlineStr">
        <is>
          <t>19b</t>
        </is>
      </c>
      <c r="E157" s="13" t="n">
        <v>98.59999999999999</v>
      </c>
      <c r="F157" s="12" t="n">
        <v>0.04000091552734375</v>
      </c>
      <c r="G157" s="4" t="n">
        <v>1</v>
      </c>
      <c r="H157" s="4">
        <f>IF(OR(N(F157)&gt;=0.5,G157&gt;=4),3,IF(OR(N(F157)&gt;=0.3,G157=3),2,IF(OR(N(F157)&gt;=0.1,G157&gt;=1),1,0)))</f>
        <v/>
      </c>
      <c r="I157" s="4">
        <f>CHOOSE(H157+1,"Kein Risiko","Gering","Mittel","Hoch")</f>
        <v/>
      </c>
    </row>
    <row r="158">
      <c r="A158" s="4" t="n">
        <v>154</v>
      </c>
      <c r="B158" s="4" t="inlineStr">
        <is>
          <t>apartments</t>
        </is>
      </c>
      <c r="C158" s="4" t="inlineStr">
        <is>
          <t>Provesthöhe</t>
        </is>
      </c>
      <c r="D158" s="4" t="inlineStr">
        <is>
          <t>14</t>
        </is>
      </c>
      <c r="E158" s="13" t="n">
        <v>111.5</v>
      </c>
      <c r="F158" s="12" t="n">
        <v>0</v>
      </c>
      <c r="G158" s="4" t="n">
        <v>0</v>
      </c>
      <c r="H158" s="4">
        <f>IF(OR(N(F158)&gt;=0.5,G158&gt;=4),3,IF(OR(N(F158)&gt;=0.3,G158=3),2,IF(OR(N(F158)&gt;=0.1,G158&gt;=1),1,0)))</f>
        <v/>
      </c>
      <c r="I158" s="4">
        <f>CHOOSE(H158+1,"Kein Risiko","Gering","Mittel","Hoch")</f>
        <v/>
      </c>
    </row>
    <row r="159">
      <c r="A159" s="4" t="n">
        <v>155</v>
      </c>
      <c r="B159" s="4" t="inlineStr">
        <is>
          <t>apartments</t>
        </is>
      </c>
      <c r="C159" s="4" t="inlineStr">
        <is>
          <t>Dixbäume</t>
        </is>
      </c>
      <c r="D159" s="4" t="inlineStr">
        <is>
          <t>13</t>
        </is>
      </c>
      <c r="E159" s="13" t="n">
        <v>133.3</v>
      </c>
      <c r="F159" s="12" t="n">
        <v>1.029998779296875</v>
      </c>
      <c r="G159" s="4" t="n">
        <v>0</v>
      </c>
      <c r="H159" s="4">
        <f>IF(OR(N(F159)&gt;=0.5,G159&gt;=4),3,IF(OR(N(F159)&gt;=0.3,G159=3),2,IF(OR(N(F159)&gt;=0.1,G159&gt;=1),1,0)))</f>
        <v/>
      </c>
      <c r="I159" s="4">
        <f>CHOOSE(H159+1,"Kein Risiko","Gering","Mittel","Hoch")</f>
        <v/>
      </c>
    </row>
    <row r="160">
      <c r="A160" s="4" t="n">
        <v>156</v>
      </c>
      <c r="B160" s="4" t="inlineStr">
        <is>
          <t>apartments</t>
        </is>
      </c>
      <c r="C160" s="4" t="inlineStr">
        <is>
          <t>Sandstraße</t>
        </is>
      </c>
      <c r="D160" s="4" t="inlineStr">
        <is>
          <t>3</t>
        </is>
      </c>
      <c r="E160" s="13" t="n">
        <v>192.6</v>
      </c>
      <c r="F160" s="12" t="n">
        <v>0.0399932861328125</v>
      </c>
      <c r="G160" s="4" t="n">
        <v>0</v>
      </c>
      <c r="H160" s="4">
        <f>IF(OR(N(F160)&gt;=0.5,G160&gt;=4),3,IF(OR(N(F160)&gt;=0.3,G160=3),2,IF(OR(N(F160)&gt;=0.1,G160&gt;=1),1,0)))</f>
        <v/>
      </c>
      <c r="I160" s="4">
        <f>CHOOSE(H160+1,"Kein Risiko","Gering","Mittel","Hoch")</f>
        <v/>
      </c>
    </row>
    <row r="161">
      <c r="A161" s="4" t="n">
        <v>157</v>
      </c>
      <c r="B161" s="4" t="inlineStr">
        <is>
          <t>house</t>
        </is>
      </c>
      <c r="C161" s="4" t="inlineStr">
        <is>
          <t>Byfanger Straße</t>
        </is>
      </c>
      <c r="D161" s="4" t="inlineStr">
        <is>
          <t>57c</t>
        </is>
      </c>
      <c r="E161" s="13" t="n">
        <v>49</v>
      </c>
      <c r="F161" s="12" t="n">
        <v>0</v>
      </c>
      <c r="G161" s="4" t="n">
        <v>0</v>
      </c>
      <c r="H161" s="4">
        <f>IF(OR(N(F161)&gt;=0.5,G161&gt;=4),3,IF(OR(N(F161)&gt;=0.3,G161=3),2,IF(OR(N(F161)&gt;=0.1,G161&gt;=1),1,0)))</f>
        <v/>
      </c>
      <c r="I161" s="4">
        <f>CHOOSE(H161+1,"Kein Risiko","Gering","Mittel","Hoch")</f>
        <v/>
      </c>
    </row>
    <row r="162">
      <c r="A162" s="4" t="n">
        <v>158</v>
      </c>
      <c r="B162" s="4" t="inlineStr">
        <is>
          <t>house</t>
        </is>
      </c>
      <c r="C162" s="4" t="inlineStr">
        <is>
          <t>Byfanger Straße</t>
        </is>
      </c>
      <c r="D162" s="4" t="inlineStr">
        <is>
          <t>59c</t>
        </is>
      </c>
      <c r="E162" s="13" t="n">
        <v>55.3</v>
      </c>
      <c r="F162" s="12" t="n">
        <v>0</v>
      </c>
      <c r="G162" s="4" t="n">
        <v>0</v>
      </c>
      <c r="H162" s="4">
        <f>IF(OR(N(F162)&gt;=0.5,G162&gt;=4),3,IF(OR(N(F162)&gt;=0.3,G162=3),2,IF(OR(N(F162)&gt;=0.1,G162&gt;=1),1,0)))</f>
        <v/>
      </c>
      <c r="I162" s="4">
        <f>CHOOSE(H162+1,"Kein Risiko","Gering","Mittel","Hoch")</f>
        <v/>
      </c>
    </row>
    <row r="163">
      <c r="A163" s="4" t="n">
        <v>159</v>
      </c>
      <c r="B163" s="4" t="inlineStr">
        <is>
          <t>house</t>
        </is>
      </c>
      <c r="C163" s="4" t="inlineStr">
        <is>
          <t>Byfanger Straße</t>
        </is>
      </c>
      <c r="D163" s="4" t="inlineStr">
        <is>
          <t>57</t>
        </is>
      </c>
      <c r="E163" s="13" t="n">
        <v>49</v>
      </c>
      <c r="F163" s="12" t="n">
        <v>0</v>
      </c>
      <c r="G163" s="4" t="n">
        <v>0</v>
      </c>
      <c r="H163" s="4">
        <f>IF(OR(N(F163)&gt;=0.5,G163&gt;=4),3,IF(OR(N(F163)&gt;=0.3,G163=3),2,IF(OR(N(F163)&gt;=0.1,G163&gt;=1),1,0)))</f>
        <v/>
      </c>
      <c r="I163" s="4">
        <f>CHOOSE(H163+1,"Kein Risiko","Gering","Mittel","Hoch")</f>
        <v/>
      </c>
    </row>
    <row r="164">
      <c r="A164" s="4" t="n">
        <v>160</v>
      </c>
      <c r="B164" s="4" t="inlineStr">
        <is>
          <t>house</t>
        </is>
      </c>
      <c r="C164" s="4" t="inlineStr">
        <is>
          <t>Byfanger Straße</t>
        </is>
      </c>
      <c r="D164" s="4" t="inlineStr">
        <is>
          <t>73</t>
        </is>
      </c>
      <c r="E164" s="13" t="n">
        <v>52.8</v>
      </c>
      <c r="F164" s="12" t="n">
        <v>0</v>
      </c>
      <c r="G164" s="4" t="n">
        <v>0</v>
      </c>
      <c r="H164" s="4">
        <f>IF(OR(N(F164)&gt;=0.5,G164&gt;=4),3,IF(OR(N(F164)&gt;=0.3,G164=3),2,IF(OR(N(F164)&gt;=0.1,G164&gt;=1),1,0)))</f>
        <v/>
      </c>
      <c r="I164" s="4">
        <f>CHOOSE(H164+1,"Kein Risiko","Gering","Mittel","Hoch")</f>
        <v/>
      </c>
    </row>
    <row r="165">
      <c r="A165" s="4" t="n">
        <v>161</v>
      </c>
      <c r="B165" s="4" t="inlineStr">
        <is>
          <t>semidetached_house</t>
        </is>
      </c>
      <c r="C165" s="4" t="inlineStr">
        <is>
          <t>Heidbergweg</t>
        </is>
      </c>
      <c r="D165" s="4" t="inlineStr">
        <is>
          <t>5</t>
        </is>
      </c>
      <c r="E165" s="13" t="n">
        <v>82.40000000000001</v>
      </c>
      <c r="F165" s="12" t="n">
        <v>0</v>
      </c>
      <c r="G165" s="4" t="n">
        <v>0</v>
      </c>
      <c r="H165" s="4">
        <f>IF(OR(N(F165)&gt;=0.5,G165&gt;=4),3,IF(OR(N(F165)&gt;=0.3,G165=3),2,IF(OR(N(F165)&gt;=0.1,G165&gt;=1),1,0)))</f>
        <v/>
      </c>
      <c r="I165" s="4">
        <f>CHOOSE(H165+1,"Kein Risiko","Gering","Mittel","Hoch")</f>
        <v/>
      </c>
    </row>
    <row r="166">
      <c r="A166" s="4" t="n">
        <v>162</v>
      </c>
      <c r="B166" s="4" t="inlineStr">
        <is>
          <t>house</t>
        </is>
      </c>
      <c r="C166" s="4" t="inlineStr">
        <is>
          <t>Byfanger Straße</t>
        </is>
      </c>
      <c r="D166" s="4" t="inlineStr">
        <is>
          <t>65</t>
        </is>
      </c>
      <c r="E166" s="13" t="n">
        <v>43.3</v>
      </c>
      <c r="F166" s="12" t="n">
        <v>0</v>
      </c>
      <c r="G166" s="4" t="n">
        <v>0</v>
      </c>
      <c r="H166" s="4">
        <f>IF(OR(N(F166)&gt;=0.5,G166&gt;=4),3,IF(OR(N(F166)&gt;=0.3,G166=3),2,IF(OR(N(F166)&gt;=0.1,G166&gt;=1),1,0)))</f>
        <v/>
      </c>
      <c r="I166" s="4">
        <f>CHOOSE(H166+1,"Kein Risiko","Gering","Mittel","Hoch")</f>
        <v/>
      </c>
    </row>
    <row r="167">
      <c r="A167" s="4" t="n">
        <v>163</v>
      </c>
      <c r="B167" s="4" t="inlineStr">
        <is>
          <t>house</t>
        </is>
      </c>
      <c r="C167" s="4" t="inlineStr">
        <is>
          <t>Byfanger Straße</t>
        </is>
      </c>
      <c r="D167" s="4" t="inlineStr">
        <is>
          <t>57a</t>
        </is>
      </c>
      <c r="E167" s="13" t="n">
        <v>49</v>
      </c>
      <c r="F167" s="12" t="n">
        <v>0</v>
      </c>
      <c r="G167" s="4" t="n">
        <v>0</v>
      </c>
      <c r="H167" s="4">
        <f>IF(OR(N(F167)&gt;=0.5,G167&gt;=4),3,IF(OR(N(F167)&gt;=0.3,G167=3),2,IF(OR(N(F167)&gt;=0.1,G167&gt;=1),1,0)))</f>
        <v/>
      </c>
      <c r="I167" s="4">
        <f>CHOOSE(H167+1,"Kein Risiko","Gering","Mittel","Hoch")</f>
        <v/>
      </c>
    </row>
    <row r="168">
      <c r="A168" s="4" t="n">
        <v>164</v>
      </c>
      <c r="B168" s="4" t="inlineStr">
        <is>
          <t>semidetached_house</t>
        </is>
      </c>
      <c r="C168" s="4" t="inlineStr">
        <is>
          <t>Byfanger Straße</t>
        </is>
      </c>
      <c r="D168" s="4" t="inlineStr">
        <is>
          <t>55</t>
        </is>
      </c>
      <c r="E168" s="13" t="n">
        <v>81.59999999999999</v>
      </c>
      <c r="F168" s="12" t="n">
        <v>0</v>
      </c>
      <c r="G168" s="4" t="n">
        <v>0</v>
      </c>
      <c r="H168" s="4">
        <f>IF(OR(N(F168)&gt;=0.5,G168&gt;=4),3,IF(OR(N(F168)&gt;=0.3,G168=3),2,IF(OR(N(F168)&gt;=0.1,G168&gt;=1),1,0)))</f>
        <v/>
      </c>
      <c r="I168" s="4">
        <f>CHOOSE(H168+1,"Kein Risiko","Gering","Mittel","Hoch")</f>
        <v/>
      </c>
    </row>
    <row r="169">
      <c r="A169" s="4" t="n">
        <v>165</v>
      </c>
      <c r="B169" s="4" t="inlineStr">
        <is>
          <t>house</t>
        </is>
      </c>
      <c r="C169" s="4" t="inlineStr">
        <is>
          <t>Byfanger Straße</t>
        </is>
      </c>
      <c r="D169" s="4" t="inlineStr">
        <is>
          <t>75</t>
        </is>
      </c>
      <c r="E169" s="13" t="n">
        <v>52.7</v>
      </c>
      <c r="F169" s="12" t="n">
        <v>0.029998779296875</v>
      </c>
      <c r="G169" s="4" t="n">
        <v>0</v>
      </c>
      <c r="H169" s="4">
        <f>IF(OR(N(F169)&gt;=0.5,G169&gt;=4),3,IF(OR(N(F169)&gt;=0.3,G169=3),2,IF(OR(N(F169)&gt;=0.1,G169&gt;=1),1,0)))</f>
        <v/>
      </c>
      <c r="I169" s="4">
        <f>CHOOSE(H169+1,"Kein Risiko","Gering","Mittel","Hoch")</f>
        <v/>
      </c>
    </row>
    <row r="170">
      <c r="A170" s="4" t="n">
        <v>166</v>
      </c>
      <c r="B170" s="4" t="inlineStr">
        <is>
          <t>yes</t>
        </is>
      </c>
      <c r="C170" s="4" t="inlineStr">
        <is>
          <t>Heidbergweg</t>
        </is>
      </c>
      <c r="D170" s="4" t="inlineStr">
        <is>
          <t>8</t>
        </is>
      </c>
      <c r="E170" s="13" t="n">
        <v>169.5</v>
      </c>
      <c r="F170" s="12" t="n">
        <v>0.160003662109375</v>
      </c>
      <c r="G170" s="4" t="n">
        <v>1</v>
      </c>
      <c r="H170" s="4">
        <f>IF(OR(N(F170)&gt;=0.5,G170&gt;=4),3,IF(OR(N(F170)&gt;=0.3,G170=3),2,IF(OR(N(F170)&gt;=0.1,G170&gt;=1),1,0)))</f>
        <v/>
      </c>
      <c r="I170" s="4">
        <f>CHOOSE(H170+1,"Kein Risiko","Gering","Mittel","Hoch")</f>
        <v/>
      </c>
    </row>
    <row r="171">
      <c r="A171" s="4" t="n">
        <v>167</v>
      </c>
      <c r="B171" s="4" t="inlineStr">
        <is>
          <t>house</t>
        </is>
      </c>
      <c r="C171" s="4" t="inlineStr">
        <is>
          <t>Byfanger Straße</t>
        </is>
      </c>
      <c r="D171" s="4" t="inlineStr">
        <is>
          <t>59</t>
        </is>
      </c>
      <c r="E171" s="13" t="n">
        <v>55.3</v>
      </c>
      <c r="F171" s="12" t="n">
        <v>0</v>
      </c>
      <c r="G171" s="4" t="n">
        <v>0</v>
      </c>
      <c r="H171" s="4">
        <f>IF(OR(N(F171)&gt;=0.5,G171&gt;=4),3,IF(OR(N(F171)&gt;=0.3,G171=3),2,IF(OR(N(F171)&gt;=0.1,G171&gt;=1),1,0)))</f>
        <v/>
      </c>
      <c r="I171" s="4">
        <f>CHOOSE(H171+1,"Kein Risiko","Gering","Mittel","Hoch")</f>
        <v/>
      </c>
    </row>
    <row r="172">
      <c r="A172" s="4" t="n">
        <v>168</v>
      </c>
      <c r="B172" s="4" t="inlineStr">
        <is>
          <t>semidetached_house</t>
        </is>
      </c>
      <c r="C172" s="4" t="inlineStr">
        <is>
          <t>Heidbergweg</t>
        </is>
      </c>
      <c r="D172" s="4" t="inlineStr">
        <is>
          <t>1</t>
        </is>
      </c>
      <c r="E172" s="13" t="n">
        <v>97.8</v>
      </c>
      <c r="F172" s="12" t="n">
        <v>0</v>
      </c>
      <c r="G172" s="4" t="n">
        <v>0</v>
      </c>
      <c r="H172" s="4">
        <f>IF(OR(N(F172)&gt;=0.5,G172&gt;=4),3,IF(OR(N(F172)&gt;=0.3,G172=3),2,IF(OR(N(F172)&gt;=0.1,G172&gt;=1),1,0)))</f>
        <v/>
      </c>
      <c r="I172" s="4">
        <f>CHOOSE(H172+1,"Kein Risiko","Gering","Mittel","Hoch")</f>
        <v/>
      </c>
    </row>
    <row r="173">
      <c r="A173" s="4" t="n">
        <v>169</v>
      </c>
      <c r="B173" s="4" t="inlineStr">
        <is>
          <t>house</t>
        </is>
      </c>
      <c r="C173" s="4" t="inlineStr">
        <is>
          <t>Byfanger Straße</t>
        </is>
      </c>
      <c r="D173" s="4" t="inlineStr">
        <is>
          <t>67</t>
        </is>
      </c>
      <c r="E173" s="13" t="n">
        <v>43.4</v>
      </c>
      <c r="F173" s="12" t="n">
        <v>0</v>
      </c>
      <c r="G173" s="4" t="n">
        <v>0</v>
      </c>
      <c r="H173" s="4">
        <f>IF(OR(N(F173)&gt;=0.5,G173&gt;=4),3,IF(OR(N(F173)&gt;=0.3,G173=3),2,IF(OR(N(F173)&gt;=0.1,G173&gt;=1),1,0)))</f>
        <v/>
      </c>
      <c r="I173" s="4">
        <f>CHOOSE(H173+1,"Kein Risiko","Gering","Mittel","Hoch")</f>
        <v/>
      </c>
    </row>
    <row r="174">
      <c r="A174" s="4" t="n">
        <v>170</v>
      </c>
      <c r="B174" s="4" t="inlineStr">
        <is>
          <t>house</t>
        </is>
      </c>
      <c r="C174" s="4" t="inlineStr">
        <is>
          <t>Byfanger Straße</t>
        </is>
      </c>
      <c r="D174" s="4" t="inlineStr">
        <is>
          <t>69</t>
        </is>
      </c>
      <c r="E174" s="13" t="n">
        <v>52.7</v>
      </c>
      <c r="F174" s="12" t="n">
        <v>0</v>
      </c>
      <c r="G174" s="4" t="n">
        <v>0</v>
      </c>
      <c r="H174" s="4">
        <f>IF(OR(N(F174)&gt;=0.5,G174&gt;=4),3,IF(OR(N(F174)&gt;=0.3,G174=3),2,IF(OR(N(F174)&gt;=0.1,G174&gt;=1),1,0)))</f>
        <v/>
      </c>
      <c r="I174" s="4">
        <f>CHOOSE(H174+1,"Kein Risiko","Gering","Mittel","Hoch")</f>
        <v/>
      </c>
    </row>
    <row r="175">
      <c r="A175" s="4" t="n">
        <v>171</v>
      </c>
      <c r="B175" s="4" t="inlineStr">
        <is>
          <t>yes</t>
        </is>
      </c>
      <c r="C175" s="4" t="inlineStr">
        <is>
          <t>Heidbergweg</t>
        </is>
      </c>
      <c r="D175" s="4" t="inlineStr">
        <is>
          <t>6</t>
        </is>
      </c>
      <c r="E175" s="13" t="n">
        <v>169.5</v>
      </c>
      <c r="F175" s="12" t="n">
        <v>0.1500015258789062</v>
      </c>
      <c r="G175" s="4" t="n">
        <v>1</v>
      </c>
      <c r="H175" s="4">
        <f>IF(OR(N(F175)&gt;=0.5,G175&gt;=4),3,IF(OR(N(F175)&gt;=0.3,G175=3),2,IF(OR(N(F175)&gt;=0.1,G175&gt;=1),1,0)))</f>
        <v/>
      </c>
      <c r="I175" s="4">
        <f>CHOOSE(H175+1,"Kein Risiko","Gering","Mittel","Hoch")</f>
        <v/>
      </c>
    </row>
    <row r="176">
      <c r="A176" s="4" t="n">
        <v>172</v>
      </c>
      <c r="B176" s="4" t="inlineStr">
        <is>
          <t>semidetached_house</t>
        </is>
      </c>
      <c r="C176" s="4" t="inlineStr">
        <is>
          <t>Byfanger Straße</t>
        </is>
      </c>
      <c r="D176" s="4" t="inlineStr">
        <is>
          <t>79</t>
        </is>
      </c>
      <c r="E176" s="13" t="n">
        <v>105.1</v>
      </c>
      <c r="F176" s="12" t="n">
        <v>0</v>
      </c>
      <c r="G176" s="4" t="n">
        <v>0</v>
      </c>
      <c r="H176" s="4">
        <f>IF(OR(N(F176)&gt;=0.5,G176&gt;=4),3,IF(OR(N(F176)&gt;=0.3,G176=3),2,IF(OR(N(F176)&gt;=0.1,G176&gt;=1),1,0)))</f>
        <v/>
      </c>
      <c r="I176" s="4">
        <f>CHOOSE(H176+1,"Kein Risiko","Gering","Mittel","Hoch")</f>
        <v/>
      </c>
    </row>
    <row r="177">
      <c r="A177" s="4" t="n">
        <v>173</v>
      </c>
      <c r="B177" s="4" t="inlineStr">
        <is>
          <t>semidetached_house</t>
        </is>
      </c>
      <c r="C177" s="4" t="inlineStr">
        <is>
          <t>Heidbergweg</t>
        </is>
      </c>
      <c r="D177" s="4" t="inlineStr">
        <is>
          <t>3</t>
        </is>
      </c>
      <c r="E177" s="13" t="n">
        <v>99.59999999999999</v>
      </c>
      <c r="F177" s="12" t="n">
        <v>0</v>
      </c>
      <c r="G177" s="4" t="n">
        <v>0</v>
      </c>
      <c r="H177" s="4">
        <f>IF(OR(N(F177)&gt;=0.5,G177&gt;=4),3,IF(OR(N(F177)&gt;=0.3,G177=3),2,IF(OR(N(F177)&gt;=0.1,G177&gt;=1),1,0)))</f>
        <v/>
      </c>
      <c r="I177" s="4">
        <f>CHOOSE(H177+1,"Kein Risiko","Gering","Mittel","Hoch")</f>
        <v/>
      </c>
    </row>
    <row r="178">
      <c r="A178" s="4" t="n">
        <v>174</v>
      </c>
      <c r="B178" s="4" t="inlineStr">
        <is>
          <t>apartments</t>
        </is>
      </c>
      <c r="C178" s="4" t="inlineStr">
        <is>
          <t>Heidbergweg</t>
        </is>
      </c>
      <c r="D178" s="4" t="inlineStr">
        <is>
          <t>12</t>
        </is>
      </c>
      <c r="E178" s="13" t="n">
        <v>156.5</v>
      </c>
      <c r="F178" s="12" t="n">
        <v>0.01000213623046875</v>
      </c>
      <c r="G178" s="4" t="n">
        <v>0</v>
      </c>
      <c r="H178" s="4">
        <f>IF(OR(N(F178)&gt;=0.5,G178&gt;=4),3,IF(OR(N(F178)&gt;=0.3,G178=3),2,IF(OR(N(F178)&gt;=0.1,G178&gt;=1),1,0)))</f>
        <v/>
      </c>
      <c r="I178" s="4">
        <f>CHOOSE(H178+1,"Kein Risiko","Gering","Mittel","Hoch")</f>
        <v/>
      </c>
    </row>
    <row r="179">
      <c r="A179" s="4" t="n">
        <v>175</v>
      </c>
      <c r="B179" s="4" t="inlineStr">
        <is>
          <t>house</t>
        </is>
      </c>
      <c r="C179" s="4" t="inlineStr">
        <is>
          <t>Byfanger Straße</t>
        </is>
      </c>
      <c r="D179" s="4" t="inlineStr">
        <is>
          <t>61</t>
        </is>
      </c>
      <c r="E179" s="13" t="n">
        <v>43.4</v>
      </c>
      <c r="F179" s="12" t="n">
        <v>0</v>
      </c>
      <c r="G179" s="4" t="n">
        <v>0</v>
      </c>
      <c r="H179" s="4">
        <f>IF(OR(N(F179)&gt;=0.5,G179&gt;=4),3,IF(OR(N(F179)&gt;=0.3,G179=3),2,IF(OR(N(F179)&gt;=0.1,G179&gt;=1),1,0)))</f>
        <v/>
      </c>
      <c r="I179" s="4">
        <f>CHOOSE(H179+1,"Kein Risiko","Gering","Mittel","Hoch")</f>
        <v/>
      </c>
    </row>
    <row r="180">
      <c r="A180" s="4" t="n">
        <v>176</v>
      </c>
      <c r="B180" s="4" t="inlineStr">
        <is>
          <t>house</t>
        </is>
      </c>
      <c r="C180" s="4" t="inlineStr">
        <is>
          <t>Byfanger Straße</t>
        </is>
      </c>
      <c r="D180" s="4" t="inlineStr">
        <is>
          <t>71</t>
        </is>
      </c>
      <c r="E180" s="13" t="n">
        <v>52.7</v>
      </c>
      <c r="F180" s="12" t="n">
        <v>0</v>
      </c>
      <c r="G180" s="4" t="n">
        <v>0</v>
      </c>
      <c r="H180" s="4">
        <f>IF(OR(N(F180)&gt;=0.5,G180&gt;=4),3,IF(OR(N(F180)&gt;=0.3,G180=3),2,IF(OR(N(F180)&gt;=0.1,G180&gt;=1),1,0)))</f>
        <v/>
      </c>
      <c r="I180" s="4">
        <f>CHOOSE(H180+1,"Kein Risiko","Gering","Mittel","Hoch")</f>
        <v/>
      </c>
    </row>
    <row r="181">
      <c r="A181" s="4" t="n">
        <v>177</v>
      </c>
      <c r="B181" s="4" t="inlineStr">
        <is>
          <t>house</t>
        </is>
      </c>
      <c r="C181" s="4" t="inlineStr">
        <is>
          <t>Byfanger Straße</t>
        </is>
      </c>
      <c r="D181" s="4" t="inlineStr">
        <is>
          <t>59b</t>
        </is>
      </c>
      <c r="E181" s="13" t="n">
        <v>55.3</v>
      </c>
      <c r="F181" s="12" t="n">
        <v>0</v>
      </c>
      <c r="G181" s="4" t="n">
        <v>0</v>
      </c>
      <c r="H181" s="4">
        <f>IF(OR(N(F181)&gt;=0.5,G181&gt;=4),3,IF(OR(N(F181)&gt;=0.3,G181=3),2,IF(OR(N(F181)&gt;=0.1,G181&gt;=1),1,0)))</f>
        <v/>
      </c>
      <c r="I181" s="4">
        <f>CHOOSE(H181+1,"Kein Risiko","Gering","Mittel","Hoch")</f>
        <v/>
      </c>
    </row>
    <row r="182">
      <c r="A182" s="4" t="n">
        <v>178</v>
      </c>
      <c r="B182" s="4" t="inlineStr">
        <is>
          <t>apartments</t>
        </is>
      </c>
      <c r="C182" s="4" t="inlineStr">
        <is>
          <t>Heidbergweg</t>
        </is>
      </c>
      <c r="D182" s="4" t="inlineStr">
        <is>
          <t>10</t>
        </is>
      </c>
      <c r="E182" s="13" t="n">
        <v>156.4</v>
      </c>
      <c r="F182" s="12" t="n">
        <v>0.0099945068359375</v>
      </c>
      <c r="G182" s="4" t="n">
        <v>0</v>
      </c>
      <c r="H182" s="4">
        <f>IF(OR(N(F182)&gt;=0.5,G182&gt;=4),3,IF(OR(N(F182)&gt;=0.3,G182=3),2,IF(OR(N(F182)&gt;=0.1,G182&gt;=1),1,0)))</f>
        <v/>
      </c>
      <c r="I182" s="4">
        <f>CHOOSE(H182+1,"Kein Risiko","Gering","Mittel","Hoch")</f>
        <v/>
      </c>
    </row>
    <row r="183">
      <c r="A183" s="4" t="n">
        <v>179</v>
      </c>
      <c r="B183" s="4" t="inlineStr">
        <is>
          <t>house</t>
        </is>
      </c>
      <c r="C183" s="4" t="inlineStr">
        <is>
          <t>Byfanger Straße</t>
        </is>
      </c>
      <c r="D183" s="4" t="inlineStr">
        <is>
          <t>63</t>
        </is>
      </c>
      <c r="E183" s="13" t="n">
        <v>43.4</v>
      </c>
      <c r="F183" s="12" t="n">
        <v>0</v>
      </c>
      <c r="G183" s="4" t="n">
        <v>0</v>
      </c>
      <c r="H183" s="4">
        <f>IF(OR(N(F183)&gt;=0.5,G183&gt;=4),3,IF(OR(N(F183)&gt;=0.3,G183=3),2,IF(OR(N(F183)&gt;=0.1,G183&gt;=1),1,0)))</f>
        <v/>
      </c>
      <c r="I183" s="4">
        <f>CHOOSE(H183+1,"Kein Risiko","Gering","Mittel","Hoch")</f>
        <v/>
      </c>
    </row>
    <row r="184">
      <c r="A184" s="4" t="n">
        <v>180</v>
      </c>
      <c r="B184" s="4" t="inlineStr">
        <is>
          <t>semidetached_house</t>
        </is>
      </c>
      <c r="C184" s="4" t="inlineStr">
        <is>
          <t>Heidbergweg</t>
        </is>
      </c>
      <c r="D184" s="4" t="inlineStr">
        <is>
          <t>7</t>
        </is>
      </c>
      <c r="E184" s="13" t="n">
        <v>82.8</v>
      </c>
      <c r="F184" s="12" t="n">
        <v>0.279998779296875</v>
      </c>
      <c r="G184" s="4" t="n">
        <v>0</v>
      </c>
      <c r="H184" s="4">
        <f>IF(OR(N(F184)&gt;=0.5,G184&gt;=4),3,IF(OR(N(F184)&gt;=0.3,G184=3),2,IF(OR(N(F184)&gt;=0.1,G184&gt;=1),1,0)))</f>
        <v/>
      </c>
      <c r="I184" s="4">
        <f>CHOOSE(H184+1,"Kein Risiko","Gering","Mittel","Hoch")</f>
        <v/>
      </c>
    </row>
    <row r="185">
      <c r="A185" s="4" t="n">
        <v>181</v>
      </c>
      <c r="B185" s="4" t="inlineStr">
        <is>
          <t>house</t>
        </is>
      </c>
      <c r="C185" s="4" t="inlineStr">
        <is>
          <t>Byfanger Straße</t>
        </is>
      </c>
      <c r="D185" s="4" t="inlineStr">
        <is>
          <t>59a</t>
        </is>
      </c>
      <c r="E185" s="13" t="n">
        <v>55.3</v>
      </c>
      <c r="F185" s="12" t="n">
        <v>0</v>
      </c>
      <c r="G185" s="4" t="n">
        <v>0</v>
      </c>
      <c r="H185" s="4">
        <f>IF(OR(N(F185)&gt;=0.5,G185&gt;=4),3,IF(OR(N(F185)&gt;=0.3,G185=3),2,IF(OR(N(F185)&gt;=0.1,G185&gt;=1),1,0)))</f>
        <v/>
      </c>
      <c r="I185" s="4">
        <f>CHOOSE(H185+1,"Kein Risiko","Gering","Mittel","Hoch")</f>
        <v/>
      </c>
    </row>
    <row r="186">
      <c r="A186" s="4" t="n">
        <v>182</v>
      </c>
      <c r="B186" s="4" t="inlineStr">
        <is>
          <t>house</t>
        </is>
      </c>
      <c r="C186" s="4" t="inlineStr">
        <is>
          <t>Byfanger Straße</t>
        </is>
      </c>
      <c r="D186" s="4" t="inlineStr">
        <is>
          <t>57b</t>
        </is>
      </c>
      <c r="E186" s="13" t="n">
        <v>49</v>
      </c>
      <c r="F186" s="12" t="n">
        <v>0</v>
      </c>
      <c r="G186" s="4" t="n">
        <v>0</v>
      </c>
      <c r="H186" s="4">
        <f>IF(OR(N(F186)&gt;=0.5,G186&gt;=4),3,IF(OR(N(F186)&gt;=0.3,G186=3),2,IF(OR(N(F186)&gt;=0.1,G186&gt;=1),1,0)))</f>
        <v/>
      </c>
      <c r="I186" s="4">
        <f>CHOOSE(H186+1,"Kein Risiko","Gering","Mittel","Hoch")</f>
        <v/>
      </c>
    </row>
    <row r="187">
      <c r="A187" s="4" t="n">
        <v>183</v>
      </c>
      <c r="B187" s="4" t="inlineStr">
        <is>
          <t>semidetached_house</t>
        </is>
      </c>
      <c r="C187" s="4" t="inlineStr">
        <is>
          <t>Byfanger Straße</t>
        </is>
      </c>
      <c r="D187" s="4" t="inlineStr">
        <is>
          <t>53</t>
        </is>
      </c>
      <c r="E187" s="13" t="n">
        <v>81.59999999999999</v>
      </c>
      <c r="F187" s="12" t="n">
        <v>0</v>
      </c>
      <c r="G187" s="4" t="n">
        <v>0</v>
      </c>
      <c r="H187" s="4">
        <f>IF(OR(N(F187)&gt;=0.5,G187&gt;=4),3,IF(OR(N(F187)&gt;=0.3,G187=3),2,IF(OR(N(F187)&gt;=0.1,G187&gt;=1),1,0)))</f>
        <v/>
      </c>
      <c r="I187" s="4">
        <f>CHOOSE(H187+1,"Kein Risiko","Gering","Mittel","Hoch")</f>
        <v/>
      </c>
    </row>
    <row r="188">
      <c r="A188" s="4" t="n">
        <v>184</v>
      </c>
      <c r="B188" s="4" t="inlineStr">
        <is>
          <t>semidetached_house</t>
        </is>
      </c>
      <c r="C188" s="4" t="inlineStr">
        <is>
          <t>Byfanger Straße</t>
        </is>
      </c>
      <c r="D188" s="4" t="inlineStr">
        <is>
          <t>77</t>
        </is>
      </c>
      <c r="E188" s="13" t="n">
        <v>102.2</v>
      </c>
      <c r="F188" s="12" t="n">
        <v>0.01999664306640625</v>
      </c>
      <c r="G188" s="4" t="n">
        <v>0</v>
      </c>
      <c r="H188" s="4">
        <f>IF(OR(N(F188)&gt;=0.5,G188&gt;=4),3,IF(OR(N(F188)&gt;=0.3,G188=3),2,IF(OR(N(F188)&gt;=0.1,G188&gt;=1),1,0)))</f>
        <v/>
      </c>
      <c r="I188" s="4">
        <f>CHOOSE(H188+1,"Kein Risiko","Gering","Mittel","Hoch")</f>
        <v/>
      </c>
    </row>
    <row r="189">
      <c r="A189" s="4" t="n">
        <v>185</v>
      </c>
      <c r="B189" s="4" t="inlineStr">
        <is>
          <t>yes</t>
        </is>
      </c>
      <c r="C189" s="4" t="inlineStr">
        <is>
          <t>Byfanger Straße</t>
        </is>
      </c>
      <c r="D189" s="4" t="inlineStr">
        <is>
          <t>40</t>
        </is>
      </c>
      <c r="E189" s="13" t="n">
        <v>175.6</v>
      </c>
      <c r="F189" s="12" t="n">
        <v>0</v>
      </c>
      <c r="G189" s="4" t="n">
        <v>0</v>
      </c>
      <c r="H189" s="4">
        <f>IF(OR(N(F189)&gt;=0.5,G189&gt;=4),3,IF(OR(N(F189)&gt;=0.3,G189=3),2,IF(OR(N(F189)&gt;=0.1,G189&gt;=1),1,0)))</f>
        <v/>
      </c>
      <c r="I189" s="4">
        <f>CHOOSE(H189+1,"Kein Risiko","Gering","Mittel","Hoch")</f>
        <v/>
      </c>
    </row>
    <row r="190">
      <c r="A190" s="4" t="n">
        <v>186</v>
      </c>
      <c r="B190" s="4" t="inlineStr">
        <is>
          <t>yes</t>
        </is>
      </c>
      <c r="C190" s="4" t="inlineStr">
        <is>
          <t>Byfanger Straße</t>
        </is>
      </c>
      <c r="D190" s="4" t="inlineStr">
        <is>
          <t>38</t>
        </is>
      </c>
      <c r="E190" s="13" t="n">
        <v>141.2</v>
      </c>
      <c r="F190" s="12" t="n">
        <v>0</v>
      </c>
      <c r="G190" s="4" t="n">
        <v>5</v>
      </c>
      <c r="H190" s="4">
        <f>IF(OR(N(F190)&gt;=0.5,G190&gt;=4),3,IF(OR(N(F190)&gt;=0.3,G190=3),2,IF(OR(N(F190)&gt;=0.1,G190&gt;=1),1,0)))</f>
        <v/>
      </c>
      <c r="I190" s="4">
        <f>CHOOSE(H190+1,"Kein Risiko","Gering","Mittel","Hoch")</f>
        <v/>
      </c>
    </row>
    <row r="191">
      <c r="A191" s="4" t="n">
        <v>187</v>
      </c>
      <c r="B191" s="4" t="inlineStr">
        <is>
          <t>semidetached_house</t>
        </is>
      </c>
      <c r="C191" s="4" t="inlineStr">
        <is>
          <t>Byfanger Straße</t>
        </is>
      </c>
      <c r="D191" s="4" t="inlineStr">
        <is>
          <t>44</t>
        </is>
      </c>
      <c r="E191" s="13" t="n">
        <v>107.9</v>
      </c>
      <c r="F191" s="12" t="n">
        <v>0</v>
      </c>
      <c r="G191" s="4" t="n">
        <v>5</v>
      </c>
      <c r="H191" s="4">
        <f>IF(OR(N(F191)&gt;=0.5,G191&gt;=4),3,IF(OR(N(F191)&gt;=0.3,G191=3),2,IF(OR(N(F191)&gt;=0.1,G191&gt;=1),1,0)))</f>
        <v/>
      </c>
      <c r="I191" s="4">
        <f>CHOOSE(H191+1,"Kein Risiko","Gering","Mittel","Hoch")</f>
        <v/>
      </c>
    </row>
    <row r="192">
      <c r="A192" s="4" t="n">
        <v>188</v>
      </c>
      <c r="B192" s="4" t="inlineStr">
        <is>
          <t>yes</t>
        </is>
      </c>
      <c r="C192" s="4" t="inlineStr">
        <is>
          <t>Byfanger Straße</t>
        </is>
      </c>
      <c r="D192" s="4" t="inlineStr">
        <is>
          <t>42</t>
        </is>
      </c>
      <c r="E192" s="13" t="n">
        <v>108.3</v>
      </c>
      <c r="F192" s="12" t="n">
        <v>0</v>
      </c>
      <c r="G192" s="4" t="n">
        <v>5</v>
      </c>
      <c r="H192" s="4">
        <f>IF(OR(N(F192)&gt;=0.5,G192&gt;=4),3,IF(OR(N(F192)&gt;=0.3,G192=3),2,IF(OR(N(F192)&gt;=0.1,G192&gt;=1),1,0)))</f>
        <v/>
      </c>
      <c r="I192" s="4">
        <f>CHOOSE(H192+1,"Kein Risiko","Gering","Mittel","Hoch")</f>
        <v/>
      </c>
    </row>
    <row r="193">
      <c r="A193" s="4" t="n">
        <v>189</v>
      </c>
      <c r="B193" s="4" t="inlineStr">
        <is>
          <t>yes</t>
        </is>
      </c>
      <c r="C193" s="4" t="inlineStr">
        <is>
          <t>Kupferdreher Straße</t>
        </is>
      </c>
      <c r="D193" s="4" t="inlineStr">
        <is>
          <t>47</t>
        </is>
      </c>
      <c r="E193" s="13" t="n">
        <v>151.4</v>
      </c>
      <c r="F193" s="12" t="n">
        <v>0.05999755859375</v>
      </c>
      <c r="G193" s="4" t="n">
        <v>3</v>
      </c>
      <c r="H193" s="4">
        <f>IF(OR(N(F193)&gt;=0.5,G193&gt;=4),3,IF(OR(N(F193)&gt;=0.3,G193=3),2,IF(OR(N(F193)&gt;=0.1,G193&gt;=1),1,0)))</f>
        <v/>
      </c>
      <c r="I193" s="4">
        <f>CHOOSE(H193+1,"Kein Risiko","Gering","Mittel","Hoch")</f>
        <v/>
      </c>
    </row>
    <row r="194">
      <c r="A194" s="4" t="n">
        <v>190</v>
      </c>
      <c r="B194" s="4" t="inlineStr">
        <is>
          <t>yes</t>
        </is>
      </c>
      <c r="C194" s="4" t="inlineStr"/>
      <c r="D194" s="4" t="inlineStr"/>
      <c r="E194" s="13" t="n">
        <v>1215.3</v>
      </c>
      <c r="F194" s="12" t="n">
        <v>0.2299995422363281</v>
      </c>
      <c r="G194" s="4" t="n">
        <v>0</v>
      </c>
      <c r="H194" s="4">
        <f>IF(OR(N(F194)&gt;=0.5,G194&gt;=4),3,IF(OR(N(F194)&gt;=0.3,G194=3),2,IF(OR(N(F194)&gt;=0.1,G194&gt;=1),1,0)))</f>
        <v/>
      </c>
      <c r="I194" s="4">
        <f>CHOOSE(H194+1,"Kein Risiko","Gering","Mittel","Hoch")</f>
        <v/>
      </c>
    </row>
    <row r="195">
      <c r="A195" s="4" t="n">
        <v>191</v>
      </c>
      <c r="B195" s="4" t="inlineStr">
        <is>
          <t>yes</t>
        </is>
      </c>
      <c r="C195" s="4" t="inlineStr"/>
      <c r="D195" s="4" t="inlineStr"/>
      <c r="E195" s="13" t="n">
        <v>297</v>
      </c>
      <c r="F195" s="12" t="n">
        <v>1.119998931884766</v>
      </c>
      <c r="G195" s="4" t="n">
        <v>0</v>
      </c>
      <c r="H195" s="4">
        <f>IF(OR(N(F195)&gt;=0.5,G195&gt;=4),3,IF(OR(N(F195)&gt;=0.3,G195=3),2,IF(OR(N(F195)&gt;=0.1,G195&gt;=1),1,0)))</f>
        <v/>
      </c>
      <c r="I195" s="4">
        <f>CHOOSE(H195+1,"Kein Risiko","Gering","Mittel","Hoch")</f>
        <v/>
      </c>
    </row>
    <row r="196">
      <c r="A196" s="4" t="n">
        <v>192</v>
      </c>
      <c r="B196" s="4" t="inlineStr">
        <is>
          <t>industrial</t>
        </is>
      </c>
      <c r="C196" s="4" t="inlineStr">
        <is>
          <t>Prinz-Friedrich-Straße</t>
        </is>
      </c>
      <c r="D196" s="4" t="inlineStr">
        <is>
          <t>22</t>
        </is>
      </c>
      <c r="E196" s="13" t="n">
        <v>116.4</v>
      </c>
      <c r="F196" s="12" t="n">
        <v>0.09000015258789062</v>
      </c>
      <c r="G196" s="4" t="n">
        <v>0</v>
      </c>
      <c r="H196" s="4">
        <f>IF(OR(N(F196)&gt;=0.5,G196&gt;=4),3,IF(OR(N(F196)&gt;=0.3,G196=3),2,IF(OR(N(F196)&gt;=0.1,G196&gt;=1),1,0)))</f>
        <v/>
      </c>
      <c r="I196" s="4">
        <f>CHOOSE(H196+1,"Kein Risiko","Gering","Mittel","Hoch")</f>
        <v/>
      </c>
    </row>
    <row r="197">
      <c r="A197" s="4" t="n">
        <v>193</v>
      </c>
      <c r="B197" s="4" t="inlineStr">
        <is>
          <t>yes</t>
        </is>
      </c>
      <c r="C197" s="4" t="inlineStr">
        <is>
          <t>Phönixhütte</t>
        </is>
      </c>
      <c r="D197" s="4" t="inlineStr">
        <is>
          <t>11</t>
        </is>
      </c>
      <c r="E197" s="13" t="n">
        <v>135.2</v>
      </c>
      <c r="F197" s="12" t="n">
        <v>1.270000457763672</v>
      </c>
      <c r="G197" s="4" t="n">
        <v>2</v>
      </c>
      <c r="H197" s="4">
        <f>IF(OR(N(F197)&gt;=0.5,G197&gt;=4),3,IF(OR(N(F197)&gt;=0.3,G197=3),2,IF(OR(N(F197)&gt;=0.1,G197&gt;=1),1,0)))</f>
        <v/>
      </c>
      <c r="I197" s="4">
        <f>CHOOSE(H197+1,"Kein Risiko","Gering","Mittel","Hoch")</f>
        <v/>
      </c>
    </row>
    <row r="198">
      <c r="A198" s="4" t="n">
        <v>194</v>
      </c>
      <c r="B198" s="4" t="inlineStr">
        <is>
          <t>yes</t>
        </is>
      </c>
      <c r="C198" s="4" t="inlineStr"/>
      <c r="D198" s="4" t="inlineStr"/>
      <c r="E198" s="13" t="n">
        <v>294.6</v>
      </c>
      <c r="F198" s="12" t="n">
        <v>1.380001068115234</v>
      </c>
      <c r="G198" s="4" t="n">
        <v>2</v>
      </c>
      <c r="H198" s="4">
        <f>IF(OR(N(F198)&gt;=0.5,G198&gt;=4),3,IF(OR(N(F198)&gt;=0.3,G198=3),2,IF(OR(N(F198)&gt;=0.1,G198&gt;=1),1,0)))</f>
        <v/>
      </c>
      <c r="I198" s="4">
        <f>CHOOSE(H198+1,"Kein Risiko","Gering","Mittel","Hoch")</f>
        <v/>
      </c>
    </row>
    <row r="199">
      <c r="A199" s="4" t="n">
        <v>195</v>
      </c>
      <c r="B199" s="4" t="inlineStr">
        <is>
          <t>office</t>
        </is>
      </c>
      <c r="C199" s="4" t="inlineStr">
        <is>
          <t>Prinz-Friedrich-Straße</t>
        </is>
      </c>
      <c r="D199" s="4" t="inlineStr">
        <is>
          <t>30</t>
        </is>
      </c>
      <c r="E199" s="13" t="n">
        <v>334.4</v>
      </c>
      <c r="F199" s="12" t="n">
        <v>0.1800003051757812</v>
      </c>
      <c r="G199" s="4" t="n">
        <v>0</v>
      </c>
      <c r="H199" s="4">
        <f>IF(OR(N(F199)&gt;=0.5,G199&gt;=4),3,IF(OR(N(F199)&gt;=0.3,G199=3),2,IF(OR(N(F199)&gt;=0.1,G199&gt;=1),1,0)))</f>
        <v/>
      </c>
      <c r="I199" s="4">
        <f>CHOOSE(H199+1,"Kein Risiko","Gering","Mittel","Hoch")</f>
        <v/>
      </c>
    </row>
    <row r="200">
      <c r="A200" s="4" t="n">
        <v>196</v>
      </c>
      <c r="B200" s="4" t="inlineStr">
        <is>
          <t>yes</t>
        </is>
      </c>
      <c r="C200" s="4" t="inlineStr">
        <is>
          <t>Kampmannbrücke</t>
        </is>
      </c>
      <c r="D200" s="4" t="inlineStr">
        <is>
          <t>3</t>
        </is>
      </c>
      <c r="E200" s="13" t="n">
        <v>101.6</v>
      </c>
      <c r="F200" s="12" t="n">
        <v>0</v>
      </c>
      <c r="G200" s="4" t="n">
        <v>0</v>
      </c>
      <c r="H200" s="4">
        <f>IF(OR(N(F200)&gt;=0.5,G200&gt;=4),3,IF(OR(N(F200)&gt;=0.3,G200=3),2,IF(OR(N(F200)&gt;=0.1,G200&gt;=1),1,0)))</f>
        <v/>
      </c>
      <c r="I200" s="4">
        <f>CHOOSE(H200+1,"Kein Risiko","Gering","Mittel","Hoch")</f>
        <v/>
      </c>
    </row>
    <row r="201">
      <c r="A201" s="4" t="n">
        <v>197</v>
      </c>
      <c r="B201" s="4" t="inlineStr">
        <is>
          <t>yes</t>
        </is>
      </c>
      <c r="C201" s="4" t="inlineStr">
        <is>
          <t>Kampmannbrücke</t>
        </is>
      </c>
      <c r="D201" s="4" t="inlineStr">
        <is>
          <t>29</t>
        </is>
      </c>
      <c r="E201" s="13" t="n">
        <v>71.59999999999999</v>
      </c>
      <c r="F201" s="12" t="n">
        <v>0.01999664306640625</v>
      </c>
      <c r="G201" s="4" t="n">
        <v>0</v>
      </c>
      <c r="H201" s="4">
        <f>IF(OR(N(F201)&gt;=0.5,G201&gt;=4),3,IF(OR(N(F201)&gt;=0.3,G201=3),2,IF(OR(N(F201)&gt;=0.1,G201&gt;=1),1,0)))</f>
        <v/>
      </c>
      <c r="I201" s="4">
        <f>CHOOSE(H201+1,"Kein Risiko","Gering","Mittel","Hoch")</f>
        <v/>
      </c>
    </row>
    <row r="202">
      <c r="A202" s="4" t="n">
        <v>198</v>
      </c>
      <c r="B202" s="4" t="inlineStr">
        <is>
          <t>yes</t>
        </is>
      </c>
      <c r="C202" s="4" t="inlineStr"/>
      <c r="D202" s="4" t="inlineStr"/>
      <c r="E202" s="13" t="n">
        <v>335.9</v>
      </c>
      <c r="F202" s="12" t="n">
        <v>0</v>
      </c>
      <c r="G202" s="4" t="n">
        <v>3</v>
      </c>
      <c r="H202" s="4">
        <f>IF(OR(N(F202)&gt;=0.5,G202&gt;=4),3,IF(OR(N(F202)&gt;=0.3,G202=3),2,IF(OR(N(F202)&gt;=0.1,G202&gt;=1),1,0)))</f>
        <v/>
      </c>
      <c r="I202" s="4">
        <f>CHOOSE(H202+1,"Kein Risiko","Gering","Mittel","Hoch")</f>
        <v/>
      </c>
    </row>
    <row r="203">
      <c r="A203" s="4" t="n">
        <v>199</v>
      </c>
      <c r="B203" s="4" t="inlineStr">
        <is>
          <t>yes</t>
        </is>
      </c>
      <c r="C203" s="4" t="inlineStr">
        <is>
          <t>Kampmannbrücke</t>
        </is>
      </c>
      <c r="D203" s="4" t="inlineStr">
        <is>
          <t>33</t>
        </is>
      </c>
      <c r="E203" s="13" t="n">
        <v>165.2</v>
      </c>
      <c r="F203" s="12" t="n">
        <v>0.3199996948242188</v>
      </c>
      <c r="G203" s="4" t="n">
        <v>0</v>
      </c>
      <c r="H203" s="4">
        <f>IF(OR(N(F203)&gt;=0.5,G203&gt;=4),3,IF(OR(N(F203)&gt;=0.3,G203=3),2,IF(OR(N(F203)&gt;=0.1,G203&gt;=1),1,0)))</f>
        <v/>
      </c>
      <c r="I203" s="4">
        <f>CHOOSE(H203+1,"Kein Risiko","Gering","Mittel","Hoch")</f>
        <v/>
      </c>
    </row>
    <row r="204">
      <c r="A204" s="4" t="n">
        <v>200</v>
      </c>
      <c r="B204" s="4" t="inlineStr">
        <is>
          <t>yes</t>
        </is>
      </c>
      <c r="C204" s="4" t="inlineStr">
        <is>
          <t>Kampmannbrücke</t>
        </is>
      </c>
      <c r="D204" s="4" t="inlineStr">
        <is>
          <t>31</t>
        </is>
      </c>
      <c r="E204" s="13" t="n">
        <v>166.8</v>
      </c>
      <c r="F204" s="12" t="n">
        <v>0.01000213623046875</v>
      </c>
      <c r="G204" s="4" t="n">
        <v>0</v>
      </c>
      <c r="H204" s="4">
        <f>IF(OR(N(F204)&gt;=0.5,G204&gt;=4),3,IF(OR(N(F204)&gt;=0.3,G204=3),2,IF(OR(N(F204)&gt;=0.1,G204&gt;=1),1,0)))</f>
        <v/>
      </c>
      <c r="I204" s="4">
        <f>CHOOSE(H204+1,"Kein Risiko","Gering","Mittel","Hoch")</f>
        <v/>
      </c>
    </row>
    <row r="205">
      <c r="A205" s="4" t="n">
        <v>201</v>
      </c>
      <c r="B205" s="4" t="inlineStr">
        <is>
          <t>yes</t>
        </is>
      </c>
      <c r="C205" s="4" t="inlineStr">
        <is>
          <t>Holsteinanger</t>
        </is>
      </c>
      <c r="D205" s="4" t="inlineStr">
        <is>
          <t>34</t>
        </is>
      </c>
      <c r="E205" s="13" t="n">
        <v>114.7</v>
      </c>
      <c r="F205" s="12" t="n">
        <v>0.029998779296875</v>
      </c>
      <c r="G205" s="4" t="n">
        <v>0</v>
      </c>
      <c r="H205" s="4">
        <f>IF(OR(N(F205)&gt;=0.5,G205&gt;=4),3,IF(OR(N(F205)&gt;=0.3,G205=3),2,IF(OR(N(F205)&gt;=0.1,G205&gt;=1),1,0)))</f>
        <v/>
      </c>
      <c r="I205" s="4">
        <f>CHOOSE(H205+1,"Kein Risiko","Gering","Mittel","Hoch")</f>
        <v/>
      </c>
    </row>
    <row r="206">
      <c r="A206" s="4" t="n">
        <v>202</v>
      </c>
      <c r="B206" s="4" t="inlineStr">
        <is>
          <t>yes</t>
        </is>
      </c>
      <c r="C206" s="4" t="inlineStr">
        <is>
          <t>Holsteinanger</t>
        </is>
      </c>
      <c r="D206" s="4" t="inlineStr">
        <is>
          <t>24a</t>
        </is>
      </c>
      <c r="E206" s="13" t="n">
        <v>221.8</v>
      </c>
      <c r="F206" s="12" t="n">
        <v>0.04999542236328125</v>
      </c>
      <c r="G206" s="4" t="n">
        <v>0</v>
      </c>
      <c r="H206" s="4">
        <f>IF(OR(N(F206)&gt;=0.5,G206&gt;=4),3,IF(OR(N(F206)&gt;=0.3,G206=3),2,IF(OR(N(F206)&gt;=0.1,G206&gt;=1),1,0)))</f>
        <v/>
      </c>
      <c r="I206" s="4">
        <f>CHOOSE(H206+1,"Kein Risiko","Gering","Mittel","Hoch")</f>
        <v/>
      </c>
    </row>
    <row r="207">
      <c r="A207" s="4" t="n">
        <v>203</v>
      </c>
      <c r="B207" s="4" t="inlineStr">
        <is>
          <t>yes</t>
        </is>
      </c>
      <c r="C207" s="4" t="inlineStr">
        <is>
          <t>Holsteinanger</t>
        </is>
      </c>
      <c r="D207" s="4" t="inlineStr">
        <is>
          <t>42</t>
        </is>
      </c>
      <c r="E207" s="13" t="n">
        <v>192.2</v>
      </c>
      <c r="F207" s="12" t="n">
        <v>0.04000091552734375</v>
      </c>
      <c r="G207" s="4" t="n">
        <v>1</v>
      </c>
      <c r="H207" s="4">
        <f>IF(OR(N(F207)&gt;=0.5,G207&gt;=4),3,IF(OR(N(F207)&gt;=0.3,G207=3),2,IF(OR(N(F207)&gt;=0.1,G207&gt;=1),1,0)))</f>
        <v/>
      </c>
      <c r="I207" s="4">
        <f>CHOOSE(H207+1,"Kein Risiko","Gering","Mittel","Hoch")</f>
        <v/>
      </c>
    </row>
    <row r="208">
      <c r="A208" s="4" t="n">
        <v>204</v>
      </c>
      <c r="B208" s="4" t="inlineStr">
        <is>
          <t>yes</t>
        </is>
      </c>
      <c r="C208" s="4" t="inlineStr">
        <is>
          <t>Holsteinanger</t>
        </is>
      </c>
      <c r="D208" s="4" t="inlineStr">
        <is>
          <t>26</t>
        </is>
      </c>
      <c r="E208" s="13" t="n">
        <v>123.7</v>
      </c>
      <c r="F208" s="12" t="n">
        <v>0</v>
      </c>
      <c r="G208" s="4" t="n">
        <v>0</v>
      </c>
      <c r="H208" s="4">
        <f>IF(OR(N(F208)&gt;=0.5,G208&gt;=4),3,IF(OR(N(F208)&gt;=0.3,G208=3),2,IF(OR(N(F208)&gt;=0.1,G208&gt;=1),1,0)))</f>
        <v/>
      </c>
      <c r="I208" s="4">
        <f>CHOOSE(H208+1,"Kein Risiko","Gering","Mittel","Hoch")</f>
        <v/>
      </c>
    </row>
    <row r="209">
      <c r="A209" s="4" t="n">
        <v>205</v>
      </c>
      <c r="B209" s="4" t="inlineStr">
        <is>
          <t>yes</t>
        </is>
      </c>
      <c r="C209" s="4" t="inlineStr">
        <is>
          <t>Holsteinanger</t>
        </is>
      </c>
      <c r="D209" s="4" t="inlineStr">
        <is>
          <t>40</t>
        </is>
      </c>
      <c r="E209" s="13" t="n">
        <v>104.4</v>
      </c>
      <c r="F209" s="12" t="n">
        <v>0.1100006103515625</v>
      </c>
      <c r="G209" s="4" t="n">
        <v>0</v>
      </c>
      <c r="H209" s="4">
        <f>IF(OR(N(F209)&gt;=0.5,G209&gt;=4),3,IF(OR(N(F209)&gt;=0.3,G209=3),2,IF(OR(N(F209)&gt;=0.1,G209&gt;=1),1,0)))</f>
        <v/>
      </c>
      <c r="I209" s="4">
        <f>CHOOSE(H209+1,"Kein Risiko","Gering","Mittel","Hoch")</f>
        <v/>
      </c>
    </row>
    <row r="210">
      <c r="A210" s="4" t="n">
        <v>206</v>
      </c>
      <c r="B210" s="4" t="inlineStr">
        <is>
          <t>yes</t>
        </is>
      </c>
      <c r="C210" s="4" t="inlineStr">
        <is>
          <t>Holsteinanger</t>
        </is>
      </c>
      <c r="D210" s="4" t="inlineStr">
        <is>
          <t>52</t>
        </is>
      </c>
      <c r="E210" s="13" t="n">
        <v>163.7</v>
      </c>
      <c r="F210" s="12" t="n">
        <v>0.0200042724609375</v>
      </c>
      <c r="G210" s="4" t="n">
        <v>0</v>
      </c>
      <c r="H210" s="4">
        <f>IF(OR(N(F210)&gt;=0.5,G210&gt;=4),3,IF(OR(N(F210)&gt;=0.3,G210=3),2,IF(OR(N(F210)&gt;=0.1,G210&gt;=1),1,0)))</f>
        <v/>
      </c>
      <c r="I210" s="4">
        <f>CHOOSE(H210+1,"Kein Risiko","Gering","Mittel","Hoch")</f>
        <v/>
      </c>
    </row>
    <row r="211">
      <c r="A211" s="4" t="n">
        <v>207</v>
      </c>
      <c r="B211" s="4" t="inlineStr">
        <is>
          <t>apartments</t>
        </is>
      </c>
      <c r="C211" s="4" t="inlineStr">
        <is>
          <t>Butenbergs Kamp</t>
        </is>
      </c>
      <c r="D211" s="4" t="inlineStr">
        <is>
          <t>98</t>
        </is>
      </c>
      <c r="E211" s="13" t="n">
        <v>131.9</v>
      </c>
      <c r="F211" s="12" t="n">
        <v>0.01000213623046875</v>
      </c>
      <c r="G211" s="4" t="n">
        <v>0</v>
      </c>
      <c r="H211" s="4">
        <f>IF(OR(N(F211)&gt;=0.5,G211&gt;=4),3,IF(OR(N(F211)&gt;=0.3,G211=3),2,IF(OR(N(F211)&gt;=0.1,G211&gt;=1),1,0)))</f>
        <v/>
      </c>
      <c r="I211" s="4">
        <f>CHOOSE(H211+1,"Kein Risiko","Gering","Mittel","Hoch")</f>
        <v/>
      </c>
    </row>
    <row r="212">
      <c r="A212" s="4" t="n">
        <v>208</v>
      </c>
      <c r="B212" s="4" t="inlineStr">
        <is>
          <t>yes</t>
        </is>
      </c>
      <c r="C212" s="4" t="inlineStr"/>
      <c r="D212" s="4" t="inlineStr"/>
      <c r="E212" s="13" t="n">
        <v>60.4</v>
      </c>
      <c r="F212" s="12" t="n">
        <v>0.03000640869140625</v>
      </c>
      <c r="G212" s="4" t="n">
        <v>0</v>
      </c>
      <c r="H212" s="4">
        <f>IF(OR(N(F212)&gt;=0.5,G212&gt;=4),3,IF(OR(N(F212)&gt;=0.3,G212=3),2,IF(OR(N(F212)&gt;=0.1,G212&gt;=1),1,0)))</f>
        <v/>
      </c>
      <c r="I212" s="4">
        <f>CHOOSE(H212+1,"Kein Risiko","Gering","Mittel","Hoch")</f>
        <v/>
      </c>
    </row>
    <row r="213">
      <c r="A213" s="4" t="n">
        <v>209</v>
      </c>
      <c r="B213" s="4" t="inlineStr">
        <is>
          <t>apartments</t>
        </is>
      </c>
      <c r="C213" s="4" t="inlineStr">
        <is>
          <t>Holsteinanger</t>
        </is>
      </c>
      <c r="D213" s="4" t="inlineStr">
        <is>
          <t>20</t>
        </is>
      </c>
      <c r="E213" s="13" t="n">
        <v>132.1</v>
      </c>
      <c r="F213" s="12" t="n">
        <v>0.089996337890625</v>
      </c>
      <c r="G213" s="4" t="n">
        <v>0</v>
      </c>
      <c r="H213" s="4">
        <f>IF(OR(N(F213)&gt;=0.5,G213&gt;=4),3,IF(OR(N(F213)&gt;=0.3,G213=3),2,IF(OR(N(F213)&gt;=0.1,G213&gt;=1),1,0)))</f>
        <v/>
      </c>
      <c r="I213" s="4">
        <f>CHOOSE(H213+1,"Kein Risiko","Gering","Mittel","Hoch")</f>
        <v/>
      </c>
    </row>
    <row r="214">
      <c r="A214" s="4" t="n">
        <v>210</v>
      </c>
      <c r="B214" s="4" t="inlineStr">
        <is>
          <t>yes</t>
        </is>
      </c>
      <c r="C214" s="4" t="inlineStr"/>
      <c r="D214" s="4" t="inlineStr"/>
      <c r="E214" s="13" t="n">
        <v>67.40000000000001</v>
      </c>
      <c r="F214" s="12" t="n"/>
      <c r="G214" s="4" t="n">
        <v>0</v>
      </c>
      <c r="H214" s="4">
        <f>IF(OR(N(F214)&gt;=0.5,G214&gt;=4),3,IF(OR(N(F214)&gt;=0.3,G214=3),2,IF(OR(N(F214)&gt;=0.1,G214&gt;=1),1,0)))</f>
        <v/>
      </c>
      <c r="I214" s="4">
        <f>CHOOSE(H214+1,"Kein Risiko","Gering","Mittel","Hoch")</f>
        <v/>
      </c>
    </row>
    <row r="215">
      <c r="A215" s="4" t="n">
        <v>211</v>
      </c>
      <c r="B215" s="4" t="inlineStr">
        <is>
          <t>yes</t>
        </is>
      </c>
      <c r="C215" s="4" t="inlineStr"/>
      <c r="D215" s="4" t="inlineStr"/>
      <c r="E215" s="13" t="n">
        <v>23.9</v>
      </c>
      <c r="F215" s="12" t="n">
        <v>0</v>
      </c>
      <c r="G215" s="4" t="n">
        <v>0</v>
      </c>
      <c r="H215" s="4">
        <f>IF(OR(N(F215)&gt;=0.5,G215&gt;=4),3,IF(OR(N(F215)&gt;=0.3,G215=3),2,IF(OR(N(F215)&gt;=0.1,G215&gt;=1),1,0)))</f>
        <v/>
      </c>
      <c r="I215" s="4">
        <f>CHOOSE(H215+1,"Kein Risiko","Gering","Mittel","Hoch")</f>
        <v/>
      </c>
    </row>
    <row r="216">
      <c r="A216" s="4" t="n">
        <v>212</v>
      </c>
      <c r="B216" s="4" t="inlineStr">
        <is>
          <t>yes</t>
        </is>
      </c>
      <c r="C216" s="4" t="inlineStr"/>
      <c r="D216" s="4" t="inlineStr"/>
      <c r="E216" s="13" t="n">
        <v>41.1</v>
      </c>
      <c r="F216" s="12" t="n">
        <v>0</v>
      </c>
      <c r="G216" s="4" t="n">
        <v>0</v>
      </c>
      <c r="H216" s="4">
        <f>IF(OR(N(F216)&gt;=0.5,G216&gt;=4),3,IF(OR(N(F216)&gt;=0.3,G216=3),2,IF(OR(N(F216)&gt;=0.1,G216&gt;=1),1,0)))</f>
        <v/>
      </c>
      <c r="I216" s="4">
        <f>CHOOSE(H216+1,"Kein Risiko","Gering","Mittel","Hoch")</f>
        <v/>
      </c>
    </row>
    <row r="217">
      <c r="A217" s="4" t="n">
        <v>213</v>
      </c>
      <c r="B217" s="4" t="inlineStr">
        <is>
          <t>yes</t>
        </is>
      </c>
      <c r="C217" s="4" t="inlineStr">
        <is>
          <t>Schmiedekottenweg</t>
        </is>
      </c>
      <c r="D217" s="4" t="inlineStr">
        <is>
          <t>19</t>
        </is>
      </c>
      <c r="E217" s="13" t="n">
        <v>166</v>
      </c>
      <c r="F217" s="12" t="n">
        <v>0.04000091552734375</v>
      </c>
      <c r="G217" s="4" t="n">
        <v>0</v>
      </c>
      <c r="H217" s="4">
        <f>IF(OR(N(F217)&gt;=0.5,G217&gt;=4),3,IF(OR(N(F217)&gt;=0.3,G217=3),2,IF(OR(N(F217)&gt;=0.1,G217&gt;=1),1,0)))</f>
        <v/>
      </c>
      <c r="I217" s="4">
        <f>CHOOSE(H217+1,"Kein Risiko","Gering","Mittel","Hoch")</f>
        <v/>
      </c>
    </row>
    <row r="218">
      <c r="A218" s="4" t="n">
        <v>214</v>
      </c>
      <c r="B218" s="4" t="inlineStr">
        <is>
          <t>yes</t>
        </is>
      </c>
      <c r="C218" s="4" t="inlineStr">
        <is>
          <t>Holsteinanger</t>
        </is>
      </c>
      <c r="D218" s="4" t="inlineStr">
        <is>
          <t>56</t>
        </is>
      </c>
      <c r="E218" s="13" t="n">
        <v>337.1</v>
      </c>
      <c r="F218" s="12" t="n">
        <v>0.05999755859375</v>
      </c>
      <c r="G218" s="4" t="n">
        <v>0</v>
      </c>
      <c r="H218" s="4">
        <f>IF(OR(N(F218)&gt;=0.5,G218&gt;=4),3,IF(OR(N(F218)&gt;=0.3,G218=3),2,IF(OR(N(F218)&gt;=0.1,G218&gt;=1),1,0)))</f>
        <v/>
      </c>
      <c r="I218" s="4">
        <f>CHOOSE(H218+1,"Kein Risiko","Gering","Mittel","Hoch")</f>
        <v/>
      </c>
    </row>
    <row r="219">
      <c r="A219" s="4" t="n">
        <v>215</v>
      </c>
      <c r="B219" s="4" t="inlineStr">
        <is>
          <t>yes</t>
        </is>
      </c>
      <c r="C219" s="4" t="inlineStr">
        <is>
          <t>Holsteinanger</t>
        </is>
      </c>
      <c r="D219" s="4" t="inlineStr">
        <is>
          <t>81</t>
        </is>
      </c>
      <c r="E219" s="13" t="n">
        <v>391.6</v>
      </c>
      <c r="F219" s="12" t="n">
        <v>0.09999847412109375</v>
      </c>
      <c r="G219" s="4" t="n">
        <v>0</v>
      </c>
      <c r="H219" s="4">
        <f>IF(OR(N(F219)&gt;=0.5,G219&gt;=4),3,IF(OR(N(F219)&gt;=0.3,G219=3),2,IF(OR(N(F219)&gt;=0.1,G219&gt;=1),1,0)))</f>
        <v/>
      </c>
      <c r="I219" s="4">
        <f>CHOOSE(H219+1,"Kein Risiko","Gering","Mittel","Hoch")</f>
        <v/>
      </c>
    </row>
    <row r="220">
      <c r="A220" s="4" t="n">
        <v>216</v>
      </c>
      <c r="B220" s="4" t="inlineStr">
        <is>
          <t>yes</t>
        </is>
      </c>
      <c r="C220" s="4" t="inlineStr"/>
      <c r="D220" s="4" t="inlineStr"/>
      <c r="E220" s="13" t="n">
        <v>433.4</v>
      </c>
      <c r="F220" s="12" t="n">
        <v>0.04999923706054688</v>
      </c>
      <c r="G220" s="4" t="n">
        <v>1</v>
      </c>
      <c r="H220" s="4">
        <f>IF(OR(N(F220)&gt;=0.5,G220&gt;=4),3,IF(OR(N(F220)&gt;=0.3,G220=3),2,IF(OR(N(F220)&gt;=0.1,G220&gt;=1),1,0)))</f>
        <v/>
      </c>
      <c r="I220" s="4">
        <f>CHOOSE(H220+1,"Kein Risiko","Gering","Mittel","Hoch")</f>
        <v/>
      </c>
    </row>
    <row r="221">
      <c r="A221" s="4" t="n">
        <v>217</v>
      </c>
      <c r="B221" s="4" t="inlineStr">
        <is>
          <t>yes</t>
        </is>
      </c>
      <c r="C221" s="4" t="inlineStr">
        <is>
          <t>Holsteinanger</t>
        </is>
      </c>
      <c r="D221" s="4" t="inlineStr">
        <is>
          <t>60</t>
        </is>
      </c>
      <c r="E221" s="13" t="n">
        <v>217.3</v>
      </c>
      <c r="F221" s="12" t="n"/>
      <c r="G221" s="4" t="n">
        <v>0</v>
      </c>
      <c r="H221" s="4">
        <f>IF(OR(N(F221)&gt;=0.5,G221&gt;=4),3,IF(OR(N(F221)&gt;=0.3,G221=3),2,IF(OR(N(F221)&gt;=0.1,G221&gt;=1),1,0)))</f>
        <v/>
      </c>
      <c r="I221" s="4">
        <f>CHOOSE(H221+1,"Kein Risiko","Gering","Mittel","Hoch")</f>
        <v/>
      </c>
    </row>
    <row r="222">
      <c r="A222" s="4" t="n">
        <v>218</v>
      </c>
      <c r="B222" s="4" t="inlineStr">
        <is>
          <t>yes</t>
        </is>
      </c>
      <c r="C222" s="4" t="inlineStr">
        <is>
          <t>Wuppertaler Straße</t>
        </is>
      </c>
      <c r="D222" s="4" t="inlineStr">
        <is>
          <t>597c</t>
        </is>
      </c>
      <c r="E222" s="13" t="n">
        <v>76.2</v>
      </c>
      <c r="F222" s="12" t="n">
        <v>0</v>
      </c>
      <c r="G222" s="4" t="n">
        <v>0</v>
      </c>
      <c r="H222" s="4">
        <f>IF(OR(N(F222)&gt;=0.5,G222&gt;=4),3,IF(OR(N(F222)&gt;=0.3,G222=3),2,IF(OR(N(F222)&gt;=0.1,G222&gt;=1),1,0)))</f>
        <v/>
      </c>
      <c r="I222" s="4">
        <f>CHOOSE(H222+1,"Kein Risiko","Gering","Mittel","Hoch")</f>
        <v/>
      </c>
    </row>
    <row r="223">
      <c r="A223" s="4" t="n">
        <v>219</v>
      </c>
      <c r="B223" s="4" t="inlineStr">
        <is>
          <t>yes</t>
        </is>
      </c>
      <c r="C223" s="4" t="inlineStr">
        <is>
          <t>Stauseebogen</t>
        </is>
      </c>
      <c r="D223" s="4" t="inlineStr">
        <is>
          <t>11</t>
        </is>
      </c>
      <c r="E223" s="13" t="n">
        <v>257.6</v>
      </c>
      <c r="F223" s="12" t="n">
        <v>0.029998779296875</v>
      </c>
      <c r="G223" s="4" t="n">
        <v>0</v>
      </c>
      <c r="H223" s="4">
        <f>IF(OR(N(F223)&gt;=0.5,G223&gt;=4),3,IF(OR(N(F223)&gt;=0.3,G223=3),2,IF(OR(N(F223)&gt;=0.1,G223&gt;=1),1,0)))</f>
        <v/>
      </c>
      <c r="I223" s="4">
        <f>CHOOSE(H223+1,"Kein Risiko","Gering","Mittel","Hoch")</f>
        <v/>
      </c>
    </row>
    <row r="224">
      <c r="A224" s="4" t="n">
        <v>220</v>
      </c>
      <c r="B224" s="4" t="inlineStr">
        <is>
          <t>yes</t>
        </is>
      </c>
      <c r="C224" s="4" t="inlineStr">
        <is>
          <t>Holsteinanger</t>
        </is>
      </c>
      <c r="D224" s="4" t="inlineStr">
        <is>
          <t>83</t>
        </is>
      </c>
      <c r="E224" s="13" t="n">
        <v>247.8</v>
      </c>
      <c r="F224" s="12" t="n">
        <v>0</v>
      </c>
      <c r="G224" s="4" t="n">
        <v>0</v>
      </c>
      <c r="H224" s="4">
        <f>IF(OR(N(F224)&gt;=0.5,G224&gt;=4),3,IF(OR(N(F224)&gt;=0.3,G224=3),2,IF(OR(N(F224)&gt;=0.1,G224&gt;=1),1,0)))</f>
        <v/>
      </c>
      <c r="I224" s="4">
        <f>CHOOSE(H224+1,"Kein Risiko","Gering","Mittel","Hoch")</f>
        <v/>
      </c>
    </row>
    <row r="225">
      <c r="A225" s="4" t="n">
        <v>221</v>
      </c>
      <c r="B225" s="4" t="inlineStr">
        <is>
          <t>yes</t>
        </is>
      </c>
      <c r="C225" s="4" t="inlineStr">
        <is>
          <t>Wuppertaler Straße</t>
        </is>
      </c>
      <c r="D225" s="4" t="inlineStr">
        <is>
          <t>597</t>
        </is>
      </c>
      <c r="E225" s="13" t="n">
        <v>114.7</v>
      </c>
      <c r="F225" s="12" t="n">
        <v>0</v>
      </c>
      <c r="G225" s="4" t="n">
        <v>0</v>
      </c>
      <c r="H225" s="4">
        <f>IF(OR(N(F225)&gt;=0.5,G225&gt;=4),3,IF(OR(N(F225)&gt;=0.3,G225=3),2,IF(OR(N(F225)&gt;=0.1,G225&gt;=1),1,0)))</f>
        <v/>
      </c>
      <c r="I225" s="4">
        <f>CHOOSE(H225+1,"Kein Risiko","Gering","Mittel","Hoch")</f>
        <v/>
      </c>
    </row>
    <row r="226">
      <c r="A226" s="4" t="n">
        <v>222</v>
      </c>
      <c r="B226" s="4" t="inlineStr">
        <is>
          <t>yes</t>
        </is>
      </c>
      <c r="C226" s="4" t="inlineStr">
        <is>
          <t>Holsteinanger</t>
        </is>
      </c>
      <c r="D226" s="4" t="inlineStr">
        <is>
          <t>58</t>
        </is>
      </c>
      <c r="E226" s="13" t="n">
        <v>251.4</v>
      </c>
      <c r="F226" s="12" t="n">
        <v>0.04999542236328125</v>
      </c>
      <c r="G226" s="4" t="n">
        <v>0</v>
      </c>
      <c r="H226" s="4">
        <f>IF(OR(N(F226)&gt;=0.5,G226&gt;=4),3,IF(OR(N(F226)&gt;=0.3,G226=3),2,IF(OR(N(F226)&gt;=0.1,G226&gt;=1),1,0)))</f>
        <v/>
      </c>
      <c r="I226" s="4">
        <f>CHOOSE(H226+1,"Kein Risiko","Gering","Mittel","Hoch")</f>
        <v/>
      </c>
    </row>
    <row r="227">
      <c r="A227" s="4" t="n">
        <v>223</v>
      </c>
      <c r="B227" s="4" t="inlineStr">
        <is>
          <t>yes</t>
        </is>
      </c>
      <c r="C227" s="4" t="inlineStr"/>
      <c r="D227" s="4" t="inlineStr"/>
      <c r="E227" s="13" t="n">
        <v>55.7</v>
      </c>
      <c r="F227" s="12" t="n">
        <v>0.029998779296875</v>
      </c>
      <c r="G227" s="4" t="n">
        <v>0</v>
      </c>
      <c r="H227" s="4">
        <f>IF(OR(N(F227)&gt;=0.5,G227&gt;=4),3,IF(OR(N(F227)&gt;=0.3,G227=3),2,IF(OR(N(F227)&gt;=0.1,G227&gt;=1),1,0)))</f>
        <v/>
      </c>
      <c r="I227" s="4">
        <f>CHOOSE(H227+1,"Kein Risiko","Gering","Mittel","Hoch")</f>
        <v/>
      </c>
    </row>
    <row r="228">
      <c r="A228" s="4" t="n">
        <v>224</v>
      </c>
      <c r="B228" s="4" t="inlineStr">
        <is>
          <t>yes</t>
        </is>
      </c>
      <c r="C228" s="4" t="inlineStr">
        <is>
          <t>Stauseebogen</t>
        </is>
      </c>
      <c r="D228" s="4" t="inlineStr">
        <is>
          <t>23</t>
        </is>
      </c>
      <c r="E228" s="13" t="n">
        <v>206.6</v>
      </c>
      <c r="F228" s="12" t="n">
        <v>0.06000137329101562</v>
      </c>
      <c r="G228" s="4" t="n">
        <v>0</v>
      </c>
      <c r="H228" s="4">
        <f>IF(OR(N(F228)&gt;=0.5,G228&gt;=4),3,IF(OR(N(F228)&gt;=0.3,G228=3),2,IF(OR(N(F228)&gt;=0.1,G228&gt;=1),1,0)))</f>
        <v/>
      </c>
      <c r="I228" s="4">
        <f>CHOOSE(H228+1,"Kein Risiko","Gering","Mittel","Hoch")</f>
        <v/>
      </c>
    </row>
    <row r="229">
      <c r="A229" s="4" t="n">
        <v>225</v>
      </c>
      <c r="B229" s="4" t="inlineStr">
        <is>
          <t>yes</t>
        </is>
      </c>
      <c r="C229" s="4" t="inlineStr">
        <is>
          <t>Stauseebogen</t>
        </is>
      </c>
      <c r="D229" s="4" t="inlineStr">
        <is>
          <t>31</t>
        </is>
      </c>
      <c r="E229" s="13" t="n">
        <v>140.3</v>
      </c>
      <c r="F229" s="12" t="n">
        <v>0</v>
      </c>
      <c r="G229" s="4" t="n">
        <v>0</v>
      </c>
      <c r="H229" s="4">
        <f>IF(OR(N(F229)&gt;=0.5,G229&gt;=4),3,IF(OR(N(F229)&gt;=0.3,G229=3),2,IF(OR(N(F229)&gt;=0.1,G229&gt;=1),1,0)))</f>
        <v/>
      </c>
      <c r="I229" s="4">
        <f>CHOOSE(H229+1,"Kein Risiko","Gering","Mittel","Hoch")</f>
        <v/>
      </c>
    </row>
    <row r="230">
      <c r="A230" s="4" t="n">
        <v>226</v>
      </c>
      <c r="B230" s="4" t="inlineStr">
        <is>
          <t>yes</t>
        </is>
      </c>
      <c r="C230" s="4" t="inlineStr">
        <is>
          <t>Lelei</t>
        </is>
      </c>
      <c r="D230" s="4" t="inlineStr">
        <is>
          <t>98</t>
        </is>
      </c>
      <c r="E230" s="13" t="n">
        <v>249.9</v>
      </c>
      <c r="F230" s="12" t="n">
        <v>0</v>
      </c>
      <c r="G230" s="4" t="n">
        <v>0</v>
      </c>
      <c r="H230" s="4">
        <f>IF(OR(N(F230)&gt;=0.5,G230&gt;=4),3,IF(OR(N(F230)&gt;=0.3,G230=3),2,IF(OR(N(F230)&gt;=0.1,G230&gt;=1),1,0)))</f>
        <v/>
      </c>
      <c r="I230" s="4">
        <f>CHOOSE(H230+1,"Kein Risiko","Gering","Mittel","Hoch")</f>
        <v/>
      </c>
    </row>
    <row r="231">
      <c r="A231" s="4" t="n">
        <v>227</v>
      </c>
      <c r="B231" s="4" t="inlineStr">
        <is>
          <t>apartments</t>
        </is>
      </c>
      <c r="C231" s="4" t="inlineStr">
        <is>
          <t>Kupferdreher Straße</t>
        </is>
      </c>
      <c r="D231" s="4" t="inlineStr">
        <is>
          <t>187</t>
        </is>
      </c>
      <c r="E231" s="13" t="n">
        <v>90.8</v>
      </c>
      <c r="F231" s="12" t="n">
        <v>0</v>
      </c>
      <c r="G231" s="4" t="n">
        <v>0</v>
      </c>
      <c r="H231" s="4">
        <f>IF(OR(N(F231)&gt;=0.5,G231&gt;=4),3,IF(OR(N(F231)&gt;=0.3,G231=3),2,IF(OR(N(F231)&gt;=0.1,G231&gt;=1),1,0)))</f>
        <v/>
      </c>
      <c r="I231" s="4">
        <f>CHOOSE(H231+1,"Kein Risiko","Gering","Mittel","Hoch")</f>
        <v/>
      </c>
    </row>
    <row r="232">
      <c r="A232" s="4" t="n">
        <v>228</v>
      </c>
      <c r="B232" s="4" t="inlineStr">
        <is>
          <t>apartments</t>
        </is>
      </c>
      <c r="C232" s="4" t="inlineStr">
        <is>
          <t>Kupferdreher Straße</t>
        </is>
      </c>
      <c r="D232" s="4" t="inlineStr">
        <is>
          <t>168</t>
        </is>
      </c>
      <c r="E232" s="13" t="n">
        <v>229.2</v>
      </c>
      <c r="F232" s="12" t="n">
        <v>0</v>
      </c>
      <c r="G232" s="4" t="n">
        <v>0</v>
      </c>
      <c r="H232" s="4">
        <f>IF(OR(N(F232)&gt;=0.5,G232&gt;=4),3,IF(OR(N(F232)&gt;=0.3,G232=3),2,IF(OR(N(F232)&gt;=0.1,G232&gt;=1),1,0)))</f>
        <v/>
      </c>
      <c r="I232" s="4">
        <f>CHOOSE(H232+1,"Kein Risiko","Gering","Mittel","Hoch")</f>
        <v/>
      </c>
    </row>
    <row r="233">
      <c r="A233" s="4" t="n">
        <v>229</v>
      </c>
      <c r="B233" s="4" t="inlineStr">
        <is>
          <t>garages</t>
        </is>
      </c>
      <c r="C233" s="4" t="inlineStr"/>
      <c r="D233" s="4" t="inlineStr"/>
      <c r="E233" s="13" t="n">
        <v>181.7</v>
      </c>
      <c r="F233" s="12" t="n">
        <v>0</v>
      </c>
      <c r="G233" s="4" t="n">
        <v>1</v>
      </c>
      <c r="H233" s="4">
        <f>IF(OR(N(F233)&gt;=0.5,G233&gt;=4),3,IF(OR(N(F233)&gt;=0.3,G233=3),2,IF(OR(N(F233)&gt;=0.1,G233&gt;=1),1,0)))</f>
        <v/>
      </c>
      <c r="I233" s="4">
        <f>CHOOSE(H233+1,"Kein Risiko","Gering","Mittel","Hoch")</f>
        <v/>
      </c>
    </row>
    <row r="234">
      <c r="A234" s="4" t="n">
        <v>230</v>
      </c>
      <c r="B234" s="4" t="inlineStr">
        <is>
          <t>apartments</t>
        </is>
      </c>
      <c r="C234" s="4" t="inlineStr">
        <is>
          <t>Kupferdreher Straße</t>
        </is>
      </c>
      <c r="D234" s="4" t="inlineStr">
        <is>
          <t>169</t>
        </is>
      </c>
      <c r="E234" s="13" t="n">
        <v>104.9</v>
      </c>
      <c r="F234" s="12" t="n">
        <v>0</v>
      </c>
      <c r="G234" s="4" t="n">
        <v>0</v>
      </c>
      <c r="H234" s="4">
        <f>IF(OR(N(F234)&gt;=0.5,G234&gt;=4),3,IF(OR(N(F234)&gt;=0.3,G234=3),2,IF(OR(N(F234)&gt;=0.1,G234&gt;=1),1,0)))</f>
        <v/>
      </c>
      <c r="I234" s="4">
        <f>CHOOSE(H234+1,"Kein Risiko","Gering","Mittel","Hoch")</f>
        <v/>
      </c>
    </row>
    <row r="235">
      <c r="A235" s="4" t="n">
        <v>231</v>
      </c>
      <c r="B235" s="4" t="inlineStr">
        <is>
          <t>apartments</t>
        </is>
      </c>
      <c r="C235" s="4" t="inlineStr"/>
      <c r="D235" s="4" t="inlineStr"/>
      <c r="E235" s="13" t="n">
        <v>98.09999999999999</v>
      </c>
      <c r="F235" s="12" t="n">
        <v>0</v>
      </c>
      <c r="G235" s="4" t="n">
        <v>0</v>
      </c>
      <c r="H235" s="4">
        <f>IF(OR(N(F235)&gt;=0.5,G235&gt;=4),3,IF(OR(N(F235)&gt;=0.3,G235=3),2,IF(OR(N(F235)&gt;=0.1,G235&gt;=1),1,0)))</f>
        <v/>
      </c>
      <c r="I235" s="4">
        <f>CHOOSE(H235+1,"Kein Risiko","Gering","Mittel","Hoch")</f>
        <v/>
      </c>
    </row>
    <row r="236">
      <c r="A236" s="4" t="n">
        <v>232</v>
      </c>
      <c r="B236" s="4" t="inlineStr">
        <is>
          <t>apartments</t>
        </is>
      </c>
      <c r="C236" s="4" t="inlineStr">
        <is>
          <t>Bahnstraße</t>
        </is>
      </c>
      <c r="D236" s="4" t="inlineStr">
        <is>
          <t>3</t>
        </is>
      </c>
      <c r="E236" s="13" t="n">
        <v>167.3</v>
      </c>
      <c r="F236" s="12" t="n">
        <v>0</v>
      </c>
      <c r="G236" s="4" t="n">
        <v>0</v>
      </c>
      <c r="H236" s="4">
        <f>IF(OR(N(F236)&gt;=0.5,G236&gt;=4),3,IF(OR(N(F236)&gt;=0.3,G236=3),2,IF(OR(N(F236)&gt;=0.1,G236&gt;=1),1,0)))</f>
        <v/>
      </c>
      <c r="I236" s="4">
        <f>CHOOSE(H236+1,"Kein Risiko","Gering","Mittel","Hoch")</f>
        <v/>
      </c>
    </row>
    <row r="237">
      <c r="A237" s="4" t="n">
        <v>233</v>
      </c>
      <c r="B237" s="4" t="inlineStr">
        <is>
          <t>yes</t>
        </is>
      </c>
      <c r="C237" s="4" t="inlineStr">
        <is>
          <t>Colsmanstraße</t>
        </is>
      </c>
      <c r="D237" s="4" t="inlineStr">
        <is>
          <t>3</t>
        </is>
      </c>
      <c r="E237" s="13" t="n">
        <v>139</v>
      </c>
      <c r="F237" s="12" t="n">
        <v>0</v>
      </c>
      <c r="G237" s="4" t="n">
        <v>0</v>
      </c>
      <c r="H237" s="4">
        <f>IF(OR(N(F237)&gt;=0.5,G237&gt;=4),3,IF(OR(N(F237)&gt;=0.3,G237=3),2,IF(OR(N(F237)&gt;=0.1,G237&gt;=1),1,0)))</f>
        <v/>
      </c>
      <c r="I237" s="4">
        <f>CHOOSE(H237+1,"Kein Risiko","Gering","Mittel","Hoch")</f>
        <v/>
      </c>
    </row>
    <row r="238">
      <c r="A238" s="4" t="n">
        <v>234</v>
      </c>
      <c r="B238" s="4" t="inlineStr">
        <is>
          <t>apartments</t>
        </is>
      </c>
      <c r="C238" s="4" t="inlineStr">
        <is>
          <t>Kupferdreher Markt</t>
        </is>
      </c>
      <c r="D238" s="4" t="inlineStr">
        <is>
          <t>1</t>
        </is>
      </c>
      <c r="E238" s="13" t="n">
        <v>127.4</v>
      </c>
      <c r="F238" s="12" t="n">
        <v>0.01999664306640625</v>
      </c>
      <c r="G238" s="4" t="n">
        <v>1</v>
      </c>
      <c r="H238" s="4">
        <f>IF(OR(N(F238)&gt;=0.5,G238&gt;=4),3,IF(OR(N(F238)&gt;=0.3,G238=3),2,IF(OR(N(F238)&gt;=0.1,G238&gt;=1),1,0)))</f>
        <v/>
      </c>
      <c r="I238" s="4">
        <f>CHOOSE(H238+1,"Kein Risiko","Gering","Mittel","Hoch")</f>
        <v/>
      </c>
    </row>
    <row r="239">
      <c r="A239" s="4" t="n">
        <v>235</v>
      </c>
      <c r="B239" s="4" t="inlineStr">
        <is>
          <t>apartments</t>
        </is>
      </c>
      <c r="C239" s="4" t="inlineStr">
        <is>
          <t>Bahnstraße</t>
        </is>
      </c>
      <c r="D239" s="4" t="inlineStr">
        <is>
          <t>5</t>
        </is>
      </c>
      <c r="E239" s="13" t="n">
        <v>130.4</v>
      </c>
      <c r="F239" s="12" t="n">
        <v>0</v>
      </c>
      <c r="G239" s="4" t="n">
        <v>0</v>
      </c>
      <c r="H239" s="4">
        <f>IF(OR(N(F239)&gt;=0.5,G239&gt;=4),3,IF(OR(N(F239)&gt;=0.3,G239=3),2,IF(OR(N(F239)&gt;=0.1,G239&gt;=1),1,0)))</f>
        <v/>
      </c>
      <c r="I239" s="4">
        <f>CHOOSE(H239+1,"Kein Risiko","Gering","Mittel","Hoch")</f>
        <v/>
      </c>
    </row>
    <row r="240">
      <c r="A240" s="4" t="n">
        <v>236</v>
      </c>
      <c r="B240" s="4" t="inlineStr">
        <is>
          <t>yes</t>
        </is>
      </c>
      <c r="C240" s="4" t="inlineStr">
        <is>
          <t>Colsmanstraße</t>
        </is>
      </c>
      <c r="D240" s="4" t="inlineStr">
        <is>
          <t>2</t>
        </is>
      </c>
      <c r="E240" s="13" t="n">
        <v>130.8</v>
      </c>
      <c r="F240" s="12" t="n">
        <v>0.5499992370605469</v>
      </c>
      <c r="G240" s="4" t="n">
        <v>0</v>
      </c>
      <c r="H240" s="4">
        <f>IF(OR(N(F240)&gt;=0.5,G240&gt;=4),3,IF(OR(N(F240)&gt;=0.3,G240=3),2,IF(OR(N(F240)&gt;=0.1,G240&gt;=1),1,0)))</f>
        <v/>
      </c>
      <c r="I240" s="4">
        <f>CHOOSE(H240+1,"Kein Risiko","Gering","Mittel","Hoch")</f>
        <v/>
      </c>
    </row>
    <row r="241">
      <c r="A241" s="4" t="n">
        <v>237</v>
      </c>
      <c r="B241" s="4" t="inlineStr">
        <is>
          <t>apartments</t>
        </is>
      </c>
      <c r="C241" s="4" t="inlineStr">
        <is>
          <t>Kupferdreher Markt</t>
        </is>
      </c>
      <c r="D241" s="4" t="inlineStr">
        <is>
          <t>5</t>
        </is>
      </c>
      <c r="E241" s="13" t="n">
        <v>342</v>
      </c>
      <c r="F241" s="12" t="n">
        <v>0</v>
      </c>
      <c r="G241" s="4" t="n">
        <v>0</v>
      </c>
      <c r="H241" s="4">
        <f>IF(OR(N(F241)&gt;=0.5,G241&gt;=4),3,IF(OR(N(F241)&gt;=0.3,G241=3),2,IF(OR(N(F241)&gt;=0.1,G241&gt;=1),1,0)))</f>
        <v/>
      </c>
      <c r="I241" s="4">
        <f>CHOOSE(H241+1,"Kein Risiko","Gering","Mittel","Hoch")</f>
        <v/>
      </c>
    </row>
    <row r="242">
      <c r="A242" s="4" t="n">
        <v>238</v>
      </c>
      <c r="B242" s="4" t="inlineStr">
        <is>
          <t>yes</t>
        </is>
      </c>
      <c r="C242" s="4" t="inlineStr">
        <is>
          <t>Kupferdreher Straße</t>
        </is>
      </c>
      <c r="D242" s="4" t="inlineStr">
        <is>
          <t>179</t>
        </is>
      </c>
      <c r="E242" s="13" t="n">
        <v>127.3</v>
      </c>
      <c r="F242" s="12" t="n">
        <v>0.01000213623046875</v>
      </c>
      <c r="G242" s="4" t="n">
        <v>0</v>
      </c>
      <c r="H242" s="4">
        <f>IF(OR(N(F242)&gt;=0.5,G242&gt;=4),3,IF(OR(N(F242)&gt;=0.3,G242=3),2,IF(OR(N(F242)&gt;=0.1,G242&gt;=1),1,0)))</f>
        <v/>
      </c>
      <c r="I242" s="4">
        <f>CHOOSE(H242+1,"Kein Risiko","Gering","Mittel","Hoch")</f>
        <v/>
      </c>
    </row>
    <row r="243">
      <c r="A243" s="4" t="n">
        <v>239</v>
      </c>
      <c r="B243" s="4" t="inlineStr">
        <is>
          <t>apartments</t>
        </is>
      </c>
      <c r="C243" s="4" t="inlineStr">
        <is>
          <t>Bahnstraße</t>
        </is>
      </c>
      <c r="D243" s="4" t="inlineStr">
        <is>
          <t>2</t>
        </is>
      </c>
      <c r="E243" s="13" t="n">
        <v>126.9</v>
      </c>
      <c r="F243" s="12" t="n">
        <v>0</v>
      </c>
      <c r="G243" s="4" t="n">
        <v>0</v>
      </c>
      <c r="H243" s="4">
        <f>IF(OR(N(F243)&gt;=0.5,G243&gt;=4),3,IF(OR(N(F243)&gt;=0.3,G243=3),2,IF(OR(N(F243)&gt;=0.1,G243&gt;=1),1,0)))</f>
        <v/>
      </c>
      <c r="I243" s="4">
        <f>CHOOSE(H243+1,"Kein Risiko","Gering","Mittel","Hoch")</f>
        <v/>
      </c>
    </row>
    <row r="244">
      <c r="A244" s="4" t="n">
        <v>240</v>
      </c>
      <c r="B244" s="4" t="inlineStr">
        <is>
          <t>yes</t>
        </is>
      </c>
      <c r="C244" s="4" t="inlineStr">
        <is>
          <t>Colsmanstraße</t>
        </is>
      </c>
      <c r="D244" s="4" t="inlineStr">
        <is>
          <t>5</t>
        </is>
      </c>
      <c r="E244" s="13" t="n">
        <v>126.4</v>
      </c>
      <c r="F244" s="12" t="n">
        <v>0.03999710083007812</v>
      </c>
      <c r="G244" s="4" t="n">
        <v>0</v>
      </c>
      <c r="H244" s="4">
        <f>IF(OR(N(F244)&gt;=0.5,G244&gt;=4),3,IF(OR(N(F244)&gt;=0.3,G244=3),2,IF(OR(N(F244)&gt;=0.1,G244&gt;=1),1,0)))</f>
        <v/>
      </c>
      <c r="I244" s="4">
        <f>CHOOSE(H244+1,"Kein Risiko","Gering","Mittel","Hoch")</f>
        <v/>
      </c>
    </row>
    <row r="245">
      <c r="A245" s="4" t="n">
        <v>241</v>
      </c>
      <c r="B245" s="4" t="inlineStr">
        <is>
          <t>apartments</t>
        </is>
      </c>
      <c r="C245" s="4" t="inlineStr">
        <is>
          <t>Kupferdreher Markt</t>
        </is>
      </c>
      <c r="D245" s="4" t="inlineStr">
        <is>
          <t>2</t>
        </is>
      </c>
      <c r="E245" s="13" t="n">
        <v>190.5</v>
      </c>
      <c r="F245" s="12" t="n">
        <v>0</v>
      </c>
      <c r="G245" s="4" t="n">
        <v>0</v>
      </c>
      <c r="H245" s="4">
        <f>IF(OR(N(F245)&gt;=0.5,G245&gt;=4),3,IF(OR(N(F245)&gt;=0.3,G245=3),2,IF(OR(N(F245)&gt;=0.1,G245&gt;=1),1,0)))</f>
        <v/>
      </c>
      <c r="I245" s="4">
        <f>CHOOSE(H245+1,"Kein Risiko","Gering","Mittel","Hoch")</f>
        <v/>
      </c>
    </row>
    <row r="246">
      <c r="A246" s="4" t="n">
        <v>242</v>
      </c>
      <c r="B246" s="4" t="inlineStr">
        <is>
          <t>apartments</t>
        </is>
      </c>
      <c r="C246" s="4" t="inlineStr">
        <is>
          <t>Bahnstraße</t>
        </is>
      </c>
      <c r="D246" s="4" t="inlineStr">
        <is>
          <t>7</t>
        </is>
      </c>
      <c r="E246" s="13" t="n">
        <v>195</v>
      </c>
      <c r="F246" s="12" t="n">
        <v>0.279998779296875</v>
      </c>
      <c r="G246" s="4" t="n">
        <v>0</v>
      </c>
      <c r="H246" s="4">
        <f>IF(OR(N(F246)&gt;=0.5,G246&gt;=4),3,IF(OR(N(F246)&gt;=0.3,G246=3),2,IF(OR(N(F246)&gt;=0.1,G246&gt;=1),1,0)))</f>
        <v/>
      </c>
      <c r="I246" s="4">
        <f>CHOOSE(H246+1,"Kein Risiko","Gering","Mittel","Hoch")</f>
        <v/>
      </c>
    </row>
    <row r="247">
      <c r="A247" s="4" t="n">
        <v>243</v>
      </c>
      <c r="B247" s="4" t="inlineStr">
        <is>
          <t>apartments</t>
        </is>
      </c>
      <c r="C247" s="4" t="inlineStr">
        <is>
          <t>Kupferdreher Straße</t>
        </is>
      </c>
      <c r="D247" s="4" t="inlineStr">
        <is>
          <t>178</t>
        </is>
      </c>
      <c r="E247" s="13" t="n">
        <v>195.6</v>
      </c>
      <c r="F247" s="12" t="n">
        <v>0</v>
      </c>
      <c r="G247" s="4" t="n">
        <v>0</v>
      </c>
      <c r="H247" s="4">
        <f>IF(OR(N(F247)&gt;=0.5,G247&gt;=4),3,IF(OR(N(F247)&gt;=0.3,G247=3),2,IF(OR(N(F247)&gt;=0.1,G247&gt;=1),1,0)))</f>
        <v/>
      </c>
      <c r="I247" s="4">
        <f>CHOOSE(H247+1,"Kein Risiko","Gering","Mittel","Hoch")</f>
        <v/>
      </c>
    </row>
    <row r="248">
      <c r="A248" s="4" t="n">
        <v>244</v>
      </c>
      <c r="B248" s="4" t="inlineStr">
        <is>
          <t>apartments</t>
        </is>
      </c>
      <c r="C248" s="4" t="inlineStr">
        <is>
          <t>Hofstraße</t>
        </is>
      </c>
      <c r="D248" s="4" t="inlineStr">
        <is>
          <t>8</t>
        </is>
      </c>
      <c r="E248" s="13" t="n">
        <v>200.2</v>
      </c>
      <c r="F248" s="12" t="n">
        <v>0</v>
      </c>
      <c r="G248" s="4" t="n">
        <v>0</v>
      </c>
      <c r="H248" s="4">
        <f>IF(OR(N(F248)&gt;=0.5,G248&gt;=4),3,IF(OR(N(F248)&gt;=0.3,G248=3),2,IF(OR(N(F248)&gt;=0.1,G248&gt;=1),1,0)))</f>
        <v/>
      </c>
      <c r="I248" s="4">
        <f>CHOOSE(H248+1,"Kein Risiko","Gering","Mittel","Hoch")</f>
        <v/>
      </c>
    </row>
    <row r="249">
      <c r="A249" s="4" t="n">
        <v>245</v>
      </c>
      <c r="B249" s="4" t="inlineStr">
        <is>
          <t>apartments</t>
        </is>
      </c>
      <c r="C249" s="4" t="inlineStr">
        <is>
          <t>Kupferdreher Straße</t>
        </is>
      </c>
      <c r="D249" s="4" t="inlineStr">
        <is>
          <t>163</t>
        </is>
      </c>
      <c r="E249" s="13" t="n">
        <v>164.8</v>
      </c>
      <c r="F249" s="12" t="n">
        <v>0</v>
      </c>
      <c r="G249" s="4" t="n">
        <v>0</v>
      </c>
      <c r="H249" s="4">
        <f>IF(OR(N(F249)&gt;=0.5,G249&gt;=4),3,IF(OR(N(F249)&gt;=0.3,G249=3),2,IF(OR(N(F249)&gt;=0.1,G249&gt;=1),1,0)))</f>
        <v/>
      </c>
      <c r="I249" s="4">
        <f>CHOOSE(H249+1,"Kein Risiko","Gering","Mittel","Hoch")</f>
        <v/>
      </c>
    </row>
    <row r="250">
      <c r="A250" s="4" t="n">
        <v>246</v>
      </c>
      <c r="B250" s="4" t="inlineStr">
        <is>
          <t>apartments</t>
        </is>
      </c>
      <c r="C250" s="4" t="inlineStr">
        <is>
          <t>Kupferdreher Markt</t>
        </is>
      </c>
      <c r="D250" s="4" t="inlineStr">
        <is>
          <t>7</t>
        </is>
      </c>
      <c r="E250" s="13" t="n">
        <v>188.6</v>
      </c>
      <c r="F250" s="12" t="n">
        <v>0</v>
      </c>
      <c r="G250" s="4" t="n">
        <v>0</v>
      </c>
      <c r="H250" s="4">
        <f>IF(OR(N(F250)&gt;=0.5,G250&gt;=4),3,IF(OR(N(F250)&gt;=0.3,G250=3),2,IF(OR(N(F250)&gt;=0.1,G250&gt;=1),1,0)))</f>
        <v/>
      </c>
      <c r="I250" s="4">
        <f>CHOOSE(H250+1,"Kein Risiko","Gering","Mittel","Hoch")</f>
        <v/>
      </c>
    </row>
    <row r="251">
      <c r="A251" s="4" t="n">
        <v>247</v>
      </c>
      <c r="B251" s="4" t="inlineStr">
        <is>
          <t>apartments</t>
        </is>
      </c>
      <c r="C251" s="4" t="inlineStr">
        <is>
          <t>Kupferdreher Straße</t>
        </is>
      </c>
      <c r="D251" s="4" t="inlineStr">
        <is>
          <t>161</t>
        </is>
      </c>
      <c r="E251" s="13" t="n">
        <v>161</v>
      </c>
      <c r="F251" s="12" t="n">
        <v>0</v>
      </c>
      <c r="G251" s="4" t="n">
        <v>1</v>
      </c>
      <c r="H251" s="4">
        <f>IF(OR(N(F251)&gt;=0.5,G251&gt;=4),3,IF(OR(N(F251)&gt;=0.3,G251=3),2,IF(OR(N(F251)&gt;=0.1,G251&gt;=1),1,0)))</f>
        <v/>
      </c>
      <c r="I251" s="4">
        <f>CHOOSE(H251+1,"Kein Risiko","Gering","Mittel","Hoch")</f>
        <v/>
      </c>
    </row>
    <row r="252">
      <c r="A252" s="4" t="n">
        <v>248</v>
      </c>
      <c r="B252" s="4" t="inlineStr">
        <is>
          <t>apartments</t>
        </is>
      </c>
      <c r="C252" s="4" t="inlineStr">
        <is>
          <t>Kupferdreher Straße</t>
        </is>
      </c>
      <c r="D252" s="4" t="inlineStr">
        <is>
          <t>182</t>
        </is>
      </c>
      <c r="E252" s="13" t="n">
        <v>138.7</v>
      </c>
      <c r="F252" s="12" t="n">
        <v>0</v>
      </c>
      <c r="G252" s="4" t="n">
        <v>0</v>
      </c>
      <c r="H252" s="4">
        <f>IF(OR(N(F252)&gt;=0.5,G252&gt;=4),3,IF(OR(N(F252)&gt;=0.3,G252=3),2,IF(OR(N(F252)&gt;=0.1,G252&gt;=1),1,0)))</f>
        <v/>
      </c>
      <c r="I252" s="4">
        <f>CHOOSE(H252+1,"Kein Risiko","Gering","Mittel","Hoch")</f>
        <v/>
      </c>
    </row>
    <row r="253">
      <c r="A253" s="4" t="n">
        <v>249</v>
      </c>
      <c r="B253" s="4" t="inlineStr">
        <is>
          <t>apartments</t>
        </is>
      </c>
      <c r="C253" s="4" t="inlineStr">
        <is>
          <t>Bahnstraße</t>
        </is>
      </c>
      <c r="D253" s="4" t="inlineStr">
        <is>
          <t>4</t>
        </is>
      </c>
      <c r="E253" s="13" t="n">
        <v>203.7</v>
      </c>
      <c r="F253" s="12" t="n">
        <v>0.02000045776367188</v>
      </c>
      <c r="G253" s="4" t="n">
        <v>0</v>
      </c>
      <c r="H253" s="4">
        <f>IF(OR(N(F253)&gt;=0.5,G253&gt;=4),3,IF(OR(N(F253)&gt;=0.3,G253=3),2,IF(OR(N(F253)&gt;=0.1,G253&gt;=1),1,0)))</f>
        <v/>
      </c>
      <c r="I253" s="4">
        <f>CHOOSE(H253+1,"Kein Risiko","Gering","Mittel","Hoch")</f>
        <v/>
      </c>
    </row>
    <row r="254">
      <c r="A254" s="4" t="n">
        <v>250</v>
      </c>
      <c r="B254" s="4" t="inlineStr">
        <is>
          <t>apartments</t>
        </is>
      </c>
      <c r="C254" s="4" t="inlineStr">
        <is>
          <t>Kupferdreher Straße</t>
        </is>
      </c>
      <c r="D254" s="4" t="inlineStr">
        <is>
          <t>188</t>
        </is>
      </c>
      <c r="E254" s="13" t="n">
        <v>246.6</v>
      </c>
      <c r="F254" s="12" t="n">
        <v>0.02000045776367188</v>
      </c>
      <c r="G254" s="4" t="n">
        <v>0</v>
      </c>
      <c r="H254" s="4">
        <f>IF(OR(N(F254)&gt;=0.5,G254&gt;=4),3,IF(OR(N(F254)&gt;=0.3,G254=3),2,IF(OR(N(F254)&gt;=0.1,G254&gt;=1),1,0)))</f>
        <v/>
      </c>
      <c r="I254" s="4">
        <f>CHOOSE(H254+1,"Kein Risiko","Gering","Mittel","Hoch")</f>
        <v/>
      </c>
    </row>
    <row r="255">
      <c r="A255" s="4" t="n">
        <v>251</v>
      </c>
      <c r="B255" s="4" t="inlineStr">
        <is>
          <t>apartments</t>
        </is>
      </c>
      <c r="C255" s="4" t="inlineStr">
        <is>
          <t>Kupferdreher Straße</t>
        </is>
      </c>
      <c r="D255" s="4" t="inlineStr">
        <is>
          <t>157</t>
        </is>
      </c>
      <c r="E255" s="13" t="n">
        <v>119.4</v>
      </c>
      <c r="F255" s="12" t="n">
        <v>0.279998779296875</v>
      </c>
      <c r="G255" s="4" t="n">
        <v>0</v>
      </c>
      <c r="H255" s="4">
        <f>IF(OR(N(F255)&gt;=0.5,G255&gt;=4),3,IF(OR(N(F255)&gt;=0.3,G255=3),2,IF(OR(N(F255)&gt;=0.1,G255&gt;=1),1,0)))</f>
        <v/>
      </c>
      <c r="I255" s="4">
        <f>CHOOSE(H255+1,"Kein Risiko","Gering","Mittel","Hoch")</f>
        <v/>
      </c>
    </row>
    <row r="256">
      <c r="A256" s="4" t="n">
        <v>252</v>
      </c>
      <c r="B256" s="4" t="inlineStr">
        <is>
          <t>apartments</t>
        </is>
      </c>
      <c r="C256" s="4" t="inlineStr">
        <is>
          <t>Kupferdreher Straße</t>
        </is>
      </c>
      <c r="D256" s="4" t="inlineStr">
        <is>
          <t>172a</t>
        </is>
      </c>
      <c r="E256" s="13" t="n">
        <v>161.6</v>
      </c>
      <c r="F256" s="12" t="n">
        <v>0</v>
      </c>
      <c r="G256" s="4" t="n">
        <v>0</v>
      </c>
      <c r="H256" s="4">
        <f>IF(OR(N(F256)&gt;=0.5,G256&gt;=4),3,IF(OR(N(F256)&gt;=0.3,G256=3),2,IF(OR(N(F256)&gt;=0.1,G256&gt;=1),1,0)))</f>
        <v/>
      </c>
      <c r="I256" s="4">
        <f>CHOOSE(H256+1,"Kein Risiko","Gering","Mittel","Hoch")</f>
        <v/>
      </c>
    </row>
    <row r="257">
      <c r="A257" s="4" t="n">
        <v>253</v>
      </c>
      <c r="B257" s="4" t="inlineStr">
        <is>
          <t>apartments</t>
        </is>
      </c>
      <c r="C257" s="4" t="inlineStr">
        <is>
          <t>Kupferdreher Straße</t>
        </is>
      </c>
      <c r="D257" s="4" t="inlineStr">
        <is>
          <t>146</t>
        </is>
      </c>
      <c r="E257" s="13" t="n">
        <v>177.5</v>
      </c>
      <c r="F257" s="12" t="n">
        <v>0</v>
      </c>
      <c r="G257" s="4" t="n">
        <v>0</v>
      </c>
      <c r="H257" s="4">
        <f>IF(OR(N(F257)&gt;=0.5,G257&gt;=4),3,IF(OR(N(F257)&gt;=0.3,G257=3),2,IF(OR(N(F257)&gt;=0.1,G257&gt;=1),1,0)))</f>
        <v/>
      </c>
      <c r="I257" s="4">
        <f>CHOOSE(H257+1,"Kein Risiko","Gering","Mittel","Hoch")</f>
        <v/>
      </c>
    </row>
    <row r="258">
      <c r="A258" s="4" t="n">
        <v>254</v>
      </c>
      <c r="B258" s="4" t="inlineStr">
        <is>
          <t>apartments</t>
        </is>
      </c>
      <c r="C258" s="4" t="inlineStr"/>
      <c r="D258" s="4" t="inlineStr"/>
      <c r="E258" s="13" t="n">
        <v>982.5</v>
      </c>
      <c r="F258" s="12" t="n">
        <v>0.03000259399414062</v>
      </c>
      <c r="G258" s="4" t="n">
        <v>1</v>
      </c>
      <c r="H258" s="4">
        <f>IF(OR(N(F258)&gt;=0.5,G258&gt;=4),3,IF(OR(N(F258)&gt;=0.3,G258=3),2,IF(OR(N(F258)&gt;=0.1,G258&gt;=1),1,0)))</f>
        <v/>
      </c>
      <c r="I258" s="4">
        <f>CHOOSE(H258+1,"Kein Risiko","Gering","Mittel","Hoch")</f>
        <v/>
      </c>
    </row>
    <row r="259">
      <c r="A259" s="4" t="n">
        <v>255</v>
      </c>
      <c r="B259" s="4" t="inlineStr">
        <is>
          <t>apartments</t>
        </is>
      </c>
      <c r="C259" s="4" t="inlineStr">
        <is>
          <t>Kupferdreher Straße</t>
        </is>
      </c>
      <c r="D259" s="4" t="inlineStr">
        <is>
          <t>180</t>
        </is>
      </c>
      <c r="E259" s="13" t="n">
        <v>148.8</v>
      </c>
      <c r="F259" s="12" t="n">
        <v>0</v>
      </c>
      <c r="G259" s="4" t="n">
        <v>0</v>
      </c>
      <c r="H259" s="4">
        <f>IF(OR(N(F259)&gt;=0.5,G259&gt;=4),3,IF(OR(N(F259)&gt;=0.3,G259=3),2,IF(OR(N(F259)&gt;=0.1,G259&gt;=1),1,0)))</f>
        <v/>
      </c>
      <c r="I259" s="4">
        <f>CHOOSE(H259+1,"Kein Risiko","Gering","Mittel","Hoch")</f>
        <v/>
      </c>
    </row>
    <row r="260">
      <c r="A260" s="4" t="n">
        <v>256</v>
      </c>
      <c r="B260" s="4" t="inlineStr">
        <is>
          <t>apartments</t>
        </is>
      </c>
      <c r="C260" s="4" t="inlineStr">
        <is>
          <t>Kupferdreher Straße</t>
        </is>
      </c>
      <c r="D260" s="4" t="inlineStr">
        <is>
          <t>159</t>
        </is>
      </c>
      <c r="E260" s="13" t="n">
        <v>198.1</v>
      </c>
      <c r="F260" s="12" t="n">
        <v>0.7599983215332031</v>
      </c>
      <c r="G260" s="4" t="n">
        <v>2</v>
      </c>
      <c r="H260" s="4">
        <f>IF(OR(N(F260)&gt;=0.5,G260&gt;=4),3,IF(OR(N(F260)&gt;=0.3,G260=3),2,IF(OR(N(F260)&gt;=0.1,G260&gt;=1),1,0)))</f>
        <v/>
      </c>
      <c r="I260" s="4">
        <f>CHOOSE(H260+1,"Kein Risiko","Gering","Mittel","Hoch")</f>
        <v/>
      </c>
    </row>
    <row r="261">
      <c r="A261" s="4" t="n">
        <v>257</v>
      </c>
      <c r="B261" s="4" t="inlineStr">
        <is>
          <t>apartments</t>
        </is>
      </c>
      <c r="C261" s="4" t="inlineStr">
        <is>
          <t>Kupferdreher Straße</t>
        </is>
      </c>
      <c r="D261" s="4" t="inlineStr">
        <is>
          <t>153</t>
        </is>
      </c>
      <c r="E261" s="13" t="n">
        <v>256.9</v>
      </c>
      <c r="F261" s="12" t="n">
        <v>0.2199974060058594</v>
      </c>
      <c r="G261" s="4" t="n">
        <v>0</v>
      </c>
      <c r="H261" s="4">
        <f>IF(OR(N(F261)&gt;=0.5,G261&gt;=4),3,IF(OR(N(F261)&gt;=0.3,G261=3),2,IF(OR(N(F261)&gt;=0.1,G261&gt;=1),1,0)))</f>
        <v/>
      </c>
      <c r="I261" s="4">
        <f>CHOOSE(H261+1,"Kein Risiko","Gering","Mittel","Hoch")</f>
        <v/>
      </c>
    </row>
    <row r="262">
      <c r="A262" s="4" t="n">
        <v>258</v>
      </c>
      <c r="B262" s="4" t="inlineStr">
        <is>
          <t>apartments</t>
        </is>
      </c>
      <c r="C262" s="4" t="inlineStr">
        <is>
          <t>Bahnstraße</t>
        </is>
      </c>
      <c r="D262" s="4" t="inlineStr">
        <is>
          <t>11</t>
        </is>
      </c>
      <c r="E262" s="13" t="n">
        <v>236.3</v>
      </c>
      <c r="F262" s="12" t="n">
        <v>0.09999847412109375</v>
      </c>
      <c r="G262" s="4" t="n">
        <v>0</v>
      </c>
      <c r="H262" s="4">
        <f>IF(OR(N(F262)&gt;=0.5,G262&gt;=4),3,IF(OR(N(F262)&gt;=0.3,G262=3),2,IF(OR(N(F262)&gt;=0.1,G262&gt;=1),1,0)))</f>
        <v/>
      </c>
      <c r="I262" s="4">
        <f>CHOOSE(H262+1,"Kein Risiko","Gering","Mittel","Hoch")</f>
        <v/>
      </c>
    </row>
    <row r="263">
      <c r="A263" s="4" t="n">
        <v>259</v>
      </c>
      <c r="B263" s="4" t="inlineStr">
        <is>
          <t>apartments</t>
        </is>
      </c>
      <c r="C263" s="4" t="inlineStr">
        <is>
          <t>Kupferdreher Straße</t>
        </is>
      </c>
      <c r="D263" s="4" t="inlineStr">
        <is>
          <t>186</t>
        </is>
      </c>
      <c r="E263" s="13" t="n">
        <v>195.2</v>
      </c>
      <c r="F263" s="12" t="n">
        <v>0</v>
      </c>
      <c r="G263" s="4" t="n">
        <v>0</v>
      </c>
      <c r="H263" s="4">
        <f>IF(OR(N(F263)&gt;=0.5,G263&gt;=4),3,IF(OR(N(F263)&gt;=0.3,G263=3),2,IF(OR(N(F263)&gt;=0.1,G263&gt;=1),1,0)))</f>
        <v/>
      </c>
      <c r="I263" s="4">
        <f>CHOOSE(H263+1,"Kein Risiko","Gering","Mittel","Hoch")</f>
        <v/>
      </c>
    </row>
    <row r="264">
      <c r="A264" s="4" t="n">
        <v>260</v>
      </c>
      <c r="B264" s="4" t="inlineStr">
        <is>
          <t>detached</t>
        </is>
      </c>
      <c r="C264" s="4" t="inlineStr">
        <is>
          <t>Kupferdreher Straße</t>
        </is>
      </c>
      <c r="D264" s="4" t="inlineStr">
        <is>
          <t>181</t>
        </is>
      </c>
      <c r="E264" s="13" t="n">
        <v>154.5</v>
      </c>
      <c r="F264" s="12" t="n">
        <v>0</v>
      </c>
      <c r="G264" s="4" t="n">
        <v>0</v>
      </c>
      <c r="H264" s="4">
        <f>IF(OR(N(F264)&gt;=0.5,G264&gt;=4),3,IF(OR(N(F264)&gt;=0.3,G264=3),2,IF(OR(N(F264)&gt;=0.1,G264&gt;=1),1,0)))</f>
        <v/>
      </c>
      <c r="I264" s="4">
        <f>CHOOSE(H264+1,"Kein Risiko","Gering","Mittel","Hoch")</f>
        <v/>
      </c>
    </row>
    <row r="265">
      <c r="A265" s="4" t="n">
        <v>261</v>
      </c>
      <c r="B265" s="4" t="inlineStr">
        <is>
          <t>retail</t>
        </is>
      </c>
      <c r="C265" s="4" t="inlineStr">
        <is>
          <t>Kupferdreher Straße</t>
        </is>
      </c>
      <c r="D265" s="4" t="inlineStr">
        <is>
          <t>151</t>
        </is>
      </c>
      <c r="E265" s="13" t="n">
        <v>543.4</v>
      </c>
      <c r="F265" s="12" t="n">
        <v>0</v>
      </c>
      <c r="G265" s="4" t="n">
        <v>1</v>
      </c>
      <c r="H265" s="4">
        <f>IF(OR(N(F265)&gt;=0.5,G265&gt;=4),3,IF(OR(N(F265)&gt;=0.3,G265=3),2,IF(OR(N(F265)&gt;=0.1,G265&gt;=1),1,0)))</f>
        <v/>
      </c>
      <c r="I265" s="4">
        <f>CHOOSE(H265+1,"Kein Risiko","Gering","Mittel","Hoch")</f>
        <v/>
      </c>
    </row>
    <row r="266">
      <c r="A266" s="4" t="n">
        <v>262</v>
      </c>
      <c r="B266" s="4" t="inlineStr">
        <is>
          <t>apartments</t>
        </is>
      </c>
      <c r="C266" s="4" t="inlineStr">
        <is>
          <t>Kupferdreher Straße</t>
        </is>
      </c>
      <c r="D266" s="4" t="inlineStr">
        <is>
          <t>173</t>
        </is>
      </c>
      <c r="E266" s="13" t="n">
        <v>163.4</v>
      </c>
      <c r="F266" s="12" t="n">
        <v>0</v>
      </c>
      <c r="G266" s="4" t="n">
        <v>2</v>
      </c>
      <c r="H266" s="4">
        <f>IF(OR(N(F266)&gt;=0.5,G266&gt;=4),3,IF(OR(N(F266)&gt;=0.3,G266=3),2,IF(OR(N(F266)&gt;=0.1,G266&gt;=1),1,0)))</f>
        <v/>
      </c>
      <c r="I266" s="4">
        <f>CHOOSE(H266+1,"Kein Risiko","Gering","Mittel","Hoch")</f>
        <v/>
      </c>
    </row>
    <row r="267">
      <c r="A267" s="4" t="n">
        <v>263</v>
      </c>
      <c r="B267" s="4" t="inlineStr">
        <is>
          <t>apartments</t>
        </is>
      </c>
      <c r="C267" s="4" t="inlineStr">
        <is>
          <t>Kupferdreher Straße</t>
        </is>
      </c>
      <c r="D267" s="4" t="inlineStr">
        <is>
          <t>158</t>
        </is>
      </c>
      <c r="E267" s="13" t="n">
        <v>186</v>
      </c>
      <c r="F267" s="12" t="n">
        <v>0</v>
      </c>
      <c r="G267" s="4" t="n">
        <v>0</v>
      </c>
      <c r="H267" s="4">
        <f>IF(OR(N(F267)&gt;=0.5,G267&gt;=4),3,IF(OR(N(F267)&gt;=0.3,G267=3),2,IF(OR(N(F267)&gt;=0.1,G267&gt;=1),1,0)))</f>
        <v/>
      </c>
      <c r="I267" s="4">
        <f>CHOOSE(H267+1,"Kein Risiko","Gering","Mittel","Hoch")</f>
        <v/>
      </c>
    </row>
    <row r="268">
      <c r="A268" s="4" t="n">
        <v>264</v>
      </c>
      <c r="B268" s="4" t="inlineStr">
        <is>
          <t>apartments</t>
        </is>
      </c>
      <c r="C268" s="4" t="inlineStr">
        <is>
          <t>Kupferdreher Straße</t>
        </is>
      </c>
      <c r="D268" s="4" t="inlineStr">
        <is>
          <t>150</t>
        </is>
      </c>
      <c r="E268" s="13" t="n">
        <v>172.8</v>
      </c>
      <c r="F268" s="12" t="n">
        <v>0</v>
      </c>
      <c r="G268" s="4" t="n">
        <v>0</v>
      </c>
      <c r="H268" s="4">
        <f>IF(OR(N(F268)&gt;=0.5,G268&gt;=4),3,IF(OR(N(F268)&gt;=0.3,G268=3),2,IF(OR(N(F268)&gt;=0.1,G268&gt;=1),1,0)))</f>
        <v/>
      </c>
      <c r="I268" s="4">
        <f>CHOOSE(H268+1,"Kein Risiko","Gering","Mittel","Hoch")</f>
        <v/>
      </c>
    </row>
    <row r="269">
      <c r="A269" s="4" t="n">
        <v>265</v>
      </c>
      <c r="B269" s="4" t="inlineStr">
        <is>
          <t>apartments</t>
        </is>
      </c>
      <c r="C269" s="4" t="inlineStr">
        <is>
          <t>Bahnstraße</t>
        </is>
      </c>
      <c r="D269" s="4" t="inlineStr">
        <is>
          <t>9</t>
        </is>
      </c>
      <c r="E269" s="13" t="n">
        <v>151.1</v>
      </c>
      <c r="F269" s="12" t="n">
        <v>0</v>
      </c>
      <c r="G269" s="4" t="n">
        <v>0</v>
      </c>
      <c r="H269" s="4">
        <f>IF(OR(N(F269)&gt;=0.5,G269&gt;=4),3,IF(OR(N(F269)&gt;=0.3,G269=3),2,IF(OR(N(F269)&gt;=0.1,G269&gt;=1),1,0)))</f>
        <v/>
      </c>
      <c r="I269" s="4">
        <f>CHOOSE(H269+1,"Kein Risiko","Gering","Mittel","Hoch")</f>
        <v/>
      </c>
    </row>
    <row r="270">
      <c r="A270" s="4" t="n">
        <v>266</v>
      </c>
      <c r="B270" s="4" t="inlineStr">
        <is>
          <t>apartments</t>
        </is>
      </c>
      <c r="C270" s="4" t="inlineStr">
        <is>
          <t>Kupferdreher Straße</t>
        </is>
      </c>
      <c r="D270" s="4" t="inlineStr">
        <is>
          <t>184</t>
        </is>
      </c>
      <c r="E270" s="13" t="n">
        <v>159</v>
      </c>
      <c r="F270" s="12" t="n">
        <v>0</v>
      </c>
      <c r="G270" s="4" t="n">
        <v>0</v>
      </c>
      <c r="H270" s="4">
        <f>IF(OR(N(F270)&gt;=0.5,G270&gt;=4),3,IF(OR(N(F270)&gt;=0.3,G270=3),2,IF(OR(N(F270)&gt;=0.1,G270&gt;=1),1,0)))</f>
        <v/>
      </c>
      <c r="I270" s="4">
        <f>CHOOSE(H270+1,"Kein Risiko","Gering","Mittel","Hoch")</f>
        <v/>
      </c>
    </row>
    <row r="271">
      <c r="A271" s="4" t="n">
        <v>267</v>
      </c>
      <c r="B271" s="4" t="inlineStr">
        <is>
          <t>yes</t>
        </is>
      </c>
      <c r="C271" s="4" t="inlineStr">
        <is>
          <t>Hofstraße</t>
        </is>
      </c>
      <c r="D271" s="4" t="inlineStr">
        <is>
          <t>9</t>
        </is>
      </c>
      <c r="E271" s="13" t="n">
        <v>77.3</v>
      </c>
      <c r="F271" s="12" t="n">
        <v>0.1800003051757812</v>
      </c>
      <c r="G271" s="4" t="n">
        <v>1</v>
      </c>
      <c r="H271" s="4">
        <f>IF(OR(N(F271)&gt;=0.5,G271&gt;=4),3,IF(OR(N(F271)&gt;=0.3,G271=3),2,IF(OR(N(F271)&gt;=0.1,G271&gt;=1),1,0)))</f>
        <v/>
      </c>
      <c r="I271" s="4">
        <f>CHOOSE(H271+1,"Kein Risiko","Gering","Mittel","Hoch")</f>
        <v/>
      </c>
    </row>
    <row r="272">
      <c r="A272" s="4" t="n">
        <v>268</v>
      </c>
      <c r="B272" s="4" t="inlineStr">
        <is>
          <t>yes</t>
        </is>
      </c>
      <c r="C272" s="4" t="inlineStr">
        <is>
          <t>Colsmanstraße</t>
        </is>
      </c>
      <c r="D272" s="4" t="inlineStr">
        <is>
          <t>1</t>
        </is>
      </c>
      <c r="E272" s="13" t="n">
        <v>122.8</v>
      </c>
      <c r="F272" s="12" t="n">
        <v>0</v>
      </c>
      <c r="G272" s="4" t="n">
        <v>0</v>
      </c>
      <c r="H272" s="4">
        <f>IF(OR(N(F272)&gt;=0.5,G272&gt;=4),3,IF(OR(N(F272)&gt;=0.3,G272=3),2,IF(OR(N(F272)&gt;=0.1,G272&gt;=1),1,0)))</f>
        <v/>
      </c>
      <c r="I272" s="4">
        <f>CHOOSE(H272+1,"Kein Risiko","Gering","Mittel","Hoch")</f>
        <v/>
      </c>
    </row>
    <row r="273">
      <c r="A273" s="4" t="n">
        <v>269</v>
      </c>
      <c r="B273" s="4" t="inlineStr">
        <is>
          <t>apartments</t>
        </is>
      </c>
      <c r="C273" s="4" t="inlineStr">
        <is>
          <t>Kupferdreher Straße</t>
        </is>
      </c>
      <c r="D273" s="4" t="inlineStr">
        <is>
          <t>154</t>
        </is>
      </c>
      <c r="E273" s="13" t="n">
        <v>162.2</v>
      </c>
      <c r="F273" s="12" t="n">
        <v>0.029998779296875</v>
      </c>
      <c r="G273" s="4" t="n">
        <v>0</v>
      </c>
      <c r="H273" s="4">
        <f>IF(OR(N(F273)&gt;=0.5,G273&gt;=4),3,IF(OR(N(F273)&gt;=0.3,G273=3),2,IF(OR(N(F273)&gt;=0.1,G273&gt;=1),1,0)))</f>
        <v/>
      </c>
      <c r="I273" s="4">
        <f>CHOOSE(H273+1,"Kein Risiko","Gering","Mittel","Hoch")</f>
        <v/>
      </c>
    </row>
    <row r="274">
      <c r="A274" s="4" t="n">
        <v>270</v>
      </c>
      <c r="B274" s="4" t="inlineStr">
        <is>
          <t>yes</t>
        </is>
      </c>
      <c r="C274" s="4" t="inlineStr"/>
      <c r="D274" s="4" t="inlineStr"/>
      <c r="E274" s="13" t="n">
        <v>113.4</v>
      </c>
      <c r="F274" s="12" t="n">
        <v>0.09000015258789062</v>
      </c>
      <c r="G274" s="4" t="n">
        <v>0</v>
      </c>
      <c r="H274" s="4">
        <f>IF(OR(N(F274)&gt;=0.5,G274&gt;=4),3,IF(OR(N(F274)&gt;=0.3,G274=3),2,IF(OR(N(F274)&gt;=0.1,G274&gt;=1),1,0)))</f>
        <v/>
      </c>
      <c r="I274" s="4">
        <f>CHOOSE(H274+1,"Kein Risiko","Gering","Mittel","Hoch")</f>
        <v/>
      </c>
    </row>
    <row r="275">
      <c r="A275" s="4" t="n">
        <v>271</v>
      </c>
      <c r="B275" s="4" t="inlineStr">
        <is>
          <t>apartments</t>
        </is>
      </c>
      <c r="C275" s="4" t="inlineStr">
        <is>
          <t>Kupferdreher Straße</t>
        </is>
      </c>
      <c r="D275" s="4" t="inlineStr">
        <is>
          <t>152</t>
        </is>
      </c>
      <c r="E275" s="13" t="n">
        <v>169.7</v>
      </c>
      <c r="F275" s="12" t="n">
        <v>0.1299972534179688</v>
      </c>
      <c r="G275" s="4" t="n">
        <v>0</v>
      </c>
      <c r="H275" s="4">
        <f>IF(OR(N(F275)&gt;=0.5,G275&gt;=4),3,IF(OR(N(F275)&gt;=0.3,G275=3),2,IF(OR(N(F275)&gt;=0.1,G275&gt;=1),1,0)))</f>
        <v/>
      </c>
      <c r="I275" s="4">
        <f>CHOOSE(H275+1,"Kein Risiko","Gering","Mittel","Hoch")</f>
        <v/>
      </c>
    </row>
    <row r="276">
      <c r="A276" s="4" t="n">
        <v>272</v>
      </c>
      <c r="B276" s="4" t="inlineStr">
        <is>
          <t>apartments</t>
        </is>
      </c>
      <c r="C276" s="4" t="inlineStr">
        <is>
          <t>Kupferdreher Straße</t>
        </is>
      </c>
      <c r="D276" s="4" t="inlineStr">
        <is>
          <t>160</t>
        </is>
      </c>
      <c r="E276" s="13" t="n">
        <v>172.3</v>
      </c>
      <c r="F276" s="12" t="n">
        <v>0</v>
      </c>
      <c r="G276" s="4" t="n">
        <v>0</v>
      </c>
      <c r="H276" s="4">
        <f>IF(OR(N(F276)&gt;=0.5,G276&gt;=4),3,IF(OR(N(F276)&gt;=0.3,G276=3),2,IF(OR(N(F276)&gt;=0.1,G276&gt;=1),1,0)))</f>
        <v/>
      </c>
      <c r="I276" s="4">
        <f>CHOOSE(H276+1,"Kein Risiko","Gering","Mittel","Hoch")</f>
        <v/>
      </c>
    </row>
    <row r="277">
      <c r="A277" s="4" t="n">
        <v>273</v>
      </c>
      <c r="B277" s="4" t="inlineStr">
        <is>
          <t>mosque</t>
        </is>
      </c>
      <c r="C277" s="4" t="inlineStr">
        <is>
          <t>Kupferdreher Straße</t>
        </is>
      </c>
      <c r="D277" s="4" t="inlineStr">
        <is>
          <t>188a</t>
        </is>
      </c>
      <c r="E277" s="13" t="n">
        <v>292.5</v>
      </c>
      <c r="F277" s="12" t="n">
        <v>0</v>
      </c>
      <c r="G277" s="4" t="n">
        <v>0</v>
      </c>
      <c r="H277" s="4">
        <f>IF(OR(N(F277)&gt;=0.5,G277&gt;=4),3,IF(OR(N(F277)&gt;=0.3,G277=3),2,IF(OR(N(F277)&gt;=0.1,G277&gt;=1),1,0)))</f>
        <v/>
      </c>
      <c r="I277" s="4">
        <f>CHOOSE(H277+1,"Kein Risiko","Gering","Mittel","Hoch")</f>
        <v/>
      </c>
    </row>
    <row r="278">
      <c r="A278" s="4" t="n">
        <v>274</v>
      </c>
      <c r="B278" s="4" t="inlineStr">
        <is>
          <t>apartments</t>
        </is>
      </c>
      <c r="C278" s="4" t="inlineStr"/>
      <c r="D278" s="4" t="inlineStr"/>
      <c r="E278" s="13" t="n">
        <v>98.5</v>
      </c>
      <c r="F278" s="12" t="n">
        <v>0</v>
      </c>
      <c r="G278" s="4" t="n">
        <v>0</v>
      </c>
      <c r="H278" s="4">
        <f>IF(OR(N(F278)&gt;=0.5,G278&gt;=4),3,IF(OR(N(F278)&gt;=0.3,G278=3),2,IF(OR(N(F278)&gt;=0.1,G278&gt;=1),1,0)))</f>
        <v/>
      </c>
      <c r="I278" s="4">
        <f>CHOOSE(H278+1,"Kein Risiko","Gering","Mittel","Hoch")</f>
        <v/>
      </c>
    </row>
    <row r="279">
      <c r="A279" s="4" t="n">
        <v>275</v>
      </c>
      <c r="B279" s="4" t="inlineStr">
        <is>
          <t>apartments</t>
        </is>
      </c>
      <c r="C279" s="4" t="inlineStr">
        <is>
          <t>Kupferdreher Straße</t>
        </is>
      </c>
      <c r="D279" s="4" t="inlineStr">
        <is>
          <t>172</t>
        </is>
      </c>
      <c r="E279" s="13" t="n">
        <v>124.5</v>
      </c>
      <c r="F279" s="12" t="n">
        <v>0</v>
      </c>
      <c r="G279" s="4" t="n">
        <v>0</v>
      </c>
      <c r="H279" s="4">
        <f>IF(OR(N(F279)&gt;=0.5,G279&gt;=4),3,IF(OR(N(F279)&gt;=0.3,G279=3),2,IF(OR(N(F279)&gt;=0.1,G279&gt;=1),1,0)))</f>
        <v/>
      </c>
      <c r="I279" s="4">
        <f>CHOOSE(H279+1,"Kein Risiko","Gering","Mittel","Hoch")</f>
        <v/>
      </c>
    </row>
    <row r="280">
      <c r="A280" s="4" t="n">
        <v>276</v>
      </c>
      <c r="B280" s="4" t="inlineStr">
        <is>
          <t>apartments</t>
        </is>
      </c>
      <c r="C280" s="4" t="inlineStr">
        <is>
          <t>Kupferdreher Straße</t>
        </is>
      </c>
      <c r="D280" s="4" t="inlineStr">
        <is>
          <t>162</t>
        </is>
      </c>
      <c r="E280" s="13" t="n">
        <v>158.7</v>
      </c>
      <c r="F280" s="12" t="n">
        <v>0</v>
      </c>
      <c r="G280" s="4" t="n">
        <v>0</v>
      </c>
      <c r="H280" s="4">
        <f>IF(OR(N(F280)&gt;=0.5,G280&gt;=4),3,IF(OR(N(F280)&gt;=0.3,G280=3),2,IF(OR(N(F280)&gt;=0.1,G280&gt;=1),1,0)))</f>
        <v/>
      </c>
      <c r="I280" s="4">
        <f>CHOOSE(H280+1,"Kein Risiko","Gering","Mittel","Hoch")</f>
        <v/>
      </c>
    </row>
    <row r="281">
      <c r="A281" s="4" t="n">
        <v>277</v>
      </c>
      <c r="B281" s="4" t="inlineStr">
        <is>
          <t>apartments</t>
        </is>
      </c>
      <c r="C281" s="4" t="inlineStr">
        <is>
          <t>Bahnstraße</t>
        </is>
      </c>
      <c r="D281" s="4" t="inlineStr">
        <is>
          <t>1</t>
        </is>
      </c>
      <c r="E281" s="13" t="n">
        <v>103.6</v>
      </c>
      <c r="F281" s="12" t="n">
        <v>0</v>
      </c>
      <c r="G281" s="4" t="n">
        <v>0</v>
      </c>
      <c r="H281" s="4">
        <f>IF(OR(N(F281)&gt;=0.5,G281&gt;=4),3,IF(OR(N(F281)&gt;=0.3,G281=3),2,IF(OR(N(F281)&gt;=0.1,G281&gt;=1),1,0)))</f>
        <v/>
      </c>
      <c r="I281" s="4">
        <f>CHOOSE(H281+1,"Kein Risiko","Gering","Mittel","Hoch")</f>
        <v/>
      </c>
    </row>
    <row r="282">
      <c r="A282" s="4" t="n">
        <v>278</v>
      </c>
      <c r="B282" s="4" t="inlineStr">
        <is>
          <t>apartments</t>
        </is>
      </c>
      <c r="C282" s="4" t="inlineStr">
        <is>
          <t>Kupferdreher Straße</t>
        </is>
      </c>
      <c r="D282" s="4" t="inlineStr">
        <is>
          <t>170</t>
        </is>
      </c>
      <c r="E282" s="13" t="n">
        <v>172.2</v>
      </c>
      <c r="F282" s="12" t="n">
        <v>0.06000137329101562</v>
      </c>
      <c r="G282" s="4" t="n">
        <v>0</v>
      </c>
      <c r="H282" s="4">
        <f>IF(OR(N(F282)&gt;=0.5,G282&gt;=4),3,IF(OR(N(F282)&gt;=0.3,G282=3),2,IF(OR(N(F282)&gt;=0.1,G282&gt;=1),1,0)))</f>
        <v/>
      </c>
      <c r="I282" s="4">
        <f>CHOOSE(H282+1,"Kein Risiko","Gering","Mittel","Hoch")</f>
        <v/>
      </c>
    </row>
    <row r="283">
      <c r="A283" s="4" t="n">
        <v>279</v>
      </c>
      <c r="B283" s="4" t="inlineStr">
        <is>
          <t>retail</t>
        </is>
      </c>
      <c r="C283" s="4" t="inlineStr">
        <is>
          <t>Byfanger Straße</t>
        </is>
      </c>
      <c r="D283" s="4" t="inlineStr">
        <is>
          <t>2</t>
        </is>
      </c>
      <c r="E283" s="13" t="n">
        <v>238.1</v>
      </c>
      <c r="F283" s="12" t="n">
        <v>0.1699981689453125</v>
      </c>
      <c r="G283" s="4" t="n">
        <v>5</v>
      </c>
      <c r="H283" s="4">
        <f>IF(OR(N(F283)&gt;=0.5,G283&gt;=4),3,IF(OR(N(F283)&gt;=0.3,G283=3),2,IF(OR(N(F283)&gt;=0.1,G283&gt;=1),1,0)))</f>
        <v/>
      </c>
      <c r="I283" s="4">
        <f>CHOOSE(H283+1,"Kein Risiko","Gering","Mittel","Hoch")</f>
        <v/>
      </c>
    </row>
    <row r="284">
      <c r="A284" s="4" t="n">
        <v>280</v>
      </c>
      <c r="B284" s="4" t="inlineStr">
        <is>
          <t>apartments</t>
        </is>
      </c>
      <c r="C284" s="4" t="inlineStr">
        <is>
          <t>Kupferdreher Markt</t>
        </is>
      </c>
      <c r="D284" s="4" t="inlineStr">
        <is>
          <t>9</t>
        </is>
      </c>
      <c r="E284" s="13" t="n">
        <v>168.5</v>
      </c>
      <c r="F284" s="12" t="n">
        <v>0.029998779296875</v>
      </c>
      <c r="G284" s="4" t="n">
        <v>0</v>
      </c>
      <c r="H284" s="4">
        <f>IF(OR(N(F284)&gt;=0.5,G284&gt;=4),3,IF(OR(N(F284)&gt;=0.3,G284=3),2,IF(OR(N(F284)&gt;=0.1,G284&gt;=1),1,0)))</f>
        <v/>
      </c>
      <c r="I284" s="4">
        <f>CHOOSE(H284+1,"Kein Risiko","Gering","Mittel","Hoch")</f>
        <v/>
      </c>
    </row>
    <row r="285">
      <c r="A285" s="4" t="n">
        <v>281</v>
      </c>
      <c r="B285" s="4" t="inlineStr">
        <is>
          <t>yes</t>
        </is>
      </c>
      <c r="C285" s="4" t="inlineStr">
        <is>
          <t>Kupferdreher Straße</t>
        </is>
      </c>
      <c r="D285" s="4" t="inlineStr">
        <is>
          <t>171</t>
        </is>
      </c>
      <c r="E285" s="13" t="n">
        <v>146.1</v>
      </c>
      <c r="F285" s="12" t="n">
        <v>0</v>
      </c>
      <c r="G285" s="4" t="n">
        <v>5</v>
      </c>
      <c r="H285" s="4">
        <f>IF(OR(N(F285)&gt;=0.5,G285&gt;=4),3,IF(OR(N(F285)&gt;=0.3,G285=3),2,IF(OR(N(F285)&gt;=0.1,G285&gt;=1),1,0)))</f>
        <v/>
      </c>
      <c r="I285" s="4">
        <f>CHOOSE(H285+1,"Kein Risiko","Gering","Mittel","Hoch")</f>
        <v/>
      </c>
    </row>
    <row r="286">
      <c r="A286" s="4" t="n">
        <v>282</v>
      </c>
      <c r="B286" s="4" t="inlineStr">
        <is>
          <t>apartments</t>
        </is>
      </c>
      <c r="C286" s="4" t="inlineStr">
        <is>
          <t>Kupferdreher Markt</t>
        </is>
      </c>
      <c r="D286" s="4" t="inlineStr">
        <is>
          <t>6</t>
        </is>
      </c>
      <c r="E286" s="13" t="n">
        <v>155.1</v>
      </c>
      <c r="F286" s="12" t="n">
        <v>0</v>
      </c>
      <c r="G286" s="4" t="n">
        <v>0</v>
      </c>
      <c r="H286" s="4">
        <f>IF(OR(N(F286)&gt;=0.5,G286&gt;=4),3,IF(OR(N(F286)&gt;=0.3,G286=3),2,IF(OR(N(F286)&gt;=0.1,G286&gt;=1),1,0)))</f>
        <v/>
      </c>
      <c r="I286" s="4">
        <f>CHOOSE(H286+1,"Kein Risiko","Gering","Mittel","Hoch")</f>
        <v/>
      </c>
    </row>
    <row r="287">
      <c r="A287" s="4" t="n">
        <v>283</v>
      </c>
      <c r="B287" s="4" t="inlineStr">
        <is>
          <t>apartments</t>
        </is>
      </c>
      <c r="C287" s="4" t="inlineStr">
        <is>
          <t>Kupferdreher Markt</t>
        </is>
      </c>
      <c r="D287" s="4" t="inlineStr">
        <is>
          <t>3</t>
        </is>
      </c>
      <c r="E287" s="13" t="n">
        <v>287.3</v>
      </c>
      <c r="F287" s="12" t="n">
        <v>0</v>
      </c>
      <c r="G287" s="4" t="n">
        <v>0</v>
      </c>
      <c r="H287" s="4">
        <f>IF(OR(N(F287)&gt;=0.5,G287&gt;=4),3,IF(OR(N(F287)&gt;=0.3,G287=3),2,IF(OR(N(F287)&gt;=0.1,G287&gt;=1),1,0)))</f>
        <v/>
      </c>
      <c r="I287" s="4">
        <f>CHOOSE(H287+1,"Kein Risiko","Gering","Mittel","Hoch")</f>
        <v/>
      </c>
    </row>
    <row r="288">
      <c r="A288" s="4" t="n">
        <v>284</v>
      </c>
      <c r="B288" s="4" t="inlineStr">
        <is>
          <t>retail</t>
        </is>
      </c>
      <c r="C288" s="4" t="inlineStr">
        <is>
          <t>Gasstraße</t>
        </is>
      </c>
      <c r="D288" s="4" t="inlineStr">
        <is>
          <t>24</t>
        </is>
      </c>
      <c r="E288" s="13" t="n">
        <v>1100.8</v>
      </c>
      <c r="F288" s="12" t="n">
        <v>0.8400001525878906</v>
      </c>
      <c r="G288" s="4" t="n">
        <v>1</v>
      </c>
      <c r="H288" s="4">
        <f>IF(OR(N(F288)&gt;=0.5,G288&gt;=4),3,IF(OR(N(F288)&gt;=0.3,G288=3),2,IF(OR(N(F288)&gt;=0.1,G288&gt;=1),1,0)))</f>
        <v/>
      </c>
      <c r="I288" s="4">
        <f>CHOOSE(H288+1,"Kein Risiko","Gering","Mittel","Hoch")</f>
        <v/>
      </c>
    </row>
    <row r="289">
      <c r="A289" s="4" t="n">
        <v>285</v>
      </c>
      <c r="B289" s="4" t="inlineStr">
        <is>
          <t>semidetached_house</t>
        </is>
      </c>
      <c r="C289" s="4" t="inlineStr">
        <is>
          <t>Holsteinanger</t>
        </is>
      </c>
      <c r="D289" s="4" t="inlineStr">
        <is>
          <t>24</t>
        </is>
      </c>
      <c r="E289" s="13" t="n">
        <v>70.8</v>
      </c>
      <c r="F289" s="12" t="n">
        <v>0</v>
      </c>
      <c r="G289" s="4" t="n">
        <v>0</v>
      </c>
      <c r="H289" s="4">
        <f>IF(OR(N(F289)&gt;=0.5,G289&gt;=4),3,IF(OR(N(F289)&gt;=0.3,G289=3),2,IF(OR(N(F289)&gt;=0.1,G289&gt;=1),1,0)))</f>
        <v/>
      </c>
      <c r="I289" s="4">
        <f>CHOOSE(H289+1,"Kein Risiko","Gering","Mittel","Hoch")</f>
        <v/>
      </c>
    </row>
    <row r="290">
      <c r="A290" s="4" t="n">
        <v>286</v>
      </c>
      <c r="B290" s="4" t="inlineStr">
        <is>
          <t>semidetached_house</t>
        </is>
      </c>
      <c r="C290" s="4" t="inlineStr">
        <is>
          <t>Holsteinanger</t>
        </is>
      </c>
      <c r="D290" s="4" t="inlineStr">
        <is>
          <t>22</t>
        </is>
      </c>
      <c r="E290" s="13" t="n">
        <v>68.7</v>
      </c>
      <c r="F290" s="12" t="n">
        <v>0</v>
      </c>
      <c r="G290" s="4" t="n">
        <v>0</v>
      </c>
      <c r="H290" s="4">
        <f>IF(OR(N(F290)&gt;=0.5,G290&gt;=4),3,IF(OR(N(F290)&gt;=0.3,G290=3),2,IF(OR(N(F290)&gt;=0.1,G290&gt;=1),1,0)))</f>
        <v/>
      </c>
      <c r="I290" s="4">
        <f>CHOOSE(H290+1,"Kein Risiko","Gering","Mittel","Hoch")</f>
        <v/>
      </c>
    </row>
    <row r="291">
      <c r="A291" s="4" t="n">
        <v>287</v>
      </c>
      <c r="B291" s="4" t="inlineStr">
        <is>
          <t>yes</t>
        </is>
      </c>
      <c r="C291" s="4" t="inlineStr">
        <is>
          <t>Holsteinanger</t>
        </is>
      </c>
      <c r="D291" s="4" t="inlineStr">
        <is>
          <t>48</t>
        </is>
      </c>
      <c r="E291" s="13" t="n">
        <v>81.2</v>
      </c>
      <c r="F291" s="12" t="n">
        <v>0</v>
      </c>
      <c r="G291" s="4" t="n">
        <v>0</v>
      </c>
      <c r="H291" s="4">
        <f>IF(OR(N(F291)&gt;=0.5,G291&gt;=4),3,IF(OR(N(F291)&gt;=0.3,G291=3),2,IF(OR(N(F291)&gt;=0.1,G291&gt;=1),1,0)))</f>
        <v/>
      </c>
      <c r="I291" s="4">
        <f>CHOOSE(H291+1,"Kein Risiko","Gering","Mittel","Hoch")</f>
        <v/>
      </c>
    </row>
    <row r="292">
      <c r="A292" s="4" t="n">
        <v>288</v>
      </c>
      <c r="B292" s="4" t="inlineStr">
        <is>
          <t>yes</t>
        </is>
      </c>
      <c r="C292" s="4" t="inlineStr">
        <is>
          <t>Schmiedekottenweg</t>
        </is>
      </c>
      <c r="D292" s="4" t="inlineStr">
        <is>
          <t>20</t>
        </is>
      </c>
      <c r="E292" s="13" t="n">
        <v>93.2</v>
      </c>
      <c r="F292" s="12" t="n"/>
      <c r="G292" s="4" t="n">
        <v>0</v>
      </c>
      <c r="H292" s="4">
        <f>IF(OR(N(F292)&gt;=0.5,G292&gt;=4),3,IF(OR(N(F292)&gt;=0.3,G292=3),2,IF(OR(N(F292)&gt;=0.1,G292&gt;=1),1,0)))</f>
        <v/>
      </c>
      <c r="I292" s="4">
        <f>CHOOSE(H292+1,"Kein Risiko","Gering","Mittel","Hoch")</f>
        <v/>
      </c>
    </row>
    <row r="293">
      <c r="A293" s="4" t="n">
        <v>289</v>
      </c>
      <c r="B293" s="4" t="inlineStr">
        <is>
          <t>yes</t>
        </is>
      </c>
      <c r="C293" s="4" t="inlineStr">
        <is>
          <t>Holsteinanger</t>
        </is>
      </c>
      <c r="D293" s="4" t="inlineStr">
        <is>
          <t>54</t>
        </is>
      </c>
      <c r="E293" s="13" t="n">
        <v>174</v>
      </c>
      <c r="F293" s="12" t="n">
        <v>0.029998779296875</v>
      </c>
      <c r="G293" s="4" t="n">
        <v>0</v>
      </c>
      <c r="H293" s="4">
        <f>IF(OR(N(F293)&gt;=0.5,G293&gt;=4),3,IF(OR(N(F293)&gt;=0.3,G293=3),2,IF(OR(N(F293)&gt;=0.1,G293&gt;=1),1,0)))</f>
        <v/>
      </c>
      <c r="I293" s="4">
        <f>CHOOSE(H293+1,"Kein Risiko","Gering","Mittel","Hoch")</f>
        <v/>
      </c>
    </row>
    <row r="294">
      <c r="A294" s="4" t="n">
        <v>290</v>
      </c>
      <c r="B294" s="4" t="inlineStr">
        <is>
          <t>yes</t>
        </is>
      </c>
      <c r="C294" s="4" t="inlineStr">
        <is>
          <t>Holsteinanger</t>
        </is>
      </c>
      <c r="D294" s="4" t="inlineStr">
        <is>
          <t>46</t>
        </is>
      </c>
      <c r="E294" s="13" t="n">
        <v>122.4</v>
      </c>
      <c r="F294" s="12" t="n">
        <v>0</v>
      </c>
      <c r="G294" s="4" t="n">
        <v>0</v>
      </c>
      <c r="H294" s="4">
        <f>IF(OR(N(F294)&gt;=0.5,G294&gt;=4),3,IF(OR(N(F294)&gt;=0.3,G294=3),2,IF(OR(N(F294)&gt;=0.1,G294&gt;=1),1,0)))</f>
        <v/>
      </c>
      <c r="I294" s="4">
        <f>CHOOSE(H294+1,"Kein Risiko","Gering","Mittel","Hoch")</f>
        <v/>
      </c>
    </row>
    <row r="295">
      <c r="A295" s="4" t="n">
        <v>291</v>
      </c>
      <c r="B295" s="4" t="inlineStr">
        <is>
          <t>yes</t>
        </is>
      </c>
      <c r="C295" s="4" t="inlineStr">
        <is>
          <t>Schmiedekottenweg</t>
        </is>
      </c>
      <c r="D295" s="4" t="inlineStr">
        <is>
          <t>22</t>
        </is>
      </c>
      <c r="E295" s="13" t="n">
        <v>134.3</v>
      </c>
      <c r="F295" s="12" t="n">
        <v>0.04000091552734375</v>
      </c>
      <c r="G295" s="4" t="n">
        <v>0</v>
      </c>
      <c r="H295" s="4">
        <f>IF(OR(N(F295)&gt;=0.5,G295&gt;=4),3,IF(OR(N(F295)&gt;=0.3,G295=3),2,IF(OR(N(F295)&gt;=0.1,G295&gt;=1),1,0)))</f>
        <v/>
      </c>
      <c r="I295" s="4">
        <f>CHOOSE(H295+1,"Kein Risiko","Gering","Mittel","Hoch")</f>
        <v/>
      </c>
    </row>
    <row r="296">
      <c r="A296" s="4" t="n">
        <v>292</v>
      </c>
      <c r="B296" s="4" t="inlineStr">
        <is>
          <t>yes</t>
        </is>
      </c>
      <c r="C296" s="4" t="inlineStr">
        <is>
          <t>Holsteinanger</t>
        </is>
      </c>
      <c r="D296" s="4" t="inlineStr">
        <is>
          <t>44</t>
        </is>
      </c>
      <c r="E296" s="13" t="n">
        <v>115.2</v>
      </c>
      <c r="F296" s="12" t="n">
        <v>0</v>
      </c>
      <c r="G296" s="4" t="n">
        <v>0</v>
      </c>
      <c r="H296" s="4">
        <f>IF(OR(N(F296)&gt;=0.5,G296&gt;=4),3,IF(OR(N(F296)&gt;=0.3,G296=3),2,IF(OR(N(F296)&gt;=0.1,G296&gt;=1),1,0)))</f>
        <v/>
      </c>
      <c r="I296" s="4">
        <f>CHOOSE(H296+1,"Kein Risiko","Gering","Mittel","Hoch")</f>
        <v/>
      </c>
    </row>
    <row r="297">
      <c r="A297" s="4" t="n">
        <v>293</v>
      </c>
      <c r="B297" s="4" t="inlineStr">
        <is>
          <t>yes</t>
        </is>
      </c>
      <c r="C297" s="4" t="inlineStr">
        <is>
          <t>Holsteinanger</t>
        </is>
      </c>
      <c r="D297" s="4" t="inlineStr">
        <is>
          <t>50</t>
        </is>
      </c>
      <c r="E297" s="13" t="n">
        <v>81.2</v>
      </c>
      <c r="F297" s="12" t="n">
        <v>0</v>
      </c>
      <c r="G297" s="4" t="n">
        <v>0</v>
      </c>
      <c r="H297" s="4">
        <f>IF(OR(N(F297)&gt;=0.5,G297&gt;=4),3,IF(OR(N(F297)&gt;=0.3,G297=3),2,IF(OR(N(F297)&gt;=0.1,G297&gt;=1),1,0)))</f>
        <v/>
      </c>
      <c r="I297" s="4">
        <f>CHOOSE(H297+1,"Kein Risiko","Gering","Mittel","Hoch")</f>
        <v/>
      </c>
    </row>
    <row r="298">
      <c r="A298" s="4" t="n">
        <v>294</v>
      </c>
      <c r="B298" s="4" t="inlineStr">
        <is>
          <t>yes</t>
        </is>
      </c>
      <c r="C298" s="4" t="inlineStr">
        <is>
          <t>Düschenhofer Wald</t>
        </is>
      </c>
      <c r="D298" s="4" t="inlineStr">
        <is>
          <t>85b</t>
        </is>
      </c>
      <c r="E298" s="13" t="n">
        <v>235.8</v>
      </c>
      <c r="F298" s="12" t="n">
        <v>0</v>
      </c>
      <c r="G298" s="4" t="n">
        <v>0</v>
      </c>
      <c r="H298" s="4">
        <f>IF(OR(N(F298)&gt;=0.5,G298&gt;=4),3,IF(OR(N(F298)&gt;=0.3,G298=3),2,IF(OR(N(F298)&gt;=0.1,G298&gt;=1),1,0)))</f>
        <v/>
      </c>
      <c r="I298" s="4">
        <f>CHOOSE(H298+1,"Kein Risiko","Gering","Mittel","Hoch")</f>
        <v/>
      </c>
    </row>
    <row r="299">
      <c r="A299" s="4" t="n">
        <v>295</v>
      </c>
      <c r="B299" s="4" t="inlineStr">
        <is>
          <t>yes</t>
        </is>
      </c>
      <c r="C299" s="4" t="inlineStr">
        <is>
          <t>Nierenhofer Straße</t>
        </is>
      </c>
      <c r="D299" s="4" t="inlineStr">
        <is>
          <t>5</t>
        </is>
      </c>
      <c r="E299" s="13" t="n">
        <v>302.4</v>
      </c>
      <c r="F299" s="12" t="n">
        <v>0</v>
      </c>
      <c r="G299" s="4" t="n">
        <v>1</v>
      </c>
      <c r="H299" s="4">
        <f>IF(OR(N(F299)&gt;=0.5,G299&gt;=4),3,IF(OR(N(F299)&gt;=0.3,G299=3),2,IF(OR(N(F299)&gt;=0.1,G299&gt;=1),1,0)))</f>
        <v/>
      </c>
      <c r="I299" s="4">
        <f>CHOOSE(H299+1,"Kein Risiko","Gering","Mittel","Hoch")</f>
        <v/>
      </c>
    </row>
    <row r="300">
      <c r="A300" s="4" t="n">
        <v>296</v>
      </c>
      <c r="B300" s="4" t="inlineStr">
        <is>
          <t>semidetached_house</t>
        </is>
      </c>
      <c r="C300" s="4" t="inlineStr">
        <is>
          <t>Deilmannshof</t>
        </is>
      </c>
      <c r="D300" s="4" t="inlineStr">
        <is>
          <t>11</t>
        </is>
      </c>
      <c r="E300" s="13" t="n">
        <v>151</v>
      </c>
      <c r="F300" s="12" t="n">
        <v>0.0500030517578125</v>
      </c>
      <c r="G300" s="4" t="n">
        <v>1</v>
      </c>
      <c r="H300" s="4">
        <f>IF(OR(N(F300)&gt;=0.5,G300&gt;=4),3,IF(OR(N(F300)&gt;=0.3,G300=3),2,IF(OR(N(F300)&gt;=0.1,G300&gt;=1),1,0)))</f>
        <v/>
      </c>
      <c r="I300" s="4">
        <f>CHOOSE(H300+1,"Kein Risiko","Gering","Mittel","Hoch")</f>
        <v/>
      </c>
    </row>
    <row r="301">
      <c r="A301" s="4" t="n">
        <v>297</v>
      </c>
      <c r="B301" s="4" t="inlineStr">
        <is>
          <t>detached</t>
        </is>
      </c>
      <c r="C301" s="4" t="inlineStr">
        <is>
          <t>Deilbachtal</t>
        </is>
      </c>
      <c r="D301" s="4" t="inlineStr">
        <is>
          <t>215</t>
        </is>
      </c>
      <c r="E301" s="13" t="n">
        <v>182.9</v>
      </c>
      <c r="F301" s="12" t="n">
        <v>0</v>
      </c>
      <c r="G301" s="4" t="n">
        <v>0</v>
      </c>
      <c r="H301" s="4">
        <f>IF(OR(N(F301)&gt;=0.5,G301&gt;=4),3,IF(OR(N(F301)&gt;=0.3,G301=3),2,IF(OR(N(F301)&gt;=0.1,G301&gt;=1),1,0)))</f>
        <v/>
      </c>
      <c r="I301" s="4">
        <f>CHOOSE(H301+1,"Kein Risiko","Gering","Mittel","Hoch")</f>
        <v/>
      </c>
    </row>
    <row r="302">
      <c r="A302" s="4" t="n">
        <v>298</v>
      </c>
      <c r="B302" s="4" t="inlineStr">
        <is>
          <t>roof</t>
        </is>
      </c>
      <c r="C302" s="4" t="inlineStr"/>
      <c r="D302" s="4" t="inlineStr"/>
      <c r="E302" s="13" t="n">
        <v>260.8</v>
      </c>
      <c r="F302" s="12" t="n">
        <v>0</v>
      </c>
      <c r="G302" s="4" t="n">
        <v>0</v>
      </c>
      <c r="H302" s="4">
        <f>IF(OR(N(F302)&gt;=0.5,G302&gt;=4),3,IF(OR(N(F302)&gt;=0.3,G302=3),2,IF(OR(N(F302)&gt;=0.1,G302&gt;=1),1,0)))</f>
        <v/>
      </c>
      <c r="I302" s="4">
        <f>CHOOSE(H302+1,"Kein Risiko","Gering","Mittel","Hoch")</f>
        <v/>
      </c>
    </row>
    <row r="303">
      <c r="A303" s="4" t="n">
        <v>299</v>
      </c>
      <c r="B303" s="4" t="inlineStr">
        <is>
          <t>pavilion</t>
        </is>
      </c>
      <c r="C303" s="4" t="inlineStr">
        <is>
          <t>Nierenhofer Straße</t>
        </is>
      </c>
      <c r="D303" s="4" t="inlineStr">
        <is>
          <t>18</t>
        </is>
      </c>
      <c r="E303" s="13" t="n">
        <v>191.9</v>
      </c>
      <c r="F303" s="12" t="n">
        <v>0</v>
      </c>
      <c r="G303" s="4" t="n">
        <v>5</v>
      </c>
      <c r="H303" s="4">
        <f>IF(OR(N(F303)&gt;=0.5,G303&gt;=4),3,IF(OR(N(F303)&gt;=0.3,G303=3),2,IF(OR(N(F303)&gt;=0.1,G303&gt;=1),1,0)))</f>
        <v/>
      </c>
      <c r="I303" s="4">
        <f>CHOOSE(H303+1,"Kein Risiko","Gering","Mittel","Hoch")</f>
        <v/>
      </c>
    </row>
    <row r="304">
      <c r="A304" s="4" t="n">
        <v>300</v>
      </c>
      <c r="B304" s="4" t="inlineStr">
        <is>
          <t>yes</t>
        </is>
      </c>
      <c r="C304" s="4" t="inlineStr"/>
      <c r="D304" s="4" t="inlineStr"/>
      <c r="E304" s="13" t="n">
        <v>195.4</v>
      </c>
      <c r="F304" s="12" t="n">
        <v>0</v>
      </c>
      <c r="G304" s="4" t="n">
        <v>0</v>
      </c>
      <c r="H304" s="4">
        <f>IF(OR(N(F304)&gt;=0.5,G304&gt;=4),3,IF(OR(N(F304)&gt;=0.3,G304=3),2,IF(OR(N(F304)&gt;=0.1,G304&gt;=1),1,0)))</f>
        <v/>
      </c>
      <c r="I304" s="4">
        <f>CHOOSE(H304+1,"Kein Risiko","Gering","Mittel","Hoch")</f>
        <v/>
      </c>
    </row>
    <row r="305">
      <c r="A305" s="4" t="n">
        <v>301</v>
      </c>
      <c r="B305" s="4" t="inlineStr">
        <is>
          <t>shed</t>
        </is>
      </c>
      <c r="C305" s="4" t="inlineStr"/>
      <c r="D305" s="4" t="inlineStr"/>
      <c r="E305" s="13" t="n">
        <v>268.5</v>
      </c>
      <c r="F305" s="12" t="n">
        <v>0.0099945068359375</v>
      </c>
      <c r="G305" s="4" t="n">
        <v>5</v>
      </c>
      <c r="H305" s="4">
        <f>IF(OR(N(F305)&gt;=0.5,G305&gt;=4),3,IF(OR(N(F305)&gt;=0.3,G305=3),2,IF(OR(N(F305)&gt;=0.1,G305&gt;=1),1,0)))</f>
        <v/>
      </c>
      <c r="I305" s="4">
        <f>CHOOSE(H305+1,"Kein Risiko","Gering","Mittel","Hoch")</f>
        <v/>
      </c>
    </row>
    <row r="306">
      <c r="A306" s="4" t="n">
        <v>302</v>
      </c>
      <c r="B306" s="4" t="inlineStr">
        <is>
          <t>construction</t>
        </is>
      </c>
      <c r="C306" s="4" t="inlineStr">
        <is>
          <t>Nierenhofer Straße</t>
        </is>
      </c>
      <c r="D306" s="4" t="inlineStr">
        <is>
          <t>18</t>
        </is>
      </c>
      <c r="E306" s="13" t="n">
        <v>210.4</v>
      </c>
      <c r="F306" s="12" t="n">
        <v>0</v>
      </c>
      <c r="G306" s="4" t="n">
        <v>5</v>
      </c>
      <c r="H306" s="4">
        <f>IF(OR(N(F306)&gt;=0.5,G306&gt;=4),3,IF(OR(N(F306)&gt;=0.3,G306=3),2,IF(OR(N(F306)&gt;=0.1,G306&gt;=1),1,0)))</f>
        <v/>
      </c>
      <c r="I306" s="4">
        <f>CHOOSE(H306+1,"Kein Risiko","Gering","Mittel","Hoch")</f>
        <v/>
      </c>
    </row>
    <row r="307">
      <c r="A307" s="4" t="n">
        <v>303</v>
      </c>
      <c r="B307" s="4" t="inlineStr">
        <is>
          <t>kindergarten</t>
        </is>
      </c>
      <c r="C307" s="4" t="inlineStr">
        <is>
          <t>Nierenhofer Straße</t>
        </is>
      </c>
      <c r="D307" s="4" t="inlineStr">
        <is>
          <t>16</t>
        </is>
      </c>
      <c r="E307" s="13" t="n">
        <v>120.2</v>
      </c>
      <c r="F307" s="12" t="n">
        <v>0</v>
      </c>
      <c r="G307" s="4" t="n">
        <v>0</v>
      </c>
      <c r="H307" s="4">
        <f>IF(OR(N(F307)&gt;=0.5,G307&gt;=4),3,IF(OR(N(F307)&gt;=0.3,G307=3),2,IF(OR(N(F307)&gt;=0.1,G307&gt;=1),1,0)))</f>
        <v/>
      </c>
      <c r="I307" s="4">
        <f>CHOOSE(H307+1,"Kein Risiko","Gering","Mittel","Hoch")</f>
        <v/>
      </c>
    </row>
    <row r="308">
      <c r="A308" s="4" t="n">
        <v>304</v>
      </c>
      <c r="B308" s="4" t="inlineStr">
        <is>
          <t>yes</t>
        </is>
      </c>
      <c r="C308" s="4" t="inlineStr"/>
      <c r="D308" s="4" t="inlineStr"/>
      <c r="E308" s="13" t="n">
        <v>500.4</v>
      </c>
      <c r="F308" s="12" t="n">
        <v>0.009998321533203125</v>
      </c>
      <c r="G308" s="4" t="n">
        <v>0</v>
      </c>
      <c r="H308" s="4">
        <f>IF(OR(N(F308)&gt;=0.5,G308&gt;=4),3,IF(OR(N(F308)&gt;=0.3,G308=3),2,IF(OR(N(F308)&gt;=0.1,G308&gt;=1),1,0)))</f>
        <v/>
      </c>
      <c r="I308" s="4">
        <f>CHOOSE(H308+1,"Kein Risiko","Gering","Mittel","Hoch")</f>
        <v/>
      </c>
    </row>
    <row r="309">
      <c r="A309" s="4" t="n">
        <v>305</v>
      </c>
      <c r="B309" s="4" t="inlineStr">
        <is>
          <t>yes</t>
        </is>
      </c>
      <c r="C309" s="4" t="inlineStr">
        <is>
          <t>Deilbachtal</t>
        </is>
      </c>
      <c r="D309" s="4" t="inlineStr">
        <is>
          <t>199</t>
        </is>
      </c>
      <c r="E309" s="13" t="n">
        <v>2316.9</v>
      </c>
      <c r="F309" s="12" t="n">
        <v>0</v>
      </c>
      <c r="G309" s="4" t="n">
        <v>0</v>
      </c>
      <c r="H309" s="4">
        <f>IF(OR(N(F309)&gt;=0.5,G309&gt;=4),3,IF(OR(N(F309)&gt;=0.3,G309=3),2,IF(OR(N(F309)&gt;=0.1,G309&gt;=1),1,0)))</f>
        <v/>
      </c>
      <c r="I309" s="4">
        <f>CHOOSE(H309+1,"Kein Risiko","Gering","Mittel","Hoch")</f>
        <v/>
      </c>
    </row>
    <row r="310">
      <c r="A310" s="4" t="n">
        <v>306</v>
      </c>
      <c r="B310" s="4" t="inlineStr">
        <is>
          <t>detached</t>
        </is>
      </c>
      <c r="C310" s="4" t="inlineStr">
        <is>
          <t>Singscheider Weg</t>
        </is>
      </c>
      <c r="D310" s="4" t="inlineStr">
        <is>
          <t>5</t>
        </is>
      </c>
      <c r="E310" s="13" t="n">
        <v>91.90000000000001</v>
      </c>
      <c r="F310" s="12" t="n"/>
      <c r="G310" s="4" t="n">
        <v>0</v>
      </c>
      <c r="H310" s="4">
        <f>IF(OR(N(F310)&gt;=0.5,G310&gt;=4),3,IF(OR(N(F310)&gt;=0.3,G310=3),2,IF(OR(N(F310)&gt;=0.1,G310&gt;=1),1,0)))</f>
        <v/>
      </c>
      <c r="I310" s="4">
        <f>CHOOSE(H310+1,"Kein Risiko","Gering","Mittel","Hoch")</f>
        <v/>
      </c>
    </row>
    <row r="311">
      <c r="A311" s="4" t="n">
        <v>307</v>
      </c>
      <c r="B311" s="4" t="inlineStr">
        <is>
          <t>yes</t>
        </is>
      </c>
      <c r="C311" s="4" t="inlineStr"/>
      <c r="D311" s="4" t="inlineStr"/>
      <c r="E311" s="13" t="n">
        <v>406.1</v>
      </c>
      <c r="F311" s="12" t="n">
        <v>0.04999542236328125</v>
      </c>
      <c r="G311" s="4" t="n">
        <v>1</v>
      </c>
      <c r="H311" s="4">
        <f>IF(OR(N(F311)&gt;=0.5,G311&gt;=4),3,IF(OR(N(F311)&gt;=0.3,G311=3),2,IF(OR(N(F311)&gt;=0.1,G311&gt;=1),1,0)))</f>
        <v/>
      </c>
      <c r="I311" s="4">
        <f>CHOOSE(H311+1,"Kein Risiko","Gering","Mittel","Hoch")</f>
        <v/>
      </c>
    </row>
    <row r="312">
      <c r="A312" s="4" t="n">
        <v>308</v>
      </c>
      <c r="B312" s="4" t="inlineStr">
        <is>
          <t>yes</t>
        </is>
      </c>
      <c r="C312" s="4" t="inlineStr">
        <is>
          <t>Nierenhofer Straße</t>
        </is>
      </c>
      <c r="D312" s="4" t="inlineStr">
        <is>
          <t>3</t>
        </is>
      </c>
      <c r="E312" s="13" t="n">
        <v>181.2</v>
      </c>
      <c r="F312" s="12" t="n">
        <v>0.1100006103515625</v>
      </c>
      <c r="G312" s="4" t="n">
        <v>0</v>
      </c>
      <c r="H312" s="4">
        <f>IF(OR(N(F312)&gt;=0.5,G312&gt;=4),3,IF(OR(N(F312)&gt;=0.3,G312=3),2,IF(OR(N(F312)&gt;=0.1,G312&gt;=1),1,0)))</f>
        <v/>
      </c>
      <c r="I312" s="4">
        <f>CHOOSE(H312+1,"Kein Risiko","Gering","Mittel","Hoch")</f>
        <v/>
      </c>
    </row>
    <row r="313">
      <c r="A313" s="4" t="n">
        <v>309</v>
      </c>
      <c r="B313" s="4" t="inlineStr">
        <is>
          <t>yes</t>
        </is>
      </c>
      <c r="C313" s="4" t="inlineStr">
        <is>
          <t>Byfanger Straße</t>
        </is>
      </c>
      <c r="D313" s="4" t="inlineStr">
        <is>
          <t>283</t>
        </is>
      </c>
      <c r="E313" s="13" t="n">
        <v>393.2</v>
      </c>
      <c r="F313" s="12" t="n">
        <v>1.010002136230469</v>
      </c>
      <c r="G313" s="4" t="n">
        <v>0</v>
      </c>
      <c r="H313" s="4">
        <f>IF(OR(N(F313)&gt;=0.5,G313&gt;=4),3,IF(OR(N(F313)&gt;=0.3,G313=3),2,IF(OR(N(F313)&gt;=0.1,G313&gt;=1),1,0)))</f>
        <v/>
      </c>
      <c r="I313" s="4">
        <f>CHOOSE(H313+1,"Kein Risiko","Gering","Mittel","Hoch")</f>
        <v/>
      </c>
    </row>
    <row r="314">
      <c r="A314" s="4" t="n">
        <v>310</v>
      </c>
      <c r="B314" s="4" t="inlineStr">
        <is>
          <t>yes</t>
        </is>
      </c>
      <c r="C314" s="4" t="inlineStr"/>
      <c r="D314" s="4" t="inlineStr"/>
      <c r="E314" s="13" t="n">
        <v>82.8</v>
      </c>
      <c r="F314" s="12" t="n">
        <v>0</v>
      </c>
      <c r="G314" s="4" t="n">
        <v>0</v>
      </c>
      <c r="H314" s="4">
        <f>IF(OR(N(F314)&gt;=0.5,G314&gt;=4),3,IF(OR(N(F314)&gt;=0.3,G314=3),2,IF(OR(N(F314)&gt;=0.1,G314&gt;=1),1,0)))</f>
        <v/>
      </c>
      <c r="I314" s="4">
        <f>CHOOSE(H314+1,"Kein Risiko","Gering","Mittel","Hoch")</f>
        <v/>
      </c>
    </row>
    <row r="315">
      <c r="A315" s="4" t="n">
        <v>311</v>
      </c>
      <c r="B315" s="4" t="inlineStr">
        <is>
          <t>yes</t>
        </is>
      </c>
      <c r="C315" s="4" t="inlineStr">
        <is>
          <t>Phönixhütte</t>
        </is>
      </c>
      <c r="D315" s="4" t="inlineStr">
        <is>
          <t>26</t>
        </is>
      </c>
      <c r="E315" s="13" t="n">
        <v>152.2</v>
      </c>
      <c r="F315" s="12" t="n">
        <v>0.0800018310546875</v>
      </c>
      <c r="G315" s="4" t="n">
        <v>0</v>
      </c>
      <c r="H315" s="4">
        <f>IF(OR(N(F315)&gt;=0.5,G315&gt;=4),3,IF(OR(N(F315)&gt;=0.3,G315=3),2,IF(OR(N(F315)&gt;=0.1,G315&gt;=1),1,0)))</f>
        <v/>
      </c>
      <c r="I315" s="4">
        <f>CHOOSE(H315+1,"Kein Risiko","Gering","Mittel","Hoch")</f>
        <v/>
      </c>
    </row>
    <row r="316">
      <c r="A316" s="4" t="n">
        <v>312</v>
      </c>
      <c r="B316" s="4" t="inlineStr">
        <is>
          <t>yes</t>
        </is>
      </c>
      <c r="C316" s="4" t="inlineStr">
        <is>
          <t>Phönixhütte</t>
        </is>
      </c>
      <c r="D316" s="4" t="inlineStr">
        <is>
          <t>28</t>
        </is>
      </c>
      <c r="E316" s="13" t="n">
        <v>91</v>
      </c>
      <c r="F316" s="12" t="n">
        <v>0</v>
      </c>
      <c r="G316" s="4" t="n">
        <v>0</v>
      </c>
      <c r="H316" s="4">
        <f>IF(OR(N(F316)&gt;=0.5,G316&gt;=4),3,IF(OR(N(F316)&gt;=0.3,G316=3),2,IF(OR(N(F316)&gt;=0.1,G316&gt;=1),1,0)))</f>
        <v/>
      </c>
      <c r="I316" s="4">
        <f>CHOOSE(H316+1,"Kein Risiko","Gering","Mittel","Hoch")</f>
        <v/>
      </c>
    </row>
    <row r="317">
      <c r="A317" s="4" t="n">
        <v>313</v>
      </c>
      <c r="B317" s="4" t="inlineStr">
        <is>
          <t>yes</t>
        </is>
      </c>
      <c r="C317" s="4" t="inlineStr"/>
      <c r="D317" s="4" t="inlineStr"/>
      <c r="E317" s="13" t="n">
        <v>52.4</v>
      </c>
      <c r="F317" s="12" t="n">
        <v>0</v>
      </c>
      <c r="G317" s="4" t="n">
        <v>0</v>
      </c>
      <c r="H317" s="4">
        <f>IF(OR(N(F317)&gt;=0.5,G317&gt;=4),3,IF(OR(N(F317)&gt;=0.3,G317=3),2,IF(OR(N(F317)&gt;=0.1,G317&gt;=1),1,0)))</f>
        <v/>
      </c>
      <c r="I317" s="4">
        <f>CHOOSE(H317+1,"Kein Risiko","Gering","Mittel","Hoch")</f>
        <v/>
      </c>
    </row>
    <row r="318">
      <c r="A318" s="4" t="n">
        <v>314</v>
      </c>
      <c r="B318" s="4" t="inlineStr">
        <is>
          <t>school</t>
        </is>
      </c>
      <c r="C318" s="4" t="inlineStr">
        <is>
          <t>Oslenderstraße</t>
        </is>
      </c>
      <c r="D318" s="4" t="inlineStr">
        <is>
          <t>36</t>
        </is>
      </c>
      <c r="E318" s="13" t="n">
        <v>598.6</v>
      </c>
      <c r="F318" s="12" t="n">
        <v>0.06999969482421875</v>
      </c>
      <c r="G318" s="4" t="n">
        <v>1</v>
      </c>
      <c r="H318" s="4">
        <f>IF(OR(N(F318)&gt;=0.5,G318&gt;=4),3,IF(OR(N(F318)&gt;=0.3,G318=3),2,IF(OR(N(F318)&gt;=0.1,G318&gt;=1),1,0)))</f>
        <v/>
      </c>
      <c r="I318" s="4">
        <f>CHOOSE(H318+1,"Kein Risiko","Gering","Mittel","Hoch")</f>
        <v/>
      </c>
    </row>
    <row r="319">
      <c r="A319" s="4" t="n">
        <v>315</v>
      </c>
      <c r="B319" s="4" t="inlineStr">
        <is>
          <t>yes</t>
        </is>
      </c>
      <c r="C319" s="4" t="inlineStr">
        <is>
          <t>Grotehang</t>
        </is>
      </c>
      <c r="D319" s="4" t="inlineStr">
        <is>
          <t>1</t>
        </is>
      </c>
      <c r="E319" s="13" t="n">
        <v>131.1</v>
      </c>
      <c r="F319" s="12" t="n">
        <v>0.0200042724609375</v>
      </c>
      <c r="G319" s="4" t="n">
        <v>0</v>
      </c>
      <c r="H319" s="4">
        <f>IF(OR(N(F319)&gt;=0.5,G319&gt;=4),3,IF(OR(N(F319)&gt;=0.3,G319=3),2,IF(OR(N(F319)&gt;=0.1,G319&gt;=1),1,0)))</f>
        <v/>
      </c>
      <c r="I319" s="4">
        <f>CHOOSE(H319+1,"Kein Risiko","Gering","Mittel","Hoch")</f>
        <v/>
      </c>
    </row>
    <row r="320">
      <c r="A320" s="4" t="n">
        <v>316</v>
      </c>
      <c r="B320" s="4" t="inlineStr">
        <is>
          <t>yes</t>
        </is>
      </c>
      <c r="C320" s="4" t="inlineStr">
        <is>
          <t>Grotehang</t>
        </is>
      </c>
      <c r="D320" s="4" t="inlineStr">
        <is>
          <t>3</t>
        </is>
      </c>
      <c r="E320" s="13" t="n">
        <v>183.4</v>
      </c>
      <c r="F320" s="12" t="n">
        <v>0</v>
      </c>
      <c r="G320" s="4" t="n">
        <v>0</v>
      </c>
      <c r="H320" s="4">
        <f>IF(OR(N(F320)&gt;=0.5,G320&gt;=4),3,IF(OR(N(F320)&gt;=0.3,G320=3),2,IF(OR(N(F320)&gt;=0.1,G320&gt;=1),1,0)))</f>
        <v/>
      </c>
      <c r="I320" s="4">
        <f>CHOOSE(H320+1,"Kein Risiko","Gering","Mittel","Hoch")</f>
        <v/>
      </c>
    </row>
    <row r="321">
      <c r="A321" s="4" t="n">
        <v>317</v>
      </c>
      <c r="B321" s="4" t="inlineStr">
        <is>
          <t>yes</t>
        </is>
      </c>
      <c r="C321" s="4" t="inlineStr">
        <is>
          <t>Grotestraße</t>
        </is>
      </c>
      <c r="D321" s="4" t="inlineStr">
        <is>
          <t>2</t>
        </is>
      </c>
      <c r="E321" s="13" t="n">
        <v>102</v>
      </c>
      <c r="F321" s="12" t="n">
        <v>0</v>
      </c>
      <c r="G321" s="4" t="n">
        <v>0</v>
      </c>
      <c r="H321" s="4">
        <f>IF(OR(N(F321)&gt;=0.5,G321&gt;=4),3,IF(OR(N(F321)&gt;=0.3,G321=3),2,IF(OR(N(F321)&gt;=0.1,G321&gt;=1),1,0)))</f>
        <v/>
      </c>
      <c r="I321" s="4">
        <f>CHOOSE(H321+1,"Kein Risiko","Gering","Mittel","Hoch")</f>
        <v/>
      </c>
    </row>
    <row r="322">
      <c r="A322" s="4" t="n">
        <v>318</v>
      </c>
      <c r="B322" s="4" t="inlineStr">
        <is>
          <t>hospital</t>
        </is>
      </c>
      <c r="C322" s="4" t="inlineStr">
        <is>
          <t>Schwermannstraße</t>
        </is>
      </c>
      <c r="D322" s="4" t="inlineStr">
        <is>
          <t>6</t>
        </is>
      </c>
      <c r="E322" s="13" t="n">
        <v>527.4</v>
      </c>
      <c r="F322" s="12" t="n">
        <v>0</v>
      </c>
      <c r="G322" s="4" t="n">
        <v>0</v>
      </c>
      <c r="H322" s="4">
        <f>IF(OR(N(F322)&gt;=0.5,G322&gt;=4),3,IF(OR(N(F322)&gt;=0.3,G322=3),2,IF(OR(N(F322)&gt;=0.1,G322&gt;=1),1,0)))</f>
        <v/>
      </c>
      <c r="I322" s="4">
        <f>CHOOSE(H322+1,"Kein Risiko","Gering","Mittel","Hoch")</f>
        <v/>
      </c>
    </row>
    <row r="323">
      <c r="A323" s="4" t="n">
        <v>319</v>
      </c>
      <c r="B323" s="4" t="inlineStr">
        <is>
          <t>yes</t>
        </is>
      </c>
      <c r="C323" s="4" t="inlineStr">
        <is>
          <t>Heidbergweg</t>
        </is>
      </c>
      <c r="D323" s="4" t="inlineStr">
        <is>
          <t>18b</t>
        </is>
      </c>
      <c r="E323" s="13" t="n">
        <v>533.9</v>
      </c>
      <c r="F323" s="12" t="n">
        <v>1.010002136230469</v>
      </c>
      <c r="G323" s="4" t="n">
        <v>1</v>
      </c>
      <c r="H323" s="4">
        <f>IF(OR(N(F323)&gt;=0.5,G323&gt;=4),3,IF(OR(N(F323)&gt;=0.3,G323=3),2,IF(OR(N(F323)&gt;=0.1,G323&gt;=1),1,0)))</f>
        <v/>
      </c>
      <c r="I323" s="4">
        <f>CHOOSE(H323+1,"Kein Risiko","Gering","Mittel","Hoch")</f>
        <v/>
      </c>
    </row>
    <row r="324">
      <c r="A324" s="4" t="n">
        <v>320</v>
      </c>
      <c r="B324" s="4" t="inlineStr">
        <is>
          <t>apartments</t>
        </is>
      </c>
      <c r="C324" s="4" t="inlineStr">
        <is>
          <t>Niederweniger Straße</t>
        </is>
      </c>
      <c r="D324" s="4" t="inlineStr">
        <is>
          <t>16</t>
        </is>
      </c>
      <c r="E324" s="13" t="n">
        <v>110.4</v>
      </c>
      <c r="F324" s="12" t="n">
        <v>0</v>
      </c>
      <c r="G324" s="4" t="n">
        <v>0</v>
      </c>
      <c r="H324" s="4">
        <f>IF(OR(N(F324)&gt;=0.5,G324&gt;=4),3,IF(OR(N(F324)&gt;=0.3,G324=3),2,IF(OR(N(F324)&gt;=0.1,G324&gt;=1),1,0)))</f>
        <v/>
      </c>
      <c r="I324" s="4">
        <f>CHOOSE(H324+1,"Kein Risiko","Gering","Mittel","Hoch")</f>
        <v/>
      </c>
    </row>
    <row r="325">
      <c r="A325" s="4" t="n">
        <v>321</v>
      </c>
      <c r="B325" s="4" t="inlineStr">
        <is>
          <t>apartments</t>
        </is>
      </c>
      <c r="C325" s="4" t="inlineStr">
        <is>
          <t>Niederweniger Straße</t>
        </is>
      </c>
      <c r="D325" s="4" t="inlineStr">
        <is>
          <t>18</t>
        </is>
      </c>
      <c r="E325" s="13" t="n">
        <v>146.7</v>
      </c>
      <c r="F325" s="12" t="n">
        <v>0.01999664306640625</v>
      </c>
      <c r="G325" s="4" t="n">
        <v>0</v>
      </c>
      <c r="H325" s="4">
        <f>IF(OR(N(F325)&gt;=0.5,G325&gt;=4),3,IF(OR(N(F325)&gt;=0.3,G325=3),2,IF(OR(N(F325)&gt;=0.1,G325&gt;=1),1,0)))</f>
        <v/>
      </c>
      <c r="I325" s="4">
        <f>CHOOSE(H325+1,"Kein Risiko","Gering","Mittel","Hoch")</f>
        <v/>
      </c>
    </row>
    <row r="326">
      <c r="A326" s="4" t="n">
        <v>322</v>
      </c>
      <c r="B326" s="4" t="inlineStr">
        <is>
          <t>yes</t>
        </is>
      </c>
      <c r="C326" s="4" t="inlineStr">
        <is>
          <t>An den Friedhöfen</t>
        </is>
      </c>
      <c r="D326" s="4" t="inlineStr">
        <is>
          <t>34a</t>
        </is>
      </c>
      <c r="E326" s="13" t="n">
        <v>137.1</v>
      </c>
      <c r="F326" s="12" t="n">
        <v>0</v>
      </c>
      <c r="G326" s="4" t="n">
        <v>0</v>
      </c>
      <c r="H326" s="4">
        <f>IF(OR(N(F326)&gt;=0.5,G326&gt;=4),3,IF(OR(N(F326)&gt;=0.3,G326=3),2,IF(OR(N(F326)&gt;=0.1,G326&gt;=1),1,0)))</f>
        <v/>
      </c>
      <c r="I326" s="4">
        <f>CHOOSE(H326+1,"Kein Risiko","Gering","Mittel","Hoch")</f>
        <v/>
      </c>
    </row>
    <row r="327">
      <c r="A327" s="4" t="n">
        <v>323</v>
      </c>
      <c r="B327" s="4" t="inlineStr">
        <is>
          <t>yes</t>
        </is>
      </c>
      <c r="C327" s="4" t="inlineStr">
        <is>
          <t>An den Friedhöfen</t>
        </is>
      </c>
      <c r="D327" s="4" t="inlineStr">
        <is>
          <t>39</t>
        </is>
      </c>
      <c r="E327" s="13" t="n">
        <v>66.5</v>
      </c>
      <c r="F327" s="12" t="n">
        <v>0.8199996948242188</v>
      </c>
      <c r="G327" s="4" t="n">
        <v>0</v>
      </c>
      <c r="H327" s="4">
        <f>IF(OR(N(F327)&gt;=0.5,G327&gt;=4),3,IF(OR(N(F327)&gt;=0.3,G327=3),2,IF(OR(N(F327)&gt;=0.1,G327&gt;=1),1,0)))</f>
        <v/>
      </c>
      <c r="I327" s="4">
        <f>CHOOSE(H327+1,"Kein Risiko","Gering","Mittel","Hoch")</f>
        <v/>
      </c>
    </row>
    <row r="328">
      <c r="A328" s="4" t="n">
        <v>324</v>
      </c>
      <c r="B328" s="4" t="inlineStr">
        <is>
          <t>yes</t>
        </is>
      </c>
      <c r="C328" s="4" t="inlineStr">
        <is>
          <t>An den Friedhöfen</t>
        </is>
      </c>
      <c r="D328" s="4" t="inlineStr">
        <is>
          <t>37</t>
        </is>
      </c>
      <c r="E328" s="13" t="n">
        <v>88.90000000000001</v>
      </c>
      <c r="F328" s="12" t="n">
        <v>0</v>
      </c>
      <c r="G328" s="4" t="n">
        <v>0</v>
      </c>
      <c r="H328" s="4">
        <f>IF(OR(N(F328)&gt;=0.5,G328&gt;=4),3,IF(OR(N(F328)&gt;=0.3,G328=3),2,IF(OR(N(F328)&gt;=0.1,G328&gt;=1),1,0)))</f>
        <v/>
      </c>
      <c r="I328" s="4">
        <f>CHOOSE(H328+1,"Kein Risiko","Gering","Mittel","Hoch")</f>
        <v/>
      </c>
    </row>
    <row r="329">
      <c r="A329" s="4" t="n">
        <v>325</v>
      </c>
      <c r="B329" s="4" t="inlineStr">
        <is>
          <t>yes</t>
        </is>
      </c>
      <c r="C329" s="4" t="inlineStr">
        <is>
          <t>An den Friedhöfen</t>
        </is>
      </c>
      <c r="D329" s="4" t="inlineStr">
        <is>
          <t>28</t>
        </is>
      </c>
      <c r="E329" s="13" t="n">
        <v>86</v>
      </c>
      <c r="F329" s="12" t="n">
        <v>0.029998779296875</v>
      </c>
      <c r="G329" s="4" t="n">
        <v>0</v>
      </c>
      <c r="H329" s="4">
        <f>IF(OR(N(F329)&gt;=0.5,G329&gt;=4),3,IF(OR(N(F329)&gt;=0.3,G329=3),2,IF(OR(N(F329)&gt;=0.1,G329&gt;=1),1,0)))</f>
        <v/>
      </c>
      <c r="I329" s="4">
        <f>CHOOSE(H329+1,"Kein Risiko","Gering","Mittel","Hoch")</f>
        <v/>
      </c>
    </row>
    <row r="330">
      <c r="A330" s="4" t="n">
        <v>326</v>
      </c>
      <c r="B330" s="4" t="inlineStr">
        <is>
          <t>yes</t>
        </is>
      </c>
      <c r="C330" s="4" t="inlineStr">
        <is>
          <t>An den Friedhöfen</t>
        </is>
      </c>
      <c r="D330" s="4" t="inlineStr">
        <is>
          <t>47</t>
        </is>
      </c>
      <c r="E330" s="13" t="n">
        <v>88.7</v>
      </c>
      <c r="F330" s="12" t="n">
        <v>0</v>
      </c>
      <c r="G330" s="4" t="n">
        <v>0</v>
      </c>
      <c r="H330" s="4">
        <f>IF(OR(N(F330)&gt;=0.5,G330&gt;=4),3,IF(OR(N(F330)&gt;=0.3,G330=3),2,IF(OR(N(F330)&gt;=0.1,G330&gt;=1),1,0)))</f>
        <v/>
      </c>
      <c r="I330" s="4">
        <f>CHOOSE(H330+1,"Kein Risiko","Gering","Mittel","Hoch")</f>
        <v/>
      </c>
    </row>
    <row r="331">
      <c r="A331" s="4" t="n">
        <v>327</v>
      </c>
      <c r="B331" s="4" t="inlineStr">
        <is>
          <t>yes</t>
        </is>
      </c>
      <c r="C331" s="4" t="inlineStr">
        <is>
          <t>An den Friedhöfen</t>
        </is>
      </c>
      <c r="D331" s="4" t="inlineStr">
        <is>
          <t>26</t>
        </is>
      </c>
      <c r="E331" s="13" t="n">
        <v>115.4</v>
      </c>
      <c r="F331" s="12" t="n">
        <v>0</v>
      </c>
      <c r="G331" s="4" t="n">
        <v>0</v>
      </c>
      <c r="H331" s="4">
        <f>IF(OR(N(F331)&gt;=0.5,G331&gt;=4),3,IF(OR(N(F331)&gt;=0.3,G331=3),2,IF(OR(N(F331)&gt;=0.1,G331&gt;=1),1,0)))</f>
        <v/>
      </c>
      <c r="I331" s="4">
        <f>CHOOSE(H331+1,"Kein Risiko","Gering","Mittel","Hoch")</f>
        <v/>
      </c>
    </row>
    <row r="332">
      <c r="A332" s="4" t="n">
        <v>328</v>
      </c>
      <c r="B332" s="4" t="inlineStr">
        <is>
          <t>yes</t>
        </is>
      </c>
      <c r="C332" s="4" t="inlineStr">
        <is>
          <t>An den Friedhöfen</t>
        </is>
      </c>
      <c r="D332" s="4" t="inlineStr">
        <is>
          <t>45</t>
        </is>
      </c>
      <c r="E332" s="13" t="n">
        <v>98.40000000000001</v>
      </c>
      <c r="F332" s="12" t="n">
        <v>0</v>
      </c>
      <c r="G332" s="4" t="n">
        <v>0</v>
      </c>
      <c r="H332" s="4">
        <f>IF(OR(N(F332)&gt;=0.5,G332&gt;=4),3,IF(OR(N(F332)&gt;=0.3,G332=3),2,IF(OR(N(F332)&gt;=0.1,G332&gt;=1),1,0)))</f>
        <v/>
      </c>
      <c r="I332" s="4">
        <f>CHOOSE(H332+1,"Kein Risiko","Gering","Mittel","Hoch")</f>
        <v/>
      </c>
    </row>
    <row r="333">
      <c r="A333" s="4" t="n">
        <v>329</v>
      </c>
      <c r="B333" s="4" t="inlineStr">
        <is>
          <t>yes</t>
        </is>
      </c>
      <c r="C333" s="4" t="inlineStr">
        <is>
          <t>An den Friedhöfen</t>
        </is>
      </c>
      <c r="D333" s="4" t="inlineStr">
        <is>
          <t>30a</t>
        </is>
      </c>
      <c r="E333" s="13" t="n">
        <v>122.9</v>
      </c>
      <c r="F333" s="12" t="n">
        <v>0</v>
      </c>
      <c r="G333" s="4" t="n">
        <v>0</v>
      </c>
      <c r="H333" s="4">
        <f>IF(OR(N(F333)&gt;=0.5,G333&gt;=4),3,IF(OR(N(F333)&gt;=0.3,G333=3),2,IF(OR(N(F333)&gt;=0.1,G333&gt;=1),1,0)))</f>
        <v/>
      </c>
      <c r="I333" s="4">
        <f>CHOOSE(H333+1,"Kein Risiko","Gering","Mittel","Hoch")</f>
        <v/>
      </c>
    </row>
    <row r="334">
      <c r="A334" s="4" t="n">
        <v>330</v>
      </c>
      <c r="B334" s="4" t="inlineStr">
        <is>
          <t>yes</t>
        </is>
      </c>
      <c r="C334" s="4" t="inlineStr">
        <is>
          <t>An den Friedhöfen</t>
        </is>
      </c>
      <c r="D334" s="4" t="inlineStr">
        <is>
          <t>32</t>
        </is>
      </c>
      <c r="E334" s="13" t="n">
        <v>70</v>
      </c>
      <c r="F334" s="12" t="n">
        <v>0.410003662109375</v>
      </c>
      <c r="G334" s="4" t="n">
        <v>0</v>
      </c>
      <c r="H334" s="4">
        <f>IF(OR(N(F334)&gt;=0.5,G334&gt;=4),3,IF(OR(N(F334)&gt;=0.3,G334=3),2,IF(OR(N(F334)&gt;=0.1,G334&gt;=1),1,0)))</f>
        <v/>
      </c>
      <c r="I334" s="4">
        <f>CHOOSE(H334+1,"Kein Risiko","Gering","Mittel","Hoch")</f>
        <v/>
      </c>
    </row>
    <row r="335">
      <c r="A335" s="4" t="n">
        <v>331</v>
      </c>
      <c r="B335" s="4" t="inlineStr">
        <is>
          <t>yes</t>
        </is>
      </c>
      <c r="C335" s="4" t="inlineStr">
        <is>
          <t>An den Friedhöfen</t>
        </is>
      </c>
      <c r="D335" s="4" t="inlineStr">
        <is>
          <t>36a</t>
        </is>
      </c>
      <c r="E335" s="13" t="n">
        <v>132.6</v>
      </c>
      <c r="F335" s="12" t="n">
        <v>0</v>
      </c>
      <c r="G335" s="4" t="n">
        <v>0</v>
      </c>
      <c r="H335" s="4">
        <f>IF(OR(N(F335)&gt;=0.5,G335&gt;=4),3,IF(OR(N(F335)&gt;=0.3,G335=3),2,IF(OR(N(F335)&gt;=0.1,G335&gt;=1),1,0)))</f>
        <v/>
      </c>
      <c r="I335" s="4">
        <f>CHOOSE(H335+1,"Kein Risiko","Gering","Mittel","Hoch")</f>
        <v/>
      </c>
    </row>
    <row r="336">
      <c r="A336" s="4" t="n">
        <v>332</v>
      </c>
      <c r="B336" s="4" t="inlineStr">
        <is>
          <t>yes</t>
        </is>
      </c>
      <c r="C336" s="4" t="inlineStr">
        <is>
          <t>An den Friedhöfen</t>
        </is>
      </c>
      <c r="D336" s="4" t="inlineStr">
        <is>
          <t>38a</t>
        </is>
      </c>
      <c r="E336" s="13" t="n">
        <v>232.8</v>
      </c>
      <c r="F336" s="12" t="n">
        <v>0</v>
      </c>
      <c r="G336" s="4" t="n">
        <v>1</v>
      </c>
      <c r="H336" s="4">
        <f>IF(OR(N(F336)&gt;=0.5,G336&gt;=4),3,IF(OR(N(F336)&gt;=0.3,G336=3),2,IF(OR(N(F336)&gt;=0.1,G336&gt;=1),1,0)))</f>
        <v/>
      </c>
      <c r="I336" s="4">
        <f>CHOOSE(H336+1,"Kein Risiko","Gering","Mittel","Hoch")</f>
        <v/>
      </c>
    </row>
    <row r="337">
      <c r="A337" s="4" t="n">
        <v>333</v>
      </c>
      <c r="B337" s="4" t="inlineStr">
        <is>
          <t>yes</t>
        </is>
      </c>
      <c r="C337" s="4" t="inlineStr">
        <is>
          <t>An den Friedhöfen</t>
        </is>
      </c>
      <c r="D337" s="4" t="inlineStr">
        <is>
          <t>41</t>
        </is>
      </c>
      <c r="E337" s="13" t="n">
        <v>71.09999999999999</v>
      </c>
      <c r="F337" s="12" t="n">
        <v>0</v>
      </c>
      <c r="G337" s="4" t="n">
        <v>0</v>
      </c>
      <c r="H337" s="4">
        <f>IF(OR(N(F337)&gt;=0.5,G337&gt;=4),3,IF(OR(N(F337)&gt;=0.3,G337=3),2,IF(OR(N(F337)&gt;=0.1,G337&gt;=1),1,0)))</f>
        <v/>
      </c>
      <c r="I337" s="4">
        <f>CHOOSE(H337+1,"Kein Risiko","Gering","Mittel","Hoch")</f>
        <v/>
      </c>
    </row>
    <row r="338">
      <c r="A338" s="4" t="n">
        <v>334</v>
      </c>
      <c r="B338" s="4" t="inlineStr">
        <is>
          <t>yes</t>
        </is>
      </c>
      <c r="C338" s="4" t="inlineStr">
        <is>
          <t>An den Friedhöfen</t>
        </is>
      </c>
      <c r="D338" s="4" t="inlineStr">
        <is>
          <t>43</t>
        </is>
      </c>
      <c r="E338" s="13" t="n">
        <v>75.8</v>
      </c>
      <c r="F338" s="12" t="n">
        <v>0</v>
      </c>
      <c r="G338" s="4" t="n">
        <v>0</v>
      </c>
      <c r="H338" s="4">
        <f>IF(OR(N(F338)&gt;=0.5,G338&gt;=4),3,IF(OR(N(F338)&gt;=0.3,G338=3),2,IF(OR(N(F338)&gt;=0.1,G338&gt;=1),1,0)))</f>
        <v/>
      </c>
      <c r="I338" s="4">
        <f>CHOOSE(H338+1,"Kein Risiko","Gering","Mittel","Hoch")</f>
        <v/>
      </c>
    </row>
    <row r="339">
      <c r="A339" s="4" t="n">
        <v>335</v>
      </c>
      <c r="B339" s="4" t="inlineStr">
        <is>
          <t>yes</t>
        </is>
      </c>
      <c r="C339" s="4" t="inlineStr">
        <is>
          <t>An den Friedhöfen</t>
        </is>
      </c>
      <c r="D339" s="4" t="inlineStr">
        <is>
          <t>49</t>
        </is>
      </c>
      <c r="E339" s="13" t="n">
        <v>90.90000000000001</v>
      </c>
      <c r="F339" s="12" t="n">
        <v>0</v>
      </c>
      <c r="G339" s="4" t="n">
        <v>0</v>
      </c>
      <c r="H339" s="4">
        <f>IF(OR(N(F339)&gt;=0.5,G339&gt;=4),3,IF(OR(N(F339)&gt;=0.3,G339=3),2,IF(OR(N(F339)&gt;=0.1,G339&gt;=1),1,0)))</f>
        <v/>
      </c>
      <c r="I339" s="4">
        <f>CHOOSE(H339+1,"Kein Risiko","Gering","Mittel","Hoch")</f>
        <v/>
      </c>
    </row>
    <row r="340">
      <c r="A340" s="4" t="n">
        <v>336</v>
      </c>
      <c r="B340" s="4" t="inlineStr">
        <is>
          <t>yes</t>
        </is>
      </c>
      <c r="C340" s="4" t="inlineStr">
        <is>
          <t>An den Friedhöfen</t>
        </is>
      </c>
      <c r="D340" s="4" t="inlineStr">
        <is>
          <t>24</t>
        </is>
      </c>
      <c r="E340" s="13" t="n">
        <v>110.1</v>
      </c>
      <c r="F340" s="12" t="n">
        <v>0</v>
      </c>
      <c r="G340" s="4" t="n">
        <v>0</v>
      </c>
      <c r="H340" s="4">
        <f>IF(OR(N(F340)&gt;=0.5,G340&gt;=4),3,IF(OR(N(F340)&gt;=0.3,G340=3),2,IF(OR(N(F340)&gt;=0.1,G340&gt;=1),1,0)))</f>
        <v/>
      </c>
      <c r="I340" s="4">
        <f>CHOOSE(H340+1,"Kein Risiko","Gering","Mittel","Hoch")</f>
        <v/>
      </c>
    </row>
    <row r="341">
      <c r="A341" s="4" t="n">
        <v>337</v>
      </c>
      <c r="B341" s="4" t="inlineStr">
        <is>
          <t>yes</t>
        </is>
      </c>
      <c r="C341" s="4" t="inlineStr">
        <is>
          <t>An den Friedhöfen</t>
        </is>
      </c>
      <c r="D341" s="4" t="inlineStr">
        <is>
          <t>34</t>
        </is>
      </c>
      <c r="E341" s="13" t="n">
        <v>167.3</v>
      </c>
      <c r="F341" s="12" t="n">
        <v>0</v>
      </c>
      <c r="G341" s="4" t="n">
        <v>2</v>
      </c>
      <c r="H341" s="4">
        <f>IF(OR(N(F341)&gt;=0.5,G341&gt;=4),3,IF(OR(N(F341)&gt;=0.3,G341=3),2,IF(OR(N(F341)&gt;=0.1,G341&gt;=1),1,0)))</f>
        <v/>
      </c>
      <c r="I341" s="4">
        <f>CHOOSE(H341+1,"Kein Risiko","Gering","Mittel","Hoch")</f>
        <v/>
      </c>
    </row>
    <row r="342">
      <c r="A342" s="4" t="n">
        <v>338</v>
      </c>
      <c r="B342" s="4" t="inlineStr">
        <is>
          <t>yes</t>
        </is>
      </c>
      <c r="C342" s="4" t="inlineStr">
        <is>
          <t>An den Friedhöfen</t>
        </is>
      </c>
      <c r="D342" s="4" t="inlineStr">
        <is>
          <t>22</t>
        </is>
      </c>
      <c r="E342" s="13" t="n">
        <v>159.9</v>
      </c>
      <c r="F342" s="12" t="n">
        <v>0.1399993896484375</v>
      </c>
      <c r="G342" s="4" t="n">
        <v>0</v>
      </c>
      <c r="H342" s="4">
        <f>IF(OR(N(F342)&gt;=0.5,G342&gt;=4),3,IF(OR(N(F342)&gt;=0.3,G342=3),2,IF(OR(N(F342)&gt;=0.1,G342&gt;=1),1,0)))</f>
        <v/>
      </c>
      <c r="I342" s="4">
        <f>CHOOSE(H342+1,"Kein Risiko","Gering","Mittel","Hoch")</f>
        <v/>
      </c>
    </row>
    <row r="343">
      <c r="A343" s="4" t="n">
        <v>339</v>
      </c>
      <c r="B343" s="4" t="inlineStr">
        <is>
          <t>yes</t>
        </is>
      </c>
      <c r="C343" s="4" t="inlineStr">
        <is>
          <t>An den Friedhöfen</t>
        </is>
      </c>
      <c r="D343" s="4" t="inlineStr">
        <is>
          <t>32a</t>
        </is>
      </c>
      <c r="E343" s="13" t="n">
        <v>119.3</v>
      </c>
      <c r="F343" s="12" t="n">
        <v>0</v>
      </c>
      <c r="G343" s="4" t="n">
        <v>0</v>
      </c>
      <c r="H343" s="4">
        <f>IF(OR(N(F343)&gt;=0.5,G343&gt;=4),3,IF(OR(N(F343)&gt;=0.3,G343=3),2,IF(OR(N(F343)&gt;=0.1,G343&gt;=1),1,0)))</f>
        <v/>
      </c>
      <c r="I343" s="4">
        <f>CHOOSE(H343+1,"Kein Risiko","Gering","Mittel","Hoch")</f>
        <v/>
      </c>
    </row>
    <row r="344">
      <c r="A344" s="4" t="n">
        <v>340</v>
      </c>
      <c r="B344" s="4" t="inlineStr">
        <is>
          <t>apartments</t>
        </is>
      </c>
      <c r="C344" s="4" t="inlineStr">
        <is>
          <t>Niederweniger Straße</t>
        </is>
      </c>
      <c r="D344" s="4" t="inlineStr">
        <is>
          <t>1</t>
        </is>
      </c>
      <c r="E344" s="13" t="n">
        <v>124.6</v>
      </c>
      <c r="F344" s="12" t="n">
        <v>0</v>
      </c>
      <c r="G344" s="4" t="n">
        <v>0</v>
      </c>
      <c r="H344" s="4">
        <f>IF(OR(N(F344)&gt;=0.5,G344&gt;=4),3,IF(OR(N(F344)&gt;=0.3,G344=3),2,IF(OR(N(F344)&gt;=0.1,G344&gt;=1),1,0)))</f>
        <v/>
      </c>
      <c r="I344" s="4">
        <f>CHOOSE(H344+1,"Kein Risiko","Gering","Mittel","Hoch")</f>
        <v/>
      </c>
    </row>
    <row r="345">
      <c r="A345" s="4" t="n">
        <v>341</v>
      </c>
      <c r="B345" s="4" t="inlineStr">
        <is>
          <t>yes</t>
        </is>
      </c>
      <c r="C345" s="4" t="inlineStr">
        <is>
          <t>Grotestraße</t>
        </is>
      </c>
      <c r="D345" s="4" t="inlineStr">
        <is>
          <t>10</t>
        </is>
      </c>
      <c r="E345" s="13" t="n">
        <v>114.1</v>
      </c>
      <c r="F345" s="12" t="n">
        <v>0</v>
      </c>
      <c r="G345" s="4" t="n">
        <v>0</v>
      </c>
      <c r="H345" s="4">
        <f>IF(OR(N(F345)&gt;=0.5,G345&gt;=4),3,IF(OR(N(F345)&gt;=0.3,G345=3),2,IF(OR(N(F345)&gt;=0.1,G345&gt;=1),1,0)))</f>
        <v/>
      </c>
      <c r="I345" s="4">
        <f>CHOOSE(H345+1,"Kein Risiko","Gering","Mittel","Hoch")</f>
        <v/>
      </c>
    </row>
    <row r="346">
      <c r="A346" s="4" t="n">
        <v>342</v>
      </c>
      <c r="B346" s="4" t="inlineStr">
        <is>
          <t>yes</t>
        </is>
      </c>
      <c r="C346" s="4" t="inlineStr">
        <is>
          <t>Grotestraße</t>
        </is>
      </c>
      <c r="D346" s="4" t="inlineStr">
        <is>
          <t>12</t>
        </is>
      </c>
      <c r="E346" s="13" t="n">
        <v>100.4</v>
      </c>
      <c r="F346" s="12" t="n">
        <v>0</v>
      </c>
      <c r="G346" s="4" t="n">
        <v>0</v>
      </c>
      <c r="H346" s="4">
        <f>IF(OR(N(F346)&gt;=0.5,G346&gt;=4),3,IF(OR(N(F346)&gt;=0.3,G346=3),2,IF(OR(N(F346)&gt;=0.1,G346&gt;=1),1,0)))</f>
        <v/>
      </c>
      <c r="I346" s="4">
        <f>CHOOSE(H346+1,"Kein Risiko","Gering","Mittel","Hoch")</f>
        <v/>
      </c>
    </row>
    <row r="347">
      <c r="A347" s="4" t="n">
        <v>343</v>
      </c>
      <c r="B347" s="4" t="inlineStr">
        <is>
          <t>apartments</t>
        </is>
      </c>
      <c r="C347" s="4" t="inlineStr">
        <is>
          <t>Niederweniger Straße</t>
        </is>
      </c>
      <c r="D347" s="4" t="inlineStr">
        <is>
          <t>2</t>
        </is>
      </c>
      <c r="E347" s="13" t="n">
        <v>121.4</v>
      </c>
      <c r="F347" s="12" t="n">
        <v>0</v>
      </c>
      <c r="G347" s="4" t="n">
        <v>0</v>
      </c>
      <c r="H347" s="4">
        <f>IF(OR(N(F347)&gt;=0.5,G347&gt;=4),3,IF(OR(N(F347)&gt;=0.3,G347=3),2,IF(OR(N(F347)&gt;=0.1,G347&gt;=1),1,0)))</f>
        <v/>
      </c>
      <c r="I347" s="4">
        <f>CHOOSE(H347+1,"Kein Risiko","Gering","Mittel","Hoch")</f>
        <v/>
      </c>
    </row>
    <row r="348">
      <c r="A348" s="4" t="n">
        <v>344</v>
      </c>
      <c r="B348" s="4" t="inlineStr">
        <is>
          <t>apartments</t>
        </is>
      </c>
      <c r="C348" s="4" t="inlineStr">
        <is>
          <t>Niederweniger Straße</t>
        </is>
      </c>
      <c r="D348" s="4" t="inlineStr">
        <is>
          <t>22</t>
        </is>
      </c>
      <c r="E348" s="13" t="n">
        <v>90.5</v>
      </c>
      <c r="F348" s="12" t="n">
        <v>0</v>
      </c>
      <c r="G348" s="4" t="n">
        <v>1</v>
      </c>
      <c r="H348" s="4">
        <f>IF(OR(N(F348)&gt;=0.5,G348&gt;=4),3,IF(OR(N(F348)&gt;=0.3,G348=3),2,IF(OR(N(F348)&gt;=0.1,G348&gt;=1),1,0)))</f>
        <v/>
      </c>
      <c r="I348" s="4">
        <f>CHOOSE(H348+1,"Kein Risiko","Gering","Mittel","Hoch")</f>
        <v/>
      </c>
    </row>
    <row r="349">
      <c r="A349" s="4" t="n">
        <v>345</v>
      </c>
      <c r="B349" s="4" t="inlineStr">
        <is>
          <t>yes</t>
        </is>
      </c>
      <c r="C349" s="4" t="inlineStr">
        <is>
          <t>Grotestraße</t>
        </is>
      </c>
      <c r="D349" s="4" t="inlineStr">
        <is>
          <t>4b</t>
        </is>
      </c>
      <c r="E349" s="13" t="n">
        <v>80.2</v>
      </c>
      <c r="F349" s="12" t="n">
        <v>0</v>
      </c>
      <c r="G349" s="4" t="n">
        <v>0</v>
      </c>
      <c r="H349" s="4">
        <f>IF(OR(N(F349)&gt;=0.5,G349&gt;=4),3,IF(OR(N(F349)&gt;=0.3,G349=3),2,IF(OR(N(F349)&gt;=0.1,G349&gt;=1),1,0)))</f>
        <v/>
      </c>
      <c r="I349" s="4">
        <f>CHOOSE(H349+1,"Kein Risiko","Gering","Mittel","Hoch")</f>
        <v/>
      </c>
    </row>
    <row r="350">
      <c r="A350" s="4" t="n">
        <v>346</v>
      </c>
      <c r="B350" s="4" t="inlineStr">
        <is>
          <t>apartments</t>
        </is>
      </c>
      <c r="C350" s="4" t="inlineStr">
        <is>
          <t>Niederweniger Straße</t>
        </is>
      </c>
      <c r="D350" s="4" t="inlineStr">
        <is>
          <t>4</t>
        </is>
      </c>
      <c r="E350" s="13" t="n">
        <v>114.4</v>
      </c>
      <c r="F350" s="12" t="n">
        <v>0.06999969482421875</v>
      </c>
      <c r="G350" s="4" t="n">
        <v>4</v>
      </c>
      <c r="H350" s="4">
        <f>IF(OR(N(F350)&gt;=0.5,G350&gt;=4),3,IF(OR(N(F350)&gt;=0.3,G350=3),2,IF(OR(N(F350)&gt;=0.1,G350&gt;=1),1,0)))</f>
        <v/>
      </c>
      <c r="I350" s="4">
        <f>CHOOSE(H350+1,"Kein Risiko","Gering","Mittel","Hoch")</f>
        <v/>
      </c>
    </row>
    <row r="351">
      <c r="A351" s="4" t="n">
        <v>347</v>
      </c>
      <c r="B351" s="4" t="inlineStr">
        <is>
          <t>apartments</t>
        </is>
      </c>
      <c r="C351" s="4" t="inlineStr">
        <is>
          <t>Byfanger Straße</t>
        </is>
      </c>
      <c r="D351" s="4" t="inlineStr">
        <is>
          <t>48</t>
        </is>
      </c>
      <c r="E351" s="13" t="n">
        <v>122.7</v>
      </c>
      <c r="F351" s="12" t="n">
        <v>0</v>
      </c>
      <c r="G351" s="4" t="n">
        <v>5</v>
      </c>
      <c r="H351" s="4">
        <f>IF(OR(N(F351)&gt;=0.5,G351&gt;=4),3,IF(OR(N(F351)&gt;=0.3,G351=3),2,IF(OR(N(F351)&gt;=0.1,G351&gt;=1),1,0)))</f>
        <v/>
      </c>
      <c r="I351" s="4">
        <f>CHOOSE(H351+1,"Kein Risiko","Gering","Mittel","Hoch")</f>
        <v/>
      </c>
    </row>
    <row r="352">
      <c r="A352" s="4" t="n">
        <v>348</v>
      </c>
      <c r="B352" s="4" t="inlineStr">
        <is>
          <t>yes</t>
        </is>
      </c>
      <c r="C352" s="4" t="inlineStr">
        <is>
          <t>Grotestraße</t>
        </is>
      </c>
      <c r="D352" s="4" t="inlineStr">
        <is>
          <t>4a</t>
        </is>
      </c>
      <c r="E352" s="13" t="n">
        <v>260.8</v>
      </c>
      <c r="F352" s="12" t="n">
        <v>0</v>
      </c>
      <c r="G352" s="4" t="n">
        <v>3</v>
      </c>
      <c r="H352" s="4">
        <f>IF(OR(N(F352)&gt;=0.5,G352&gt;=4),3,IF(OR(N(F352)&gt;=0.3,G352=3),2,IF(OR(N(F352)&gt;=0.1,G352&gt;=1),1,0)))</f>
        <v/>
      </c>
      <c r="I352" s="4">
        <f>CHOOSE(H352+1,"Kein Risiko","Gering","Mittel","Hoch")</f>
        <v/>
      </c>
    </row>
    <row r="353">
      <c r="A353" s="4" t="n">
        <v>349</v>
      </c>
      <c r="B353" s="4" t="inlineStr">
        <is>
          <t>apartments</t>
        </is>
      </c>
      <c r="C353" s="4" t="inlineStr">
        <is>
          <t>Niederweniger Straße</t>
        </is>
      </c>
      <c r="D353" s="4" t="inlineStr">
        <is>
          <t>5</t>
        </is>
      </c>
      <c r="E353" s="13" t="n">
        <v>126.2</v>
      </c>
      <c r="F353" s="12" t="n">
        <v>0</v>
      </c>
      <c r="G353" s="4" t="n">
        <v>0</v>
      </c>
      <c r="H353" s="4">
        <f>IF(OR(N(F353)&gt;=0.5,G353&gt;=4),3,IF(OR(N(F353)&gt;=0.3,G353=3),2,IF(OR(N(F353)&gt;=0.1,G353&gt;=1),1,0)))</f>
        <v/>
      </c>
      <c r="I353" s="4">
        <f>CHOOSE(H353+1,"Kein Risiko","Gering","Mittel","Hoch")</f>
        <v/>
      </c>
    </row>
    <row r="354">
      <c r="A354" s="4" t="n">
        <v>350</v>
      </c>
      <c r="B354" s="4" t="inlineStr">
        <is>
          <t>apartments</t>
        </is>
      </c>
      <c r="C354" s="4" t="inlineStr">
        <is>
          <t>Byfanger Straße</t>
        </is>
      </c>
      <c r="D354" s="4" t="inlineStr">
        <is>
          <t>50</t>
        </is>
      </c>
      <c r="E354" s="13" t="n">
        <v>155.8</v>
      </c>
      <c r="F354" s="12" t="n">
        <v>0</v>
      </c>
      <c r="G354" s="4" t="n">
        <v>5</v>
      </c>
      <c r="H354" s="4">
        <f>IF(OR(N(F354)&gt;=0.5,G354&gt;=4),3,IF(OR(N(F354)&gt;=0.3,G354=3),2,IF(OR(N(F354)&gt;=0.1,G354&gt;=1),1,0)))</f>
        <v/>
      </c>
      <c r="I354" s="4">
        <f>CHOOSE(H354+1,"Kein Risiko","Gering","Mittel","Hoch")</f>
        <v/>
      </c>
    </row>
    <row r="355">
      <c r="A355" s="4" t="n">
        <v>351</v>
      </c>
      <c r="B355" s="4" t="inlineStr">
        <is>
          <t>yes</t>
        </is>
      </c>
      <c r="C355" s="4" t="inlineStr">
        <is>
          <t>Grotestraße</t>
        </is>
      </c>
      <c r="D355" s="4" t="inlineStr">
        <is>
          <t>6</t>
        </is>
      </c>
      <c r="E355" s="13" t="n">
        <v>142.1</v>
      </c>
      <c r="F355" s="12" t="n">
        <v>0</v>
      </c>
      <c r="G355" s="4" t="n">
        <v>0</v>
      </c>
      <c r="H355" s="4">
        <f>IF(OR(N(F355)&gt;=0.5,G355&gt;=4),3,IF(OR(N(F355)&gt;=0.3,G355=3),2,IF(OR(N(F355)&gt;=0.1,G355&gt;=1),1,0)))</f>
        <v/>
      </c>
      <c r="I355" s="4">
        <f>CHOOSE(H355+1,"Kein Risiko","Gering","Mittel","Hoch")</f>
        <v/>
      </c>
    </row>
    <row r="356">
      <c r="A356" s="4" t="n">
        <v>352</v>
      </c>
      <c r="B356" s="4" t="inlineStr">
        <is>
          <t>apartments</t>
        </is>
      </c>
      <c r="C356" s="4" t="inlineStr">
        <is>
          <t>Niederweniger Straße</t>
        </is>
      </c>
      <c r="D356" s="4" t="inlineStr">
        <is>
          <t>6</t>
        </is>
      </c>
      <c r="E356" s="13" t="n">
        <v>135</v>
      </c>
      <c r="F356" s="12" t="n">
        <v>0</v>
      </c>
      <c r="G356" s="4" t="n">
        <v>4</v>
      </c>
      <c r="H356" s="4">
        <f>IF(OR(N(F356)&gt;=0.5,G356&gt;=4),3,IF(OR(N(F356)&gt;=0.3,G356=3),2,IF(OR(N(F356)&gt;=0.1,G356&gt;=1),1,0)))</f>
        <v/>
      </c>
      <c r="I356" s="4">
        <f>CHOOSE(H356+1,"Kein Risiko","Gering","Mittel","Hoch")</f>
        <v/>
      </c>
    </row>
    <row r="357">
      <c r="A357" s="4" t="n">
        <v>353</v>
      </c>
      <c r="B357" s="4" t="inlineStr">
        <is>
          <t>yes</t>
        </is>
      </c>
      <c r="C357" s="4" t="inlineStr">
        <is>
          <t>Byfanger Straße</t>
        </is>
      </c>
      <c r="D357" s="4" t="inlineStr">
        <is>
          <t>72</t>
        </is>
      </c>
      <c r="E357" s="13" t="n">
        <v>184.9</v>
      </c>
      <c r="F357" s="12" t="n">
        <v>0</v>
      </c>
      <c r="G357" s="4" t="n">
        <v>1</v>
      </c>
      <c r="H357" s="4">
        <f>IF(OR(N(F357)&gt;=0.5,G357&gt;=4),3,IF(OR(N(F357)&gt;=0.3,G357=3),2,IF(OR(N(F357)&gt;=0.1,G357&gt;=1),1,0)))</f>
        <v/>
      </c>
      <c r="I357" s="4">
        <f>CHOOSE(H357+1,"Kein Risiko","Gering","Mittel","Hoch")</f>
        <v/>
      </c>
    </row>
    <row r="358">
      <c r="A358" s="4" t="n">
        <v>354</v>
      </c>
      <c r="B358" s="4" t="inlineStr">
        <is>
          <t>yes</t>
        </is>
      </c>
      <c r="C358" s="4" t="inlineStr">
        <is>
          <t>Grotestraße</t>
        </is>
      </c>
      <c r="D358" s="4" t="inlineStr">
        <is>
          <t>8</t>
        </is>
      </c>
      <c r="E358" s="13" t="n">
        <v>116.7</v>
      </c>
      <c r="F358" s="12" t="n">
        <v>0</v>
      </c>
      <c r="G358" s="4" t="n">
        <v>0</v>
      </c>
      <c r="H358" s="4">
        <f>IF(OR(N(F358)&gt;=0.5,G358&gt;=4),3,IF(OR(N(F358)&gt;=0.3,G358=3),2,IF(OR(N(F358)&gt;=0.1,G358&gt;=1),1,0)))</f>
        <v/>
      </c>
      <c r="I358" s="4">
        <f>CHOOSE(H358+1,"Kein Risiko","Gering","Mittel","Hoch")</f>
        <v/>
      </c>
    </row>
    <row r="359">
      <c r="A359" s="4" t="n">
        <v>355</v>
      </c>
      <c r="B359" s="4" t="inlineStr">
        <is>
          <t>apartments</t>
        </is>
      </c>
      <c r="C359" s="4" t="inlineStr">
        <is>
          <t>Niederweniger Straße</t>
        </is>
      </c>
      <c r="D359" s="4" t="inlineStr">
        <is>
          <t>8</t>
        </is>
      </c>
      <c r="E359" s="13" t="n">
        <v>111.8</v>
      </c>
      <c r="F359" s="12" t="n">
        <v>0</v>
      </c>
      <c r="G359" s="4" t="n">
        <v>1</v>
      </c>
      <c r="H359" s="4">
        <f>IF(OR(N(F359)&gt;=0.5,G359&gt;=4),3,IF(OR(N(F359)&gt;=0.3,G359=3),2,IF(OR(N(F359)&gt;=0.1,G359&gt;=1),1,0)))</f>
        <v/>
      </c>
      <c r="I359" s="4">
        <f>CHOOSE(H359+1,"Kein Risiko","Gering","Mittel","Hoch")</f>
        <v/>
      </c>
    </row>
    <row r="360">
      <c r="A360" s="4" t="n">
        <v>356</v>
      </c>
      <c r="B360" s="4" t="inlineStr">
        <is>
          <t>yes</t>
        </is>
      </c>
      <c r="C360" s="4" t="inlineStr">
        <is>
          <t>Byfanger Straße</t>
        </is>
      </c>
      <c r="D360" s="4" t="inlineStr">
        <is>
          <t>91</t>
        </is>
      </c>
      <c r="E360" s="13" t="n">
        <v>130.6</v>
      </c>
      <c r="F360" s="12" t="n">
        <v>0</v>
      </c>
      <c r="G360" s="4" t="n">
        <v>0</v>
      </c>
      <c r="H360" s="4">
        <f>IF(OR(N(F360)&gt;=0.5,G360&gt;=4),3,IF(OR(N(F360)&gt;=0.3,G360=3),2,IF(OR(N(F360)&gt;=0.1,G360&gt;=1),1,0)))</f>
        <v/>
      </c>
      <c r="I360" s="4">
        <f>CHOOSE(H360+1,"Kein Risiko","Gering","Mittel","Hoch")</f>
        <v/>
      </c>
    </row>
    <row r="361">
      <c r="A361" s="4" t="n">
        <v>357</v>
      </c>
      <c r="B361" s="4" t="inlineStr">
        <is>
          <t>yes</t>
        </is>
      </c>
      <c r="C361" s="4" t="inlineStr">
        <is>
          <t>Gillesweg</t>
        </is>
      </c>
      <c r="D361" s="4" t="inlineStr">
        <is>
          <t>15</t>
        </is>
      </c>
      <c r="E361" s="13" t="n">
        <v>88.8</v>
      </c>
      <c r="F361" s="12" t="n">
        <v>0</v>
      </c>
      <c r="G361" s="4" t="n">
        <v>1</v>
      </c>
      <c r="H361" s="4">
        <f>IF(OR(N(F361)&gt;=0.5,G361&gt;=4),3,IF(OR(N(F361)&gt;=0.3,G361=3),2,IF(OR(N(F361)&gt;=0.1,G361&gt;=1),1,0)))</f>
        <v/>
      </c>
      <c r="I361" s="4">
        <f>CHOOSE(H361+1,"Kein Risiko","Gering","Mittel","Hoch")</f>
        <v/>
      </c>
    </row>
    <row r="362">
      <c r="A362" s="4" t="n">
        <v>358</v>
      </c>
      <c r="B362" s="4" t="inlineStr">
        <is>
          <t>yes</t>
        </is>
      </c>
      <c r="C362" s="4" t="inlineStr">
        <is>
          <t>Grotestraße</t>
        </is>
      </c>
      <c r="D362" s="4" t="inlineStr">
        <is>
          <t>7</t>
        </is>
      </c>
      <c r="E362" s="13" t="n">
        <v>99.5</v>
      </c>
      <c r="F362" s="12" t="n">
        <v>0</v>
      </c>
      <c r="G362" s="4" t="n">
        <v>0</v>
      </c>
      <c r="H362" s="4">
        <f>IF(OR(N(F362)&gt;=0.5,G362&gt;=4),3,IF(OR(N(F362)&gt;=0.3,G362=3),2,IF(OR(N(F362)&gt;=0.1,G362&gt;=1),1,0)))</f>
        <v/>
      </c>
      <c r="I362" s="4">
        <f>CHOOSE(H362+1,"Kein Risiko","Gering","Mittel","Hoch")</f>
        <v/>
      </c>
    </row>
    <row r="363">
      <c r="A363" s="4" t="n">
        <v>359</v>
      </c>
      <c r="B363" s="4" t="inlineStr">
        <is>
          <t>yes</t>
        </is>
      </c>
      <c r="C363" s="4" t="inlineStr">
        <is>
          <t>Grotestraße</t>
        </is>
      </c>
      <c r="D363" s="4" t="inlineStr">
        <is>
          <t>5</t>
        </is>
      </c>
      <c r="E363" s="13" t="n">
        <v>243.2</v>
      </c>
      <c r="F363" s="12" t="n">
        <v>0</v>
      </c>
      <c r="G363" s="4" t="n">
        <v>0</v>
      </c>
      <c r="H363" s="4">
        <f>IF(OR(N(F363)&gt;=0.5,G363&gt;=4),3,IF(OR(N(F363)&gt;=0.3,G363=3),2,IF(OR(N(F363)&gt;=0.1,G363&gt;=1),1,0)))</f>
        <v/>
      </c>
      <c r="I363" s="4">
        <f>CHOOSE(H363+1,"Kein Risiko","Gering","Mittel","Hoch")</f>
        <v/>
      </c>
    </row>
    <row r="364">
      <c r="A364" s="4" t="n">
        <v>360</v>
      </c>
      <c r="B364" s="4" t="inlineStr">
        <is>
          <t>yes</t>
        </is>
      </c>
      <c r="C364" s="4" t="inlineStr">
        <is>
          <t>Grotestraße</t>
        </is>
      </c>
      <c r="D364" s="4" t="inlineStr">
        <is>
          <t>9</t>
        </is>
      </c>
      <c r="E364" s="13" t="n">
        <v>201.5</v>
      </c>
      <c r="F364" s="12" t="n">
        <v>0.01000213623046875</v>
      </c>
      <c r="G364" s="4" t="n">
        <v>1</v>
      </c>
      <c r="H364" s="4">
        <f>IF(OR(N(F364)&gt;=0.5,G364&gt;=4),3,IF(OR(N(F364)&gt;=0.3,G364=3),2,IF(OR(N(F364)&gt;=0.1,G364&gt;=1),1,0)))</f>
        <v/>
      </c>
      <c r="I364" s="4">
        <f>CHOOSE(H364+1,"Kein Risiko","Gering","Mittel","Hoch")</f>
        <v/>
      </c>
    </row>
    <row r="365">
      <c r="A365" s="4" t="n">
        <v>361</v>
      </c>
      <c r="B365" s="4" t="inlineStr">
        <is>
          <t>apartments</t>
        </is>
      </c>
      <c r="C365" s="4" t="inlineStr">
        <is>
          <t>Poststraße</t>
        </is>
      </c>
      <c r="D365" s="4" t="inlineStr">
        <is>
          <t>1</t>
        </is>
      </c>
      <c r="E365" s="13" t="n">
        <v>277.5</v>
      </c>
      <c r="F365" s="12" t="n">
        <v>0</v>
      </c>
      <c r="G365" s="4" t="n">
        <v>0</v>
      </c>
      <c r="H365" s="4">
        <f>IF(OR(N(F365)&gt;=0.5,G365&gt;=4),3,IF(OR(N(F365)&gt;=0.3,G365=3),2,IF(OR(N(F365)&gt;=0.1,G365&gt;=1),1,0)))</f>
        <v/>
      </c>
      <c r="I365" s="4">
        <f>CHOOSE(H365+1,"Kein Risiko","Gering","Mittel","Hoch")</f>
        <v/>
      </c>
    </row>
    <row r="366">
      <c r="A366" s="4" t="n">
        <v>362</v>
      </c>
      <c r="B366" s="4" t="inlineStr">
        <is>
          <t>yes</t>
        </is>
      </c>
      <c r="C366" s="4" t="inlineStr">
        <is>
          <t>Provesthöhe</t>
        </is>
      </c>
      <c r="D366" s="4" t="inlineStr">
        <is>
          <t>5</t>
        </is>
      </c>
      <c r="E366" s="13" t="n">
        <v>76.40000000000001</v>
      </c>
      <c r="F366" s="12" t="n">
        <v>0</v>
      </c>
      <c r="G366" s="4" t="n">
        <v>0</v>
      </c>
      <c r="H366" s="4">
        <f>IF(OR(N(F366)&gt;=0.5,G366&gt;=4),3,IF(OR(N(F366)&gt;=0.3,G366=3),2,IF(OR(N(F366)&gt;=0.1,G366&gt;=1),1,0)))</f>
        <v/>
      </c>
      <c r="I366" s="4">
        <f>CHOOSE(H366+1,"Kein Risiko","Gering","Mittel","Hoch")</f>
        <v/>
      </c>
    </row>
    <row r="367">
      <c r="A367" s="4" t="n">
        <v>363</v>
      </c>
      <c r="B367" s="4" t="inlineStr">
        <is>
          <t>yes</t>
        </is>
      </c>
      <c r="C367" s="4" t="inlineStr">
        <is>
          <t>Heidbergweg</t>
        </is>
      </c>
      <c r="D367" s="4" t="inlineStr">
        <is>
          <t>18a</t>
        </is>
      </c>
      <c r="E367" s="13" t="n">
        <v>150.3</v>
      </c>
      <c r="F367" s="12" t="n">
        <v>0</v>
      </c>
      <c r="G367" s="4" t="n">
        <v>0</v>
      </c>
      <c r="H367" s="4">
        <f>IF(OR(N(F367)&gt;=0.5,G367&gt;=4),3,IF(OR(N(F367)&gt;=0.3,G367=3),2,IF(OR(N(F367)&gt;=0.1,G367&gt;=1),1,0)))</f>
        <v/>
      </c>
      <c r="I367" s="4">
        <f>CHOOSE(H367+1,"Kein Risiko","Gering","Mittel","Hoch")</f>
        <v/>
      </c>
    </row>
    <row r="368">
      <c r="A368" s="4" t="n">
        <v>364</v>
      </c>
      <c r="B368" s="4" t="inlineStr">
        <is>
          <t>kindergarten</t>
        </is>
      </c>
      <c r="C368" s="4" t="inlineStr">
        <is>
          <t>Schwermannstraße</t>
        </is>
      </c>
      <c r="D368" s="4" t="inlineStr">
        <is>
          <t>30</t>
        </is>
      </c>
      <c r="E368" s="13" t="n">
        <v>608.5</v>
      </c>
      <c r="F368" s="12" t="n">
        <v>0.3300018310546875</v>
      </c>
      <c r="G368" s="4" t="n">
        <v>1</v>
      </c>
      <c r="H368" s="4">
        <f>IF(OR(N(F368)&gt;=0.5,G368&gt;=4),3,IF(OR(N(F368)&gt;=0.3,G368=3),2,IF(OR(N(F368)&gt;=0.1,G368&gt;=1),1,0)))</f>
        <v/>
      </c>
      <c r="I368" s="4">
        <f>CHOOSE(H368+1,"Kein Risiko","Gering","Mittel","Hoch")</f>
        <v/>
      </c>
    </row>
    <row r="369">
      <c r="A369" s="4" t="n">
        <v>365</v>
      </c>
      <c r="B369" s="4" t="inlineStr">
        <is>
          <t>yes</t>
        </is>
      </c>
      <c r="C369" s="4" t="inlineStr">
        <is>
          <t>Colsmanstraße</t>
        </is>
      </c>
      <c r="D369" s="4" t="inlineStr">
        <is>
          <t>5a</t>
        </is>
      </c>
      <c r="E369" s="13" t="n">
        <v>76.8</v>
      </c>
      <c r="F369" s="12" t="n">
        <v>0</v>
      </c>
      <c r="G369" s="4" t="n">
        <v>0</v>
      </c>
      <c r="H369" s="4">
        <f>IF(OR(N(F369)&gt;=0.5,G369&gt;=4),3,IF(OR(N(F369)&gt;=0.3,G369=3),2,IF(OR(N(F369)&gt;=0.1,G369&gt;=1),1,0)))</f>
        <v/>
      </c>
      <c r="I369" s="4">
        <f>CHOOSE(H369+1,"Kein Risiko","Gering","Mittel","Hoch")</f>
        <v/>
      </c>
    </row>
    <row r="370">
      <c r="A370" s="4" t="n">
        <v>366</v>
      </c>
      <c r="B370" s="4" t="inlineStr">
        <is>
          <t>yes</t>
        </is>
      </c>
      <c r="C370" s="4" t="inlineStr"/>
      <c r="D370" s="4" t="inlineStr"/>
      <c r="E370" s="13" t="n">
        <v>178.7</v>
      </c>
      <c r="F370" s="12" t="n">
        <v>0</v>
      </c>
      <c r="G370" s="4" t="n">
        <v>0</v>
      </c>
      <c r="H370" s="4">
        <f>IF(OR(N(F370)&gt;=0.5,G370&gt;=4),3,IF(OR(N(F370)&gt;=0.3,G370=3),2,IF(OR(N(F370)&gt;=0.1,G370&gt;=1),1,0)))</f>
        <v/>
      </c>
      <c r="I370" s="4">
        <f>CHOOSE(H370+1,"Kein Risiko","Gering","Mittel","Hoch")</f>
        <v/>
      </c>
    </row>
    <row r="371">
      <c r="A371" s="4" t="n">
        <v>367</v>
      </c>
      <c r="B371" s="4" t="inlineStr">
        <is>
          <t>hospital</t>
        </is>
      </c>
      <c r="C371" s="4" t="inlineStr"/>
      <c r="D371" s="4" t="inlineStr"/>
      <c r="E371" s="13" t="n">
        <v>315.1</v>
      </c>
      <c r="F371" s="12" t="n">
        <v>0.2900009155273438</v>
      </c>
      <c r="G371" s="4" t="n">
        <v>0</v>
      </c>
      <c r="H371" s="4">
        <f>IF(OR(N(F371)&gt;=0.5,G371&gt;=4),3,IF(OR(N(F371)&gt;=0.3,G371=3),2,IF(OR(N(F371)&gt;=0.1,G371&gt;=1),1,0)))</f>
        <v/>
      </c>
      <c r="I371" s="4">
        <f>CHOOSE(H371+1,"Kein Risiko","Gering","Mittel","Hoch")</f>
        <v/>
      </c>
    </row>
    <row r="372">
      <c r="A372" s="4" t="n">
        <v>368</v>
      </c>
      <c r="B372" s="4" t="inlineStr">
        <is>
          <t>yes</t>
        </is>
      </c>
      <c r="C372" s="4" t="inlineStr">
        <is>
          <t>Gillesweg</t>
        </is>
      </c>
      <c r="D372" s="4" t="inlineStr">
        <is>
          <t>5</t>
        </is>
      </c>
      <c r="E372" s="13" t="n">
        <v>85.2</v>
      </c>
      <c r="F372" s="12" t="n">
        <v>0</v>
      </c>
      <c r="G372" s="4" t="n">
        <v>0</v>
      </c>
      <c r="H372" s="4">
        <f>IF(OR(N(F372)&gt;=0.5,G372&gt;=4),3,IF(OR(N(F372)&gt;=0.3,G372=3),2,IF(OR(N(F372)&gt;=0.1,G372&gt;=1),1,0)))</f>
        <v/>
      </c>
      <c r="I372" s="4">
        <f>CHOOSE(H372+1,"Kein Risiko","Gering","Mittel","Hoch")</f>
        <v/>
      </c>
    </row>
    <row r="373">
      <c r="A373" s="4" t="n">
        <v>369</v>
      </c>
      <c r="B373" s="4" t="inlineStr">
        <is>
          <t>apartments</t>
        </is>
      </c>
      <c r="C373" s="4" t="inlineStr">
        <is>
          <t>Poststraße</t>
        </is>
      </c>
      <c r="D373" s="4" t="inlineStr">
        <is>
          <t>2</t>
        </is>
      </c>
      <c r="E373" s="13" t="n">
        <v>279.7</v>
      </c>
      <c r="F373" s="12" t="n">
        <v>0.1199989318847656</v>
      </c>
      <c r="G373" s="4" t="n">
        <v>0</v>
      </c>
      <c r="H373" s="4">
        <f>IF(OR(N(F373)&gt;=0.5,G373&gt;=4),3,IF(OR(N(F373)&gt;=0.3,G373=3),2,IF(OR(N(F373)&gt;=0.1,G373&gt;=1),1,0)))</f>
        <v/>
      </c>
      <c r="I373" s="4">
        <f>CHOOSE(H373+1,"Kein Risiko","Gering","Mittel","Hoch")</f>
        <v/>
      </c>
    </row>
    <row r="374">
      <c r="A374" s="4" t="n">
        <v>370</v>
      </c>
      <c r="B374" s="4" t="inlineStr">
        <is>
          <t>yes</t>
        </is>
      </c>
      <c r="C374" s="4" t="inlineStr">
        <is>
          <t>Provesthöhe</t>
        </is>
      </c>
      <c r="D374" s="4" t="inlineStr">
        <is>
          <t>3</t>
        </is>
      </c>
      <c r="E374" s="13" t="n">
        <v>222.4</v>
      </c>
      <c r="F374" s="12" t="n">
        <v>0</v>
      </c>
      <c r="G374" s="4" t="n">
        <v>0</v>
      </c>
      <c r="H374" s="4">
        <f>IF(OR(N(F374)&gt;=0.5,G374&gt;=4),3,IF(OR(N(F374)&gt;=0.3,G374=3),2,IF(OR(N(F374)&gt;=0.1,G374&gt;=1),1,0)))</f>
        <v/>
      </c>
      <c r="I374" s="4">
        <f>CHOOSE(H374+1,"Kein Risiko","Gering","Mittel","Hoch")</f>
        <v/>
      </c>
    </row>
    <row r="375">
      <c r="A375" s="4" t="n">
        <v>371</v>
      </c>
      <c r="B375" s="4" t="inlineStr">
        <is>
          <t>apartments</t>
        </is>
      </c>
      <c r="C375" s="4" t="inlineStr">
        <is>
          <t>Dixbäume</t>
        </is>
      </c>
      <c r="D375" s="4" t="inlineStr">
        <is>
          <t>21</t>
        </is>
      </c>
      <c r="E375" s="13" t="n">
        <v>187.7</v>
      </c>
      <c r="F375" s="12" t="n">
        <v>0</v>
      </c>
      <c r="G375" s="4" t="n">
        <v>0</v>
      </c>
      <c r="H375" s="4">
        <f>IF(OR(N(F375)&gt;=0.5,G375&gt;=4),3,IF(OR(N(F375)&gt;=0.3,G375=3),2,IF(OR(N(F375)&gt;=0.1,G375&gt;=1),1,0)))</f>
        <v/>
      </c>
      <c r="I375" s="4">
        <f>CHOOSE(H375+1,"Kein Risiko","Gering","Mittel","Hoch")</f>
        <v/>
      </c>
    </row>
    <row r="376">
      <c r="A376" s="4" t="n">
        <v>372</v>
      </c>
      <c r="B376" s="4" t="inlineStr">
        <is>
          <t>apartments</t>
        </is>
      </c>
      <c r="C376" s="4" t="inlineStr">
        <is>
          <t>Dixbäume</t>
        </is>
      </c>
      <c r="D376" s="4" t="inlineStr">
        <is>
          <t>23</t>
        </is>
      </c>
      <c r="E376" s="13" t="n">
        <v>119</v>
      </c>
      <c r="F376" s="12" t="n">
        <v>0</v>
      </c>
      <c r="G376" s="4" t="n">
        <v>0</v>
      </c>
      <c r="H376" s="4">
        <f>IF(OR(N(F376)&gt;=0.5,G376&gt;=4),3,IF(OR(N(F376)&gt;=0.3,G376=3),2,IF(OR(N(F376)&gt;=0.1,G376&gt;=1),1,0)))</f>
        <v/>
      </c>
      <c r="I376" s="4">
        <f>CHOOSE(H376+1,"Kein Risiko","Gering","Mittel","Hoch")</f>
        <v/>
      </c>
    </row>
    <row r="377">
      <c r="A377" s="4" t="n">
        <v>373</v>
      </c>
      <c r="B377" s="4" t="inlineStr">
        <is>
          <t>apartments</t>
        </is>
      </c>
      <c r="C377" s="4" t="inlineStr">
        <is>
          <t>Dixbäume</t>
        </is>
      </c>
      <c r="D377" s="4" t="inlineStr">
        <is>
          <t>25</t>
        </is>
      </c>
      <c r="E377" s="13" t="n">
        <v>132.4</v>
      </c>
      <c r="F377" s="12" t="n">
        <v>0</v>
      </c>
      <c r="G377" s="4" t="n">
        <v>1</v>
      </c>
      <c r="H377" s="4">
        <f>IF(OR(N(F377)&gt;=0.5,G377&gt;=4),3,IF(OR(N(F377)&gt;=0.3,G377=3),2,IF(OR(N(F377)&gt;=0.1,G377&gt;=1),1,0)))</f>
        <v/>
      </c>
      <c r="I377" s="4">
        <f>CHOOSE(H377+1,"Kein Risiko","Gering","Mittel","Hoch")</f>
        <v/>
      </c>
    </row>
    <row r="378">
      <c r="A378" s="4" t="n">
        <v>374</v>
      </c>
      <c r="B378" s="4" t="inlineStr">
        <is>
          <t>apartments</t>
        </is>
      </c>
      <c r="C378" s="4" t="inlineStr">
        <is>
          <t>Dixbäume</t>
        </is>
      </c>
      <c r="D378" s="4" t="inlineStr">
        <is>
          <t>27</t>
        </is>
      </c>
      <c r="E378" s="13" t="n">
        <v>132.4</v>
      </c>
      <c r="F378" s="12" t="n">
        <v>0.0800018310546875</v>
      </c>
      <c r="G378" s="4" t="n">
        <v>1</v>
      </c>
      <c r="H378" s="4">
        <f>IF(OR(N(F378)&gt;=0.5,G378&gt;=4),3,IF(OR(N(F378)&gt;=0.3,G378=3),2,IF(OR(N(F378)&gt;=0.1,G378&gt;=1),1,0)))</f>
        <v/>
      </c>
      <c r="I378" s="4">
        <f>CHOOSE(H378+1,"Kein Risiko","Gering","Mittel","Hoch")</f>
        <v/>
      </c>
    </row>
    <row r="379">
      <c r="A379" s="4" t="n">
        <v>375</v>
      </c>
      <c r="B379" s="4" t="inlineStr">
        <is>
          <t>yes</t>
        </is>
      </c>
      <c r="C379" s="4" t="inlineStr">
        <is>
          <t>Deilbachufer</t>
        </is>
      </c>
      <c r="D379" s="4" t="inlineStr">
        <is>
          <t>10</t>
        </is>
      </c>
      <c r="E379" s="13" t="n">
        <v>190.3</v>
      </c>
      <c r="F379" s="12" t="n">
        <v>0.03000259399414062</v>
      </c>
      <c r="G379" s="4" t="n">
        <v>0</v>
      </c>
      <c r="H379" s="4">
        <f>IF(OR(N(F379)&gt;=0.5,G379&gt;=4),3,IF(OR(N(F379)&gt;=0.3,G379=3),2,IF(OR(N(F379)&gt;=0.1,G379&gt;=1),1,0)))</f>
        <v/>
      </c>
      <c r="I379" s="4">
        <f>CHOOSE(H379+1,"Kein Risiko","Gering","Mittel","Hoch")</f>
        <v/>
      </c>
    </row>
    <row r="380">
      <c r="A380" s="4" t="n">
        <v>376</v>
      </c>
      <c r="B380" s="4" t="inlineStr">
        <is>
          <t>yes</t>
        </is>
      </c>
      <c r="C380" s="4" t="inlineStr">
        <is>
          <t>Deilbachufer</t>
        </is>
      </c>
      <c r="D380" s="4" t="inlineStr">
        <is>
          <t>2a</t>
        </is>
      </c>
      <c r="E380" s="13" t="n">
        <v>102.5</v>
      </c>
      <c r="F380" s="12" t="n">
        <v>0.8199996948242188</v>
      </c>
      <c r="G380" s="4" t="n">
        <v>0</v>
      </c>
      <c r="H380" s="4">
        <f>IF(OR(N(F380)&gt;=0.5,G380&gt;=4),3,IF(OR(N(F380)&gt;=0.3,G380=3),2,IF(OR(N(F380)&gt;=0.1,G380&gt;=1),1,0)))</f>
        <v/>
      </c>
      <c r="I380" s="4">
        <f>CHOOSE(H380+1,"Kein Risiko","Gering","Mittel","Hoch")</f>
        <v/>
      </c>
    </row>
    <row r="381">
      <c r="A381" s="4" t="n">
        <v>377</v>
      </c>
      <c r="B381" s="4" t="inlineStr">
        <is>
          <t>yes</t>
        </is>
      </c>
      <c r="C381" s="4" t="inlineStr">
        <is>
          <t>Deilbachufer</t>
        </is>
      </c>
      <c r="D381" s="4" t="inlineStr">
        <is>
          <t>6</t>
        </is>
      </c>
      <c r="E381" s="13" t="n">
        <v>149</v>
      </c>
      <c r="F381" s="12" t="n">
        <v>0.1699981689453125</v>
      </c>
      <c r="G381" s="4" t="n">
        <v>0</v>
      </c>
      <c r="H381" s="4">
        <f>IF(OR(N(F381)&gt;=0.5,G381&gt;=4),3,IF(OR(N(F381)&gt;=0.3,G381=3),2,IF(OR(N(F381)&gt;=0.1,G381&gt;=1),1,0)))</f>
        <v/>
      </c>
      <c r="I381" s="4">
        <f>CHOOSE(H381+1,"Kein Risiko","Gering","Mittel","Hoch")</f>
        <v/>
      </c>
    </row>
    <row r="382">
      <c r="A382" s="4" t="n">
        <v>378</v>
      </c>
      <c r="B382" s="4" t="inlineStr">
        <is>
          <t>apartments</t>
        </is>
      </c>
      <c r="C382" s="4" t="inlineStr">
        <is>
          <t>Deilbachufer</t>
        </is>
      </c>
      <c r="D382" s="4" t="inlineStr">
        <is>
          <t>14</t>
        </is>
      </c>
      <c r="E382" s="13" t="n">
        <v>298.9</v>
      </c>
      <c r="F382" s="12" t="n">
        <v>0.01000213623046875</v>
      </c>
      <c r="G382" s="4" t="n">
        <v>0</v>
      </c>
      <c r="H382" s="4">
        <f>IF(OR(N(F382)&gt;=0.5,G382&gt;=4),3,IF(OR(N(F382)&gt;=0.3,G382=3),2,IF(OR(N(F382)&gt;=0.1,G382&gt;=1),1,0)))</f>
        <v/>
      </c>
      <c r="I382" s="4">
        <f>CHOOSE(H382+1,"Kein Risiko","Gering","Mittel","Hoch")</f>
        <v/>
      </c>
    </row>
    <row r="383">
      <c r="A383" s="4" t="n">
        <v>379</v>
      </c>
      <c r="B383" s="4" t="inlineStr">
        <is>
          <t>yes</t>
        </is>
      </c>
      <c r="C383" s="4" t="inlineStr">
        <is>
          <t>Deilbachufer</t>
        </is>
      </c>
      <c r="D383" s="4" t="inlineStr">
        <is>
          <t>26</t>
        </is>
      </c>
      <c r="E383" s="13" t="n">
        <v>174.4</v>
      </c>
      <c r="F383" s="12" t="n">
        <v>0.02000045776367188</v>
      </c>
      <c r="G383" s="4" t="n">
        <v>0</v>
      </c>
      <c r="H383" s="4">
        <f>IF(OR(N(F383)&gt;=0.5,G383&gt;=4),3,IF(OR(N(F383)&gt;=0.3,G383=3),2,IF(OR(N(F383)&gt;=0.1,G383&gt;=1),1,0)))</f>
        <v/>
      </c>
      <c r="I383" s="4">
        <f>CHOOSE(H383+1,"Kein Risiko","Gering","Mittel","Hoch")</f>
        <v/>
      </c>
    </row>
    <row r="384">
      <c r="A384" s="4" t="n">
        <v>380</v>
      </c>
      <c r="B384" s="4" t="inlineStr">
        <is>
          <t>ruins</t>
        </is>
      </c>
      <c r="C384" s="4" t="inlineStr">
        <is>
          <t>Frauenstein</t>
        </is>
      </c>
      <c r="D384" s="4" t="inlineStr">
        <is>
          <t>123</t>
        </is>
      </c>
      <c r="E384" s="13" t="n">
        <v>157.5</v>
      </c>
      <c r="F384" s="12" t="n">
        <v>0.5100021362304688</v>
      </c>
      <c r="G384" s="4" t="n">
        <v>0</v>
      </c>
      <c r="H384" s="4">
        <f>IF(OR(N(F384)&gt;=0.5,G384&gt;=4),3,IF(OR(N(F384)&gt;=0.3,G384=3),2,IF(OR(N(F384)&gt;=0.1,G384&gt;=1),1,0)))</f>
        <v/>
      </c>
      <c r="I384" s="4">
        <f>CHOOSE(H384+1,"Kein Risiko","Gering","Mittel","Hoch")</f>
        <v/>
      </c>
    </row>
    <row r="385">
      <c r="A385" s="4" t="n">
        <v>381</v>
      </c>
      <c r="B385" s="4" t="inlineStr">
        <is>
          <t>yes</t>
        </is>
      </c>
      <c r="C385" s="4" t="inlineStr">
        <is>
          <t>Deilbachufer</t>
        </is>
      </c>
      <c r="D385" s="4" t="inlineStr">
        <is>
          <t>4</t>
        </is>
      </c>
      <c r="E385" s="13" t="n">
        <v>165.4</v>
      </c>
      <c r="F385" s="12" t="n">
        <v>0</v>
      </c>
      <c r="G385" s="4" t="n">
        <v>0</v>
      </c>
      <c r="H385" s="4">
        <f>IF(OR(N(F385)&gt;=0.5,G385&gt;=4),3,IF(OR(N(F385)&gt;=0.3,G385=3),2,IF(OR(N(F385)&gt;=0.1,G385&gt;=1),1,0)))</f>
        <v/>
      </c>
      <c r="I385" s="4">
        <f>CHOOSE(H385+1,"Kein Risiko","Gering","Mittel","Hoch")</f>
        <v/>
      </c>
    </row>
    <row r="386">
      <c r="A386" s="4" t="n">
        <v>382</v>
      </c>
      <c r="B386" s="4" t="inlineStr">
        <is>
          <t>ruins</t>
        </is>
      </c>
      <c r="C386" s="4" t="inlineStr">
        <is>
          <t>Frauenstein</t>
        </is>
      </c>
      <c r="D386" s="4" t="inlineStr">
        <is>
          <t>127</t>
        </is>
      </c>
      <c r="E386" s="13" t="n">
        <v>132</v>
      </c>
      <c r="F386" s="12" t="n">
        <v>0.029998779296875</v>
      </c>
      <c r="G386" s="4" t="n">
        <v>0</v>
      </c>
      <c r="H386" s="4">
        <f>IF(OR(N(F386)&gt;=0.5,G386&gt;=4),3,IF(OR(N(F386)&gt;=0.3,G386=3),2,IF(OR(N(F386)&gt;=0.1,G386&gt;=1),1,0)))</f>
        <v/>
      </c>
      <c r="I386" s="4">
        <f>CHOOSE(H386+1,"Kein Risiko","Gering","Mittel","Hoch")</f>
        <v/>
      </c>
    </row>
    <row r="387">
      <c r="A387" s="4" t="n">
        <v>383</v>
      </c>
      <c r="B387" s="4" t="inlineStr">
        <is>
          <t>apartments</t>
        </is>
      </c>
      <c r="C387" s="4" t="inlineStr"/>
      <c r="D387" s="4" t="inlineStr"/>
      <c r="E387" s="13" t="n">
        <v>164.7</v>
      </c>
      <c r="F387" s="12" t="n">
        <v>0.029998779296875</v>
      </c>
      <c r="G387" s="4" t="n">
        <v>0</v>
      </c>
      <c r="H387" s="4">
        <f>IF(OR(N(F387)&gt;=0.5,G387&gt;=4),3,IF(OR(N(F387)&gt;=0.3,G387=3),2,IF(OR(N(F387)&gt;=0.1,G387&gt;=1),1,0)))</f>
        <v/>
      </c>
      <c r="I387" s="4">
        <f>CHOOSE(H387+1,"Kein Risiko","Gering","Mittel","Hoch")</f>
        <v/>
      </c>
    </row>
    <row r="388">
      <c r="A388" s="4" t="n">
        <v>384</v>
      </c>
      <c r="B388" s="4" t="inlineStr">
        <is>
          <t>ruins</t>
        </is>
      </c>
      <c r="C388" s="4" t="inlineStr">
        <is>
          <t>Frauenstein</t>
        </is>
      </c>
      <c r="D388" s="4" t="inlineStr">
        <is>
          <t>125</t>
        </is>
      </c>
      <c r="E388" s="13" t="n">
        <v>145.6</v>
      </c>
      <c r="F388" s="12" t="n">
        <v>0.029998779296875</v>
      </c>
      <c r="G388" s="4" t="n">
        <v>0</v>
      </c>
      <c r="H388" s="4">
        <f>IF(OR(N(F388)&gt;=0.5,G388&gt;=4),3,IF(OR(N(F388)&gt;=0.3,G388=3),2,IF(OR(N(F388)&gt;=0.1,G388&gt;=1),1,0)))</f>
        <v/>
      </c>
      <c r="I388" s="4">
        <f>CHOOSE(H388+1,"Kein Risiko","Gering","Mittel","Hoch")</f>
        <v/>
      </c>
    </row>
    <row r="389">
      <c r="A389" s="4" t="n">
        <v>385</v>
      </c>
      <c r="B389" s="4" t="inlineStr">
        <is>
          <t>yes</t>
        </is>
      </c>
      <c r="C389" s="4" t="inlineStr">
        <is>
          <t>Deilbachufer</t>
        </is>
      </c>
      <c r="D389" s="4" t="inlineStr">
        <is>
          <t>28</t>
        </is>
      </c>
      <c r="E389" s="13" t="n">
        <v>123.9</v>
      </c>
      <c r="F389" s="12" t="n">
        <v>0</v>
      </c>
      <c r="G389" s="4" t="n">
        <v>0</v>
      </c>
      <c r="H389" s="4">
        <f>IF(OR(N(F389)&gt;=0.5,G389&gt;=4),3,IF(OR(N(F389)&gt;=0.3,G389=3),2,IF(OR(N(F389)&gt;=0.1,G389&gt;=1),1,0)))</f>
        <v/>
      </c>
      <c r="I389" s="4">
        <f>CHOOSE(H389+1,"Kein Risiko","Gering","Mittel","Hoch")</f>
        <v/>
      </c>
    </row>
    <row r="390">
      <c r="A390" s="4" t="n">
        <v>386</v>
      </c>
      <c r="B390" s="4" t="inlineStr">
        <is>
          <t>yes</t>
        </is>
      </c>
      <c r="C390" s="4" t="inlineStr">
        <is>
          <t>Deilbachufer</t>
        </is>
      </c>
      <c r="D390" s="4" t="inlineStr">
        <is>
          <t>2</t>
        </is>
      </c>
      <c r="E390" s="13" t="n">
        <v>117.3</v>
      </c>
      <c r="F390" s="12" t="n">
        <v>0.69000244140625</v>
      </c>
      <c r="G390" s="4" t="n">
        <v>0</v>
      </c>
      <c r="H390" s="4">
        <f>IF(OR(N(F390)&gt;=0.5,G390&gt;=4),3,IF(OR(N(F390)&gt;=0.3,G390=3),2,IF(OR(N(F390)&gt;=0.1,G390&gt;=1),1,0)))</f>
        <v/>
      </c>
      <c r="I390" s="4">
        <f>CHOOSE(H390+1,"Kein Risiko","Gering","Mittel","Hoch")</f>
        <v/>
      </c>
    </row>
    <row r="391">
      <c r="A391" s="4" t="n">
        <v>387</v>
      </c>
      <c r="B391" s="4" t="inlineStr">
        <is>
          <t>yes</t>
        </is>
      </c>
      <c r="C391" s="4" t="inlineStr"/>
      <c r="D391" s="4" t="inlineStr"/>
      <c r="E391" s="13" t="n">
        <v>56</v>
      </c>
      <c r="F391" s="12" t="n">
        <v>0.4799995422363281</v>
      </c>
      <c r="G391" s="4" t="n">
        <v>0</v>
      </c>
      <c r="H391" s="4">
        <f>IF(OR(N(F391)&gt;=0.5,G391&gt;=4),3,IF(OR(N(F391)&gt;=0.3,G391=3),2,IF(OR(N(F391)&gt;=0.1,G391&gt;=1),1,0)))</f>
        <v/>
      </c>
      <c r="I391" s="4">
        <f>CHOOSE(H391+1,"Kein Risiko","Gering","Mittel","Hoch")</f>
        <v/>
      </c>
    </row>
    <row r="392">
      <c r="A392" s="4" t="n">
        <v>388</v>
      </c>
      <c r="B392" s="4" t="inlineStr">
        <is>
          <t>ruins</t>
        </is>
      </c>
      <c r="C392" s="4" t="inlineStr">
        <is>
          <t>Frauenstein</t>
        </is>
      </c>
      <c r="D392" s="4" t="inlineStr">
        <is>
          <t>131</t>
        </is>
      </c>
      <c r="E392" s="13" t="n">
        <v>109.2</v>
      </c>
      <c r="F392" s="12" t="n">
        <v>0.05999755859375</v>
      </c>
      <c r="G392" s="4" t="n">
        <v>0</v>
      </c>
      <c r="H392" s="4">
        <f>IF(OR(N(F392)&gt;=0.5,G392&gt;=4),3,IF(OR(N(F392)&gt;=0.3,G392=3),2,IF(OR(N(F392)&gt;=0.1,G392&gt;=1),1,0)))</f>
        <v/>
      </c>
      <c r="I392" s="4">
        <f>CHOOSE(H392+1,"Kein Risiko","Gering","Mittel","Hoch")</f>
        <v/>
      </c>
    </row>
    <row r="393">
      <c r="A393" s="4" t="n">
        <v>389</v>
      </c>
      <c r="B393" s="4" t="inlineStr">
        <is>
          <t>ruins</t>
        </is>
      </c>
      <c r="C393" s="4" t="inlineStr">
        <is>
          <t>Frauenstein</t>
        </is>
      </c>
      <c r="D393" s="4" t="inlineStr">
        <is>
          <t>135</t>
        </is>
      </c>
      <c r="E393" s="13" t="n">
        <v>239.3</v>
      </c>
      <c r="F393" s="12" t="n">
        <v>0.05999755859375</v>
      </c>
      <c r="G393" s="4" t="n">
        <v>0</v>
      </c>
      <c r="H393" s="4">
        <f>IF(OR(N(F393)&gt;=0.5,G393&gt;=4),3,IF(OR(N(F393)&gt;=0.3,G393=3),2,IF(OR(N(F393)&gt;=0.1,G393&gt;=1),1,0)))</f>
        <v/>
      </c>
      <c r="I393" s="4">
        <f>CHOOSE(H393+1,"Kein Risiko","Gering","Mittel","Hoch")</f>
        <v/>
      </c>
    </row>
    <row r="394">
      <c r="A394" s="4" t="n">
        <v>390</v>
      </c>
      <c r="B394" s="4" t="inlineStr">
        <is>
          <t>ruins</t>
        </is>
      </c>
      <c r="C394" s="4" t="inlineStr">
        <is>
          <t>Frauenstein</t>
        </is>
      </c>
      <c r="D394" s="4" t="inlineStr">
        <is>
          <t>129</t>
        </is>
      </c>
      <c r="E394" s="13" t="n">
        <v>234</v>
      </c>
      <c r="F394" s="12" t="n">
        <v>0.2900009155273438</v>
      </c>
      <c r="G394" s="4" t="n">
        <v>0</v>
      </c>
      <c r="H394" s="4">
        <f>IF(OR(N(F394)&gt;=0.5,G394&gt;=4),3,IF(OR(N(F394)&gt;=0.3,G394=3),2,IF(OR(N(F394)&gt;=0.1,G394&gt;=1),1,0)))</f>
        <v/>
      </c>
      <c r="I394" s="4">
        <f>CHOOSE(H394+1,"Kein Risiko","Gering","Mittel","Hoch")</f>
        <v/>
      </c>
    </row>
    <row r="395">
      <c r="A395" s="4" t="n">
        <v>391</v>
      </c>
      <c r="B395" s="4" t="inlineStr">
        <is>
          <t>yes</t>
        </is>
      </c>
      <c r="C395" s="4" t="inlineStr">
        <is>
          <t>Dilldorfer Straße</t>
        </is>
      </c>
      <c r="D395" s="4" t="inlineStr">
        <is>
          <t>5</t>
        </is>
      </c>
      <c r="E395" s="13" t="n">
        <v>180</v>
      </c>
      <c r="F395" s="12" t="n">
        <v>0.009998321533203125</v>
      </c>
      <c r="G395" s="4" t="n">
        <v>4</v>
      </c>
      <c r="H395" s="4">
        <f>IF(OR(N(F395)&gt;=0.5,G395&gt;=4),3,IF(OR(N(F395)&gt;=0.3,G395=3),2,IF(OR(N(F395)&gt;=0.1,G395&gt;=1),1,0)))</f>
        <v/>
      </c>
      <c r="I395" s="4">
        <f>CHOOSE(H395+1,"Kein Risiko","Gering","Mittel","Hoch")</f>
        <v/>
      </c>
    </row>
    <row r="396">
      <c r="A396" s="4" t="n">
        <v>392</v>
      </c>
      <c r="B396" s="4" t="inlineStr">
        <is>
          <t>apartments</t>
        </is>
      </c>
      <c r="C396" s="4" t="inlineStr">
        <is>
          <t>Deilbachtal</t>
        </is>
      </c>
      <c r="D396" s="4" t="inlineStr">
        <is>
          <t>4</t>
        </is>
      </c>
      <c r="E396" s="13" t="n">
        <v>246.7</v>
      </c>
      <c r="F396" s="12" t="n">
        <v>0.06999969482421875</v>
      </c>
      <c r="G396" s="4" t="n">
        <v>0</v>
      </c>
      <c r="H396" s="4">
        <f>IF(OR(N(F396)&gt;=0.5,G396&gt;=4),3,IF(OR(N(F396)&gt;=0.3,G396=3),2,IF(OR(N(F396)&gt;=0.1,G396&gt;=1),1,0)))</f>
        <v/>
      </c>
      <c r="I396" s="4">
        <f>CHOOSE(H396+1,"Kein Risiko","Gering","Mittel","Hoch")</f>
        <v/>
      </c>
    </row>
    <row r="397">
      <c r="A397" s="4" t="n">
        <v>393</v>
      </c>
      <c r="B397" s="4" t="inlineStr">
        <is>
          <t>apartments</t>
        </is>
      </c>
      <c r="C397" s="4" t="inlineStr">
        <is>
          <t>Dilldorfer Straße</t>
        </is>
      </c>
      <c r="D397" s="4" t="inlineStr">
        <is>
          <t>11</t>
        </is>
      </c>
      <c r="E397" s="13" t="n">
        <v>236.4</v>
      </c>
      <c r="F397" s="12" t="n">
        <v>0</v>
      </c>
      <c r="G397" s="4" t="n">
        <v>0</v>
      </c>
      <c r="H397" s="4">
        <f>IF(OR(N(F397)&gt;=0.5,G397&gt;=4),3,IF(OR(N(F397)&gt;=0.3,G397=3),2,IF(OR(N(F397)&gt;=0.1,G397&gt;=1),1,0)))</f>
        <v/>
      </c>
      <c r="I397" s="4">
        <f>CHOOSE(H397+1,"Kein Risiko","Gering","Mittel","Hoch")</f>
        <v/>
      </c>
    </row>
    <row r="398">
      <c r="A398" s="4" t="n">
        <v>394</v>
      </c>
      <c r="B398" s="4" t="inlineStr">
        <is>
          <t>yes</t>
        </is>
      </c>
      <c r="C398" s="4" t="inlineStr">
        <is>
          <t>Möllneyer Ufer</t>
        </is>
      </c>
      <c r="D398" s="4" t="inlineStr">
        <is>
          <t>19</t>
        </is>
      </c>
      <c r="E398" s="13" t="n">
        <v>226.9</v>
      </c>
      <c r="F398" s="12" t="n">
        <v>1.049999237060547</v>
      </c>
      <c r="G398" s="4" t="n">
        <v>0</v>
      </c>
      <c r="H398" s="4">
        <f>IF(OR(N(F398)&gt;=0.5,G398&gt;=4),3,IF(OR(N(F398)&gt;=0.3,G398=3),2,IF(OR(N(F398)&gt;=0.1,G398&gt;=1),1,0)))</f>
        <v/>
      </c>
      <c r="I398" s="4">
        <f>CHOOSE(H398+1,"Kein Risiko","Gering","Mittel","Hoch")</f>
        <v/>
      </c>
    </row>
    <row r="399">
      <c r="A399" s="4" t="n">
        <v>395</v>
      </c>
      <c r="B399" s="4" t="inlineStr">
        <is>
          <t>yes</t>
        </is>
      </c>
      <c r="C399" s="4" t="inlineStr">
        <is>
          <t>Kupferdreher Straße</t>
        </is>
      </c>
      <c r="D399" s="4" t="inlineStr">
        <is>
          <t>294</t>
        </is>
      </c>
      <c r="E399" s="13" t="n">
        <v>115.2</v>
      </c>
      <c r="F399" s="12" t="n">
        <v>0</v>
      </c>
      <c r="G399" s="4" t="n">
        <v>0</v>
      </c>
      <c r="H399" s="4">
        <f>IF(OR(N(F399)&gt;=0.5,G399&gt;=4),3,IF(OR(N(F399)&gt;=0.3,G399=3),2,IF(OR(N(F399)&gt;=0.1,G399&gt;=1),1,0)))</f>
        <v/>
      </c>
      <c r="I399" s="4">
        <f>CHOOSE(H399+1,"Kein Risiko","Gering","Mittel","Hoch")</f>
        <v/>
      </c>
    </row>
    <row r="400">
      <c r="A400" s="4" t="n">
        <v>396</v>
      </c>
      <c r="B400" s="4" t="inlineStr">
        <is>
          <t>yes</t>
        </is>
      </c>
      <c r="C400" s="4" t="inlineStr">
        <is>
          <t>Kupferdreher Straße</t>
        </is>
      </c>
      <c r="D400" s="4" t="inlineStr">
        <is>
          <t>284</t>
        </is>
      </c>
      <c r="E400" s="13" t="n">
        <v>163.3</v>
      </c>
      <c r="F400" s="12" t="n">
        <v>0.07999801635742188</v>
      </c>
      <c r="G400" s="4" t="n">
        <v>0</v>
      </c>
      <c r="H400" s="4">
        <f>IF(OR(N(F400)&gt;=0.5,G400&gt;=4),3,IF(OR(N(F400)&gt;=0.3,G400=3),2,IF(OR(N(F400)&gt;=0.1,G400&gt;=1),1,0)))</f>
        <v/>
      </c>
      <c r="I400" s="4">
        <f>CHOOSE(H400+1,"Kein Risiko","Gering","Mittel","Hoch")</f>
        <v/>
      </c>
    </row>
    <row r="401">
      <c r="A401" s="4" t="n">
        <v>397</v>
      </c>
      <c r="B401" s="4" t="inlineStr">
        <is>
          <t>yes</t>
        </is>
      </c>
      <c r="C401" s="4" t="inlineStr">
        <is>
          <t>Kupferdreher Straße</t>
        </is>
      </c>
      <c r="D401" s="4" t="inlineStr">
        <is>
          <t>271</t>
        </is>
      </c>
      <c r="E401" s="13" t="n">
        <v>163.1</v>
      </c>
      <c r="F401" s="12" t="n">
        <v>0</v>
      </c>
      <c r="G401" s="4" t="n">
        <v>4</v>
      </c>
      <c r="H401" s="4">
        <f>IF(OR(N(F401)&gt;=0.5,G401&gt;=4),3,IF(OR(N(F401)&gt;=0.3,G401=3),2,IF(OR(N(F401)&gt;=0.1,G401&gt;=1),1,0)))</f>
        <v/>
      </c>
      <c r="I401" s="4">
        <f>CHOOSE(H401+1,"Kein Risiko","Gering","Mittel","Hoch")</f>
        <v/>
      </c>
    </row>
    <row r="402">
      <c r="A402" s="4" t="n">
        <v>398</v>
      </c>
      <c r="B402" s="4" t="inlineStr">
        <is>
          <t>apartments</t>
        </is>
      </c>
      <c r="C402" s="4" t="inlineStr">
        <is>
          <t>Kupferdreher Straße</t>
        </is>
      </c>
      <c r="D402" s="4" t="inlineStr">
        <is>
          <t>276</t>
        </is>
      </c>
      <c r="E402" s="13" t="n">
        <v>243.4</v>
      </c>
      <c r="F402" s="12" t="n">
        <v>0.03000259399414062</v>
      </c>
      <c r="G402" s="4" t="n">
        <v>0</v>
      </c>
      <c r="H402" s="4">
        <f>IF(OR(N(F402)&gt;=0.5,G402&gt;=4),3,IF(OR(N(F402)&gt;=0.3,G402=3),2,IF(OR(N(F402)&gt;=0.1,G402&gt;=1),1,0)))</f>
        <v/>
      </c>
      <c r="I402" s="4">
        <f>CHOOSE(H402+1,"Kein Risiko","Gering","Mittel","Hoch")</f>
        <v/>
      </c>
    </row>
    <row r="403">
      <c r="A403" s="4" t="n">
        <v>399</v>
      </c>
      <c r="B403" s="4" t="inlineStr">
        <is>
          <t>yes</t>
        </is>
      </c>
      <c r="C403" s="4" t="inlineStr">
        <is>
          <t>Kupferdreher Straße</t>
        </is>
      </c>
      <c r="D403" s="4" t="inlineStr">
        <is>
          <t>268</t>
        </is>
      </c>
      <c r="E403" s="13" t="n">
        <v>163.3</v>
      </c>
      <c r="F403" s="12" t="n">
        <v>0.009998321533203125</v>
      </c>
      <c r="G403" s="4" t="n">
        <v>0</v>
      </c>
      <c r="H403" s="4">
        <f>IF(OR(N(F403)&gt;=0.5,G403&gt;=4),3,IF(OR(N(F403)&gt;=0.3,G403=3),2,IF(OR(N(F403)&gt;=0.1,G403&gt;=1),1,0)))</f>
        <v/>
      </c>
      <c r="I403" s="4">
        <f>CHOOSE(H403+1,"Kein Risiko","Gering","Mittel","Hoch")</f>
        <v/>
      </c>
    </row>
    <row r="404">
      <c r="A404" s="4" t="n">
        <v>400</v>
      </c>
      <c r="B404" s="4" t="inlineStr">
        <is>
          <t>yes</t>
        </is>
      </c>
      <c r="C404" s="4" t="inlineStr">
        <is>
          <t>Kupferdreher Straße</t>
        </is>
      </c>
      <c r="D404" s="4" t="inlineStr">
        <is>
          <t>292</t>
        </is>
      </c>
      <c r="E404" s="13" t="n">
        <v>119.5</v>
      </c>
      <c r="F404" s="12" t="n">
        <v>0.1299972534179688</v>
      </c>
      <c r="G404" s="4" t="n">
        <v>0</v>
      </c>
      <c r="H404" s="4">
        <f>IF(OR(N(F404)&gt;=0.5,G404&gt;=4),3,IF(OR(N(F404)&gt;=0.3,G404=3),2,IF(OR(N(F404)&gt;=0.1,G404&gt;=1),1,0)))</f>
        <v/>
      </c>
      <c r="I404" s="4">
        <f>CHOOSE(H404+1,"Kein Risiko","Gering","Mittel","Hoch")</f>
        <v/>
      </c>
    </row>
    <row r="405">
      <c r="A405" s="4" t="n">
        <v>401</v>
      </c>
      <c r="B405" s="4" t="inlineStr">
        <is>
          <t>yes</t>
        </is>
      </c>
      <c r="C405" s="4" t="inlineStr">
        <is>
          <t>Möllneyer Ufer</t>
        </is>
      </c>
      <c r="D405" s="4" t="inlineStr">
        <is>
          <t>23</t>
        </is>
      </c>
      <c r="E405" s="13" t="n">
        <v>204.2</v>
      </c>
      <c r="F405" s="12" t="n">
        <v>0.0800018310546875</v>
      </c>
      <c r="G405" s="4" t="n">
        <v>0</v>
      </c>
      <c r="H405" s="4">
        <f>IF(OR(N(F405)&gt;=0.5,G405&gt;=4),3,IF(OR(N(F405)&gt;=0.3,G405=3),2,IF(OR(N(F405)&gt;=0.1,G405&gt;=1),1,0)))</f>
        <v/>
      </c>
      <c r="I405" s="4">
        <f>CHOOSE(H405+1,"Kein Risiko","Gering","Mittel","Hoch")</f>
        <v/>
      </c>
    </row>
    <row r="406">
      <c r="A406" s="4" t="n">
        <v>402</v>
      </c>
      <c r="B406" s="4" t="inlineStr">
        <is>
          <t>yes</t>
        </is>
      </c>
      <c r="C406" s="4" t="inlineStr">
        <is>
          <t>Kupferdreher Straße</t>
        </is>
      </c>
      <c r="D406" s="4" t="inlineStr">
        <is>
          <t>282</t>
        </is>
      </c>
      <c r="E406" s="13" t="n">
        <v>237.2</v>
      </c>
      <c r="F406" s="12" t="n">
        <v>0.9799995422363281</v>
      </c>
      <c r="G406" s="4" t="n">
        <v>0</v>
      </c>
      <c r="H406" s="4">
        <f>IF(OR(N(F406)&gt;=0.5,G406&gt;=4),3,IF(OR(N(F406)&gt;=0.3,G406=3),2,IF(OR(N(F406)&gt;=0.1,G406&gt;=1),1,0)))</f>
        <v/>
      </c>
      <c r="I406" s="4">
        <f>CHOOSE(H406+1,"Kein Risiko","Gering","Mittel","Hoch")</f>
        <v/>
      </c>
    </row>
    <row r="407">
      <c r="A407" s="4" t="n">
        <v>403</v>
      </c>
      <c r="B407" s="4" t="inlineStr">
        <is>
          <t>yes</t>
        </is>
      </c>
      <c r="C407" s="4" t="inlineStr">
        <is>
          <t>Kupferdreher Straße</t>
        </is>
      </c>
      <c r="D407" s="4" t="inlineStr">
        <is>
          <t>286</t>
        </is>
      </c>
      <c r="E407" s="13" t="n">
        <v>201.8</v>
      </c>
      <c r="F407" s="12" t="n">
        <v>0.1599998474121094</v>
      </c>
      <c r="G407" s="4" t="n">
        <v>0</v>
      </c>
      <c r="H407" s="4">
        <f>IF(OR(N(F407)&gt;=0.5,G407&gt;=4),3,IF(OR(N(F407)&gt;=0.3,G407=3),2,IF(OR(N(F407)&gt;=0.1,G407&gt;=1),1,0)))</f>
        <v/>
      </c>
      <c r="I407" s="4">
        <f>CHOOSE(H407+1,"Kein Risiko","Gering","Mittel","Hoch")</f>
        <v/>
      </c>
    </row>
    <row r="408">
      <c r="A408" s="4" t="n">
        <v>404</v>
      </c>
      <c r="B408" s="4" t="inlineStr">
        <is>
          <t>yes</t>
        </is>
      </c>
      <c r="C408" s="4" t="inlineStr">
        <is>
          <t>Reulsbergweg</t>
        </is>
      </c>
      <c r="D408" s="4" t="inlineStr">
        <is>
          <t>84</t>
        </is>
      </c>
      <c r="E408" s="13" t="n">
        <v>657.7</v>
      </c>
      <c r="F408" s="12" t="n">
        <v>0.1599960327148438</v>
      </c>
      <c r="G408" s="4" t="n">
        <v>2</v>
      </c>
      <c r="H408" s="4">
        <f>IF(OR(N(F408)&gt;=0.5,G408&gt;=4),3,IF(OR(N(F408)&gt;=0.3,G408=3),2,IF(OR(N(F408)&gt;=0.1,G408&gt;=1),1,0)))</f>
        <v/>
      </c>
      <c r="I408" s="4">
        <f>CHOOSE(H408+1,"Kein Risiko","Gering","Mittel","Hoch")</f>
        <v/>
      </c>
    </row>
    <row r="409">
      <c r="A409" s="4" t="n">
        <v>405</v>
      </c>
      <c r="B409" s="4" t="inlineStr">
        <is>
          <t>yes</t>
        </is>
      </c>
      <c r="C409" s="4" t="inlineStr"/>
      <c r="D409" s="4" t="inlineStr"/>
      <c r="E409" s="13" t="n">
        <v>826.3</v>
      </c>
      <c r="F409" s="12" t="n">
        <v>0.2099990844726562</v>
      </c>
      <c r="G409" s="4" t="n">
        <v>3</v>
      </c>
      <c r="H409" s="4">
        <f>IF(OR(N(F409)&gt;=0.5,G409&gt;=4),3,IF(OR(N(F409)&gt;=0.3,G409=3),2,IF(OR(N(F409)&gt;=0.1,G409&gt;=1),1,0)))</f>
        <v/>
      </c>
      <c r="I409" s="4">
        <f>CHOOSE(H409+1,"Kein Risiko","Gering","Mittel","Hoch")</f>
        <v/>
      </c>
    </row>
    <row r="410">
      <c r="A410" s="4" t="n">
        <v>406</v>
      </c>
      <c r="B410" s="4" t="inlineStr">
        <is>
          <t>yes</t>
        </is>
      </c>
      <c r="C410" s="4" t="inlineStr">
        <is>
          <t>Kupferdreher Straße</t>
        </is>
      </c>
      <c r="D410" s="4" t="inlineStr">
        <is>
          <t>269a</t>
        </is>
      </c>
      <c r="E410" s="13" t="n">
        <v>241</v>
      </c>
      <c r="F410" s="12" t="n">
        <v>0.06999969482421875</v>
      </c>
      <c r="G410" s="4" t="n">
        <v>1</v>
      </c>
      <c r="H410" s="4">
        <f>IF(OR(N(F410)&gt;=0.5,G410&gt;=4),3,IF(OR(N(F410)&gt;=0.3,G410=3),2,IF(OR(N(F410)&gt;=0.1,G410&gt;=1),1,0)))</f>
        <v/>
      </c>
      <c r="I410" s="4">
        <f>CHOOSE(H410+1,"Kein Risiko","Gering","Mittel","Hoch")</f>
        <v/>
      </c>
    </row>
    <row r="411">
      <c r="A411" s="4" t="n">
        <v>407</v>
      </c>
      <c r="B411" s="4" t="inlineStr">
        <is>
          <t>yes</t>
        </is>
      </c>
      <c r="C411" s="4" t="inlineStr">
        <is>
          <t>Möllneys Nocken</t>
        </is>
      </c>
      <c r="D411" s="4" t="inlineStr">
        <is>
          <t>26</t>
        </is>
      </c>
      <c r="E411" s="13" t="n">
        <v>144.6</v>
      </c>
      <c r="F411" s="12" t="n">
        <v>0</v>
      </c>
      <c r="G411" s="4" t="n">
        <v>0</v>
      </c>
      <c r="H411" s="4">
        <f>IF(OR(N(F411)&gt;=0.5,G411&gt;=4),3,IF(OR(N(F411)&gt;=0.3,G411=3),2,IF(OR(N(F411)&gt;=0.1,G411&gt;=1),1,0)))</f>
        <v/>
      </c>
      <c r="I411" s="4">
        <f>CHOOSE(H411+1,"Kein Risiko","Gering","Mittel","Hoch")</f>
        <v/>
      </c>
    </row>
    <row r="412">
      <c r="A412" s="4" t="n">
        <v>408</v>
      </c>
      <c r="B412" s="4" t="inlineStr">
        <is>
          <t>yes</t>
        </is>
      </c>
      <c r="C412" s="4" t="inlineStr"/>
      <c r="D412" s="4" t="inlineStr"/>
      <c r="E412" s="13" t="n">
        <v>583.1</v>
      </c>
      <c r="F412" s="12" t="n">
        <v>0.19000244140625</v>
      </c>
      <c r="G412" s="4" t="n">
        <v>2</v>
      </c>
      <c r="H412" s="4">
        <f>IF(OR(N(F412)&gt;=0.5,G412&gt;=4),3,IF(OR(N(F412)&gt;=0.3,G412=3),2,IF(OR(N(F412)&gt;=0.1,G412&gt;=1),1,0)))</f>
        <v/>
      </c>
      <c r="I412" s="4">
        <f>CHOOSE(H412+1,"Kein Risiko","Gering","Mittel","Hoch")</f>
        <v/>
      </c>
    </row>
    <row r="413">
      <c r="A413" s="4" t="n">
        <v>409</v>
      </c>
      <c r="B413" s="4" t="inlineStr">
        <is>
          <t>yes</t>
        </is>
      </c>
      <c r="C413" s="4" t="inlineStr"/>
      <c r="D413" s="4" t="inlineStr"/>
      <c r="E413" s="13" t="n">
        <v>749.5</v>
      </c>
      <c r="F413" s="12" t="n">
        <v>0.1699981689453125</v>
      </c>
      <c r="G413" s="4" t="n">
        <v>3</v>
      </c>
      <c r="H413" s="4">
        <f>IF(OR(N(F413)&gt;=0.5,G413&gt;=4),3,IF(OR(N(F413)&gt;=0.3,G413=3),2,IF(OR(N(F413)&gt;=0.1,G413&gt;=1),1,0)))</f>
        <v/>
      </c>
      <c r="I413" s="4">
        <f>CHOOSE(H413+1,"Kein Risiko","Gering","Mittel","Hoch")</f>
        <v/>
      </c>
    </row>
    <row r="414">
      <c r="A414" s="4" t="n">
        <v>410</v>
      </c>
      <c r="B414" s="4" t="inlineStr">
        <is>
          <t>yes</t>
        </is>
      </c>
      <c r="C414" s="4" t="inlineStr">
        <is>
          <t>Kupferdreher Straße</t>
        </is>
      </c>
      <c r="D414" s="4" t="inlineStr">
        <is>
          <t>253</t>
        </is>
      </c>
      <c r="E414" s="13" t="n">
        <v>87.59999999999999</v>
      </c>
      <c r="F414" s="12" t="n">
        <v>0</v>
      </c>
      <c r="G414" s="4" t="n">
        <v>3</v>
      </c>
      <c r="H414" s="4">
        <f>IF(OR(N(F414)&gt;=0.5,G414&gt;=4),3,IF(OR(N(F414)&gt;=0.3,G414=3),2,IF(OR(N(F414)&gt;=0.1,G414&gt;=1),1,0)))</f>
        <v/>
      </c>
      <c r="I414" s="4">
        <f>CHOOSE(H414+1,"Kein Risiko","Gering","Mittel","Hoch")</f>
        <v/>
      </c>
    </row>
    <row r="415">
      <c r="A415" s="4" t="n">
        <v>411</v>
      </c>
      <c r="B415" s="4" t="inlineStr">
        <is>
          <t>apartments</t>
        </is>
      </c>
      <c r="C415" s="4" t="inlineStr">
        <is>
          <t>Zementstraße</t>
        </is>
      </c>
      <c r="D415" s="4" t="inlineStr">
        <is>
          <t>52</t>
        </is>
      </c>
      <c r="E415" s="13" t="n">
        <v>146.8</v>
      </c>
      <c r="F415" s="12" t="n">
        <v>0</v>
      </c>
      <c r="G415" s="4" t="n">
        <v>1</v>
      </c>
      <c r="H415" s="4">
        <f>IF(OR(N(F415)&gt;=0.5,G415&gt;=4),3,IF(OR(N(F415)&gt;=0.3,G415=3),2,IF(OR(N(F415)&gt;=0.1,G415&gt;=1),1,0)))</f>
        <v/>
      </c>
      <c r="I415" s="4">
        <f>CHOOSE(H415+1,"Kein Risiko","Gering","Mittel","Hoch")</f>
        <v/>
      </c>
    </row>
    <row r="416">
      <c r="A416" s="4" t="n">
        <v>412</v>
      </c>
      <c r="B416" s="4" t="inlineStr">
        <is>
          <t>detached</t>
        </is>
      </c>
      <c r="C416" s="4" t="inlineStr">
        <is>
          <t>Dixbäume</t>
        </is>
      </c>
      <c r="D416" s="4" t="inlineStr">
        <is>
          <t>49</t>
        </is>
      </c>
      <c r="E416" s="13" t="n">
        <v>100.6</v>
      </c>
      <c r="F416" s="12" t="n">
        <v>0</v>
      </c>
      <c r="G416" s="4" t="n">
        <v>1</v>
      </c>
      <c r="H416" s="4">
        <f>IF(OR(N(F416)&gt;=0.5,G416&gt;=4),3,IF(OR(N(F416)&gt;=0.3,G416=3),2,IF(OR(N(F416)&gt;=0.1,G416&gt;=1),1,0)))</f>
        <v/>
      </c>
      <c r="I416" s="4">
        <f>CHOOSE(H416+1,"Kein Risiko","Gering","Mittel","Hoch")</f>
        <v/>
      </c>
    </row>
    <row r="417">
      <c r="A417" s="4" t="n">
        <v>413</v>
      </c>
      <c r="B417" s="4" t="inlineStr">
        <is>
          <t>yes</t>
        </is>
      </c>
      <c r="C417" s="4" t="inlineStr">
        <is>
          <t>Zementstraße</t>
        </is>
      </c>
      <c r="D417" s="4" t="inlineStr">
        <is>
          <t>50a</t>
        </is>
      </c>
      <c r="E417" s="13" t="n">
        <v>45.7</v>
      </c>
      <c r="F417" s="12" t="n">
        <v>0</v>
      </c>
      <c r="G417" s="4" t="n">
        <v>0</v>
      </c>
      <c r="H417" s="4">
        <f>IF(OR(N(F417)&gt;=0.5,G417&gt;=4),3,IF(OR(N(F417)&gt;=0.3,G417=3),2,IF(OR(N(F417)&gt;=0.1,G417&gt;=1),1,0)))</f>
        <v/>
      </c>
      <c r="I417" s="4">
        <f>CHOOSE(H417+1,"Kein Risiko","Gering","Mittel","Hoch")</f>
        <v/>
      </c>
    </row>
    <row r="418">
      <c r="A418" s="4" t="n">
        <v>414</v>
      </c>
      <c r="B418" s="4" t="inlineStr">
        <is>
          <t>apartments</t>
        </is>
      </c>
      <c r="C418" s="4" t="inlineStr">
        <is>
          <t>Narjesstraße</t>
        </is>
      </c>
      <c r="D418" s="4" t="inlineStr">
        <is>
          <t>11</t>
        </is>
      </c>
      <c r="E418" s="13" t="n">
        <v>104.8</v>
      </c>
      <c r="F418" s="12" t="n">
        <v>0</v>
      </c>
      <c r="G418" s="4" t="n">
        <v>1</v>
      </c>
      <c r="H418" s="4">
        <f>IF(OR(N(F418)&gt;=0.5,G418&gt;=4),3,IF(OR(N(F418)&gt;=0.3,G418=3),2,IF(OR(N(F418)&gt;=0.1,G418&gt;=1),1,0)))</f>
        <v/>
      </c>
      <c r="I418" s="4">
        <f>CHOOSE(H418+1,"Kein Risiko","Gering","Mittel","Hoch")</f>
        <v/>
      </c>
    </row>
    <row r="419">
      <c r="A419" s="4" t="n">
        <v>415</v>
      </c>
      <c r="B419" s="4" t="inlineStr">
        <is>
          <t>apartments</t>
        </is>
      </c>
      <c r="C419" s="4" t="inlineStr">
        <is>
          <t>Zementstraße</t>
        </is>
      </c>
      <c r="D419" s="4" t="inlineStr">
        <is>
          <t>23</t>
        </is>
      </c>
      <c r="E419" s="13" t="n">
        <v>223.8</v>
      </c>
      <c r="F419" s="12" t="n">
        <v>0</v>
      </c>
      <c r="G419" s="4" t="n">
        <v>0</v>
      </c>
      <c r="H419" s="4">
        <f>IF(OR(N(F419)&gt;=0.5,G419&gt;=4),3,IF(OR(N(F419)&gt;=0.3,G419=3),2,IF(OR(N(F419)&gt;=0.1,G419&gt;=1),1,0)))</f>
        <v/>
      </c>
      <c r="I419" s="4">
        <f>CHOOSE(H419+1,"Kein Risiko","Gering","Mittel","Hoch")</f>
        <v/>
      </c>
    </row>
    <row r="420">
      <c r="A420" s="4" t="n">
        <v>416</v>
      </c>
      <c r="B420" s="4" t="inlineStr">
        <is>
          <t>apartments</t>
        </is>
      </c>
      <c r="C420" s="4" t="inlineStr">
        <is>
          <t>Narjesstraße</t>
        </is>
      </c>
      <c r="D420" s="4" t="inlineStr">
        <is>
          <t>13</t>
        </is>
      </c>
      <c r="E420" s="13" t="n">
        <v>159.8</v>
      </c>
      <c r="F420" s="12" t="n">
        <v>0</v>
      </c>
      <c r="G420" s="4" t="n">
        <v>0</v>
      </c>
      <c r="H420" s="4">
        <f>IF(OR(N(F420)&gt;=0.5,G420&gt;=4),3,IF(OR(N(F420)&gt;=0.3,G420=3),2,IF(OR(N(F420)&gt;=0.1,G420&gt;=1),1,0)))</f>
        <v/>
      </c>
      <c r="I420" s="4">
        <f>CHOOSE(H420+1,"Kein Risiko","Gering","Mittel","Hoch")</f>
        <v/>
      </c>
    </row>
    <row r="421">
      <c r="A421" s="4" t="n">
        <v>417</v>
      </c>
      <c r="B421" s="4" t="inlineStr">
        <is>
          <t>apartments</t>
        </is>
      </c>
      <c r="C421" s="4" t="inlineStr">
        <is>
          <t>Zementstraße</t>
        </is>
      </c>
      <c r="D421" s="4" t="inlineStr">
        <is>
          <t>10</t>
        </is>
      </c>
      <c r="E421" s="13" t="n">
        <v>187.9</v>
      </c>
      <c r="F421" s="12" t="n">
        <v>0</v>
      </c>
      <c r="G421" s="4" t="n">
        <v>0</v>
      </c>
      <c r="H421" s="4">
        <f>IF(OR(N(F421)&gt;=0.5,G421&gt;=4),3,IF(OR(N(F421)&gt;=0.3,G421=3),2,IF(OR(N(F421)&gt;=0.1,G421&gt;=1),1,0)))</f>
        <v/>
      </c>
      <c r="I421" s="4">
        <f>CHOOSE(H421+1,"Kein Risiko","Gering","Mittel","Hoch")</f>
        <v/>
      </c>
    </row>
    <row r="422">
      <c r="A422" s="4" t="n">
        <v>418</v>
      </c>
      <c r="B422" s="4" t="inlineStr">
        <is>
          <t>apartments</t>
        </is>
      </c>
      <c r="C422" s="4" t="inlineStr">
        <is>
          <t>Heidbergweg</t>
        </is>
      </c>
      <c r="D422" s="4" t="inlineStr">
        <is>
          <t>38</t>
        </is>
      </c>
      <c r="E422" s="13" t="n">
        <v>199.2</v>
      </c>
      <c r="F422" s="12" t="n">
        <v>0.100006103515625</v>
      </c>
      <c r="G422" s="4" t="n">
        <v>0</v>
      </c>
      <c r="H422" s="4">
        <f>IF(OR(N(F422)&gt;=0.5,G422&gt;=4),3,IF(OR(N(F422)&gt;=0.3,G422=3),2,IF(OR(N(F422)&gt;=0.1,G422&gt;=1),1,0)))</f>
        <v/>
      </c>
      <c r="I422" s="4">
        <f>CHOOSE(H422+1,"Kein Risiko","Gering","Mittel","Hoch")</f>
        <v/>
      </c>
    </row>
    <row r="423">
      <c r="A423" s="4" t="n">
        <v>419</v>
      </c>
      <c r="B423" s="4" t="inlineStr">
        <is>
          <t>apartments</t>
        </is>
      </c>
      <c r="C423" s="4" t="inlineStr">
        <is>
          <t>Heidbergweg</t>
        </is>
      </c>
      <c r="D423" s="4" t="inlineStr">
        <is>
          <t>49</t>
        </is>
      </c>
      <c r="E423" s="13" t="n">
        <v>120.9</v>
      </c>
      <c r="F423" s="12" t="n">
        <v>0.029998779296875</v>
      </c>
      <c r="G423" s="4" t="n">
        <v>0</v>
      </c>
      <c r="H423" s="4">
        <f>IF(OR(N(F423)&gt;=0.5,G423&gt;=4),3,IF(OR(N(F423)&gt;=0.3,G423=3),2,IF(OR(N(F423)&gt;=0.1,G423&gt;=1),1,0)))</f>
        <v/>
      </c>
      <c r="I423" s="4">
        <f>CHOOSE(H423+1,"Kein Risiko","Gering","Mittel","Hoch")</f>
        <v/>
      </c>
    </row>
    <row r="424">
      <c r="A424" s="4" t="n">
        <v>420</v>
      </c>
      <c r="B424" s="4" t="inlineStr">
        <is>
          <t>apartments</t>
        </is>
      </c>
      <c r="C424" s="4" t="inlineStr">
        <is>
          <t>Heidbergweg</t>
        </is>
      </c>
      <c r="D424" s="4" t="inlineStr">
        <is>
          <t>36</t>
        </is>
      </c>
      <c r="E424" s="13" t="n">
        <v>261.7</v>
      </c>
      <c r="F424" s="12" t="n">
        <v>0</v>
      </c>
      <c r="G424" s="4" t="n">
        <v>0</v>
      </c>
      <c r="H424" s="4">
        <f>IF(OR(N(F424)&gt;=0.5,G424&gt;=4),3,IF(OR(N(F424)&gt;=0.3,G424=3),2,IF(OR(N(F424)&gt;=0.1,G424&gt;=1),1,0)))</f>
        <v/>
      </c>
      <c r="I424" s="4">
        <f>CHOOSE(H424+1,"Kein Risiko","Gering","Mittel","Hoch")</f>
        <v/>
      </c>
    </row>
    <row r="425">
      <c r="A425" s="4" t="n">
        <v>421</v>
      </c>
      <c r="B425" s="4" t="inlineStr">
        <is>
          <t>semidetached_house</t>
        </is>
      </c>
      <c r="C425" s="4" t="inlineStr">
        <is>
          <t>Dixbäume</t>
        </is>
      </c>
      <c r="D425" s="4" t="inlineStr">
        <is>
          <t>45</t>
        </is>
      </c>
      <c r="E425" s="13" t="n">
        <v>124.3</v>
      </c>
      <c r="F425" s="12" t="n">
        <v>0.01999664306640625</v>
      </c>
      <c r="G425" s="4" t="n">
        <v>0</v>
      </c>
      <c r="H425" s="4">
        <f>IF(OR(N(F425)&gt;=0.5,G425&gt;=4),3,IF(OR(N(F425)&gt;=0.3,G425=3),2,IF(OR(N(F425)&gt;=0.1,G425&gt;=1),1,0)))</f>
        <v/>
      </c>
      <c r="I425" s="4">
        <f>CHOOSE(H425+1,"Kein Risiko","Gering","Mittel","Hoch")</f>
        <v/>
      </c>
    </row>
    <row r="426">
      <c r="A426" s="4" t="n">
        <v>422</v>
      </c>
      <c r="B426" s="4" t="inlineStr">
        <is>
          <t>house</t>
        </is>
      </c>
      <c r="C426" s="4" t="inlineStr">
        <is>
          <t>Dixbäume</t>
        </is>
      </c>
      <c r="D426" s="4" t="inlineStr">
        <is>
          <t>43</t>
        </is>
      </c>
      <c r="E426" s="13" t="n">
        <v>93.3</v>
      </c>
      <c r="F426" s="12" t="n">
        <v>0</v>
      </c>
      <c r="G426" s="4" t="n">
        <v>1</v>
      </c>
      <c r="H426" s="4">
        <f>IF(OR(N(F426)&gt;=0.5,G426&gt;=4),3,IF(OR(N(F426)&gt;=0.3,G426=3),2,IF(OR(N(F426)&gt;=0.1,G426&gt;=1),1,0)))</f>
        <v/>
      </c>
      <c r="I426" s="4">
        <f>CHOOSE(H426+1,"Kein Risiko","Gering","Mittel","Hoch")</f>
        <v/>
      </c>
    </row>
    <row r="427">
      <c r="A427" s="4" t="n">
        <v>423</v>
      </c>
      <c r="B427" s="4" t="inlineStr">
        <is>
          <t>apartments</t>
        </is>
      </c>
      <c r="C427" s="4" t="inlineStr">
        <is>
          <t>Heidbergweg</t>
        </is>
      </c>
      <c r="D427" s="4" t="inlineStr">
        <is>
          <t>32</t>
        </is>
      </c>
      <c r="E427" s="13" t="n">
        <v>134.5</v>
      </c>
      <c r="F427" s="12" t="n">
        <v>0</v>
      </c>
      <c r="G427" s="4" t="n">
        <v>0</v>
      </c>
      <c r="H427" s="4">
        <f>IF(OR(N(F427)&gt;=0.5,G427&gt;=4),3,IF(OR(N(F427)&gt;=0.3,G427=3),2,IF(OR(N(F427)&gt;=0.1,G427&gt;=1),1,0)))</f>
        <v/>
      </c>
      <c r="I427" s="4">
        <f>CHOOSE(H427+1,"Kein Risiko","Gering","Mittel","Hoch")</f>
        <v/>
      </c>
    </row>
    <row r="428">
      <c r="A428" s="4" t="n">
        <v>424</v>
      </c>
      <c r="B428" s="4" t="inlineStr">
        <is>
          <t>detached</t>
        </is>
      </c>
      <c r="C428" s="4" t="inlineStr">
        <is>
          <t>Dixbäume</t>
        </is>
      </c>
      <c r="D428" s="4" t="inlineStr">
        <is>
          <t>55</t>
        </is>
      </c>
      <c r="E428" s="13" t="n">
        <v>94.2</v>
      </c>
      <c r="F428" s="12" t="n">
        <v>0</v>
      </c>
      <c r="G428" s="4" t="n">
        <v>1</v>
      </c>
      <c r="H428" s="4">
        <f>IF(OR(N(F428)&gt;=0.5,G428&gt;=4),3,IF(OR(N(F428)&gt;=0.3,G428=3),2,IF(OR(N(F428)&gt;=0.1,G428&gt;=1),1,0)))</f>
        <v/>
      </c>
      <c r="I428" s="4">
        <f>CHOOSE(H428+1,"Kein Risiko","Gering","Mittel","Hoch")</f>
        <v/>
      </c>
    </row>
    <row r="429">
      <c r="A429" s="4" t="n">
        <v>425</v>
      </c>
      <c r="B429" s="4" t="inlineStr">
        <is>
          <t>yes</t>
        </is>
      </c>
      <c r="C429" s="4" t="inlineStr">
        <is>
          <t>Narjesstraße</t>
        </is>
      </c>
      <c r="D429" s="4" t="inlineStr">
        <is>
          <t>8</t>
        </is>
      </c>
      <c r="E429" s="13" t="n">
        <v>80.7</v>
      </c>
      <c r="F429" s="12" t="n">
        <v>0.04000091552734375</v>
      </c>
      <c r="G429" s="4" t="n">
        <v>0</v>
      </c>
      <c r="H429" s="4">
        <f>IF(OR(N(F429)&gt;=0.5,G429&gt;=4),3,IF(OR(N(F429)&gt;=0.3,G429=3),2,IF(OR(N(F429)&gt;=0.1,G429&gt;=1),1,0)))</f>
        <v/>
      </c>
      <c r="I429" s="4">
        <f>CHOOSE(H429+1,"Kein Risiko","Gering","Mittel","Hoch")</f>
        <v/>
      </c>
    </row>
    <row r="430">
      <c r="A430" s="4" t="n">
        <v>426</v>
      </c>
      <c r="B430" s="4" t="inlineStr">
        <is>
          <t>yes</t>
        </is>
      </c>
      <c r="C430" s="4" t="inlineStr">
        <is>
          <t>Heidbergweg</t>
        </is>
      </c>
      <c r="D430" s="4" t="inlineStr">
        <is>
          <t>34</t>
        </is>
      </c>
      <c r="E430" s="13" t="n">
        <v>120.1</v>
      </c>
      <c r="F430" s="12" t="n">
        <v>0</v>
      </c>
      <c r="G430" s="4" t="n">
        <v>0</v>
      </c>
      <c r="H430" s="4">
        <f>IF(OR(N(F430)&gt;=0.5,G430&gt;=4),3,IF(OR(N(F430)&gt;=0.3,G430=3),2,IF(OR(N(F430)&gt;=0.1,G430&gt;=1),1,0)))</f>
        <v/>
      </c>
      <c r="I430" s="4">
        <f>CHOOSE(H430+1,"Kein Risiko","Gering","Mittel","Hoch")</f>
        <v/>
      </c>
    </row>
    <row r="431">
      <c r="A431" s="4" t="n">
        <v>427</v>
      </c>
      <c r="B431" s="4" t="inlineStr">
        <is>
          <t>house</t>
        </is>
      </c>
      <c r="C431" s="4" t="inlineStr">
        <is>
          <t>Dixbäume</t>
        </is>
      </c>
      <c r="D431" s="4" t="inlineStr">
        <is>
          <t>61b</t>
        </is>
      </c>
      <c r="E431" s="13" t="n">
        <v>68.59999999999999</v>
      </c>
      <c r="F431" s="12" t="n">
        <v>0</v>
      </c>
      <c r="G431" s="4" t="n">
        <v>0</v>
      </c>
      <c r="H431" s="4">
        <f>IF(OR(N(F431)&gt;=0.5,G431&gt;=4),3,IF(OR(N(F431)&gt;=0.3,G431=3),2,IF(OR(N(F431)&gt;=0.1,G431&gt;=1),1,0)))</f>
        <v/>
      </c>
      <c r="I431" s="4">
        <f>CHOOSE(H431+1,"Kein Risiko","Gering","Mittel","Hoch")</f>
        <v/>
      </c>
    </row>
    <row r="432">
      <c r="A432" s="4" t="n">
        <v>428</v>
      </c>
      <c r="B432" s="4" t="inlineStr">
        <is>
          <t>semidetached_house</t>
        </is>
      </c>
      <c r="C432" s="4" t="inlineStr">
        <is>
          <t>Dixbäume</t>
        </is>
      </c>
      <c r="D432" s="4" t="inlineStr">
        <is>
          <t>47</t>
        </is>
      </c>
      <c r="E432" s="13" t="n">
        <v>123.1</v>
      </c>
      <c r="F432" s="12" t="n">
        <v>0</v>
      </c>
      <c r="G432" s="4" t="n">
        <v>1</v>
      </c>
      <c r="H432" s="4">
        <f>IF(OR(N(F432)&gt;=0.5,G432&gt;=4),3,IF(OR(N(F432)&gt;=0.3,G432=3),2,IF(OR(N(F432)&gt;=0.1,G432&gt;=1),1,0)))</f>
        <v/>
      </c>
      <c r="I432" s="4">
        <f>CHOOSE(H432+1,"Kein Risiko","Gering","Mittel","Hoch")</f>
        <v/>
      </c>
    </row>
    <row r="433">
      <c r="A433" s="4" t="n">
        <v>429</v>
      </c>
      <c r="B433" s="4" t="inlineStr">
        <is>
          <t>semidetached_house</t>
        </is>
      </c>
      <c r="C433" s="4" t="inlineStr">
        <is>
          <t>Dixbäume</t>
        </is>
      </c>
      <c r="D433" s="4" t="inlineStr">
        <is>
          <t>56</t>
        </is>
      </c>
      <c r="E433" s="13" t="n">
        <v>97.40000000000001</v>
      </c>
      <c r="F433" s="12" t="n">
        <v>0.07000732421875</v>
      </c>
      <c r="G433" s="4" t="n">
        <v>0</v>
      </c>
      <c r="H433" s="4">
        <f>IF(OR(N(F433)&gt;=0.5,G433&gt;=4),3,IF(OR(N(F433)&gt;=0.3,G433=3),2,IF(OR(N(F433)&gt;=0.1,G433&gt;=1),1,0)))</f>
        <v/>
      </c>
      <c r="I433" s="4">
        <f>CHOOSE(H433+1,"Kein Risiko","Gering","Mittel","Hoch")</f>
        <v/>
      </c>
    </row>
    <row r="434">
      <c r="A434" s="4" t="n">
        <v>430</v>
      </c>
      <c r="B434" s="4" t="inlineStr">
        <is>
          <t>detached</t>
        </is>
      </c>
      <c r="C434" s="4" t="inlineStr">
        <is>
          <t>Dixbäume</t>
        </is>
      </c>
      <c r="D434" s="4" t="inlineStr">
        <is>
          <t>67</t>
        </is>
      </c>
      <c r="E434" s="13" t="n">
        <v>144.6</v>
      </c>
      <c r="F434" s="12" t="n">
        <v>0</v>
      </c>
      <c r="G434" s="4" t="n">
        <v>1</v>
      </c>
      <c r="H434" s="4">
        <f>IF(OR(N(F434)&gt;=0.5,G434&gt;=4),3,IF(OR(N(F434)&gt;=0.3,G434=3),2,IF(OR(N(F434)&gt;=0.1,G434&gt;=1),1,0)))</f>
        <v/>
      </c>
      <c r="I434" s="4">
        <f>CHOOSE(H434+1,"Kein Risiko","Gering","Mittel","Hoch")</f>
        <v/>
      </c>
    </row>
    <row r="435">
      <c r="A435" s="4" t="n">
        <v>431</v>
      </c>
      <c r="B435" s="4" t="inlineStr">
        <is>
          <t>detached</t>
        </is>
      </c>
      <c r="C435" s="4" t="inlineStr">
        <is>
          <t>Dixbäume</t>
        </is>
      </c>
      <c r="D435" s="4" t="inlineStr">
        <is>
          <t>77</t>
        </is>
      </c>
      <c r="E435" s="13" t="n">
        <v>148.6</v>
      </c>
      <c r="F435" s="12" t="n">
        <v>0</v>
      </c>
      <c r="G435" s="4" t="n">
        <v>2</v>
      </c>
      <c r="H435" s="4">
        <f>IF(OR(N(F435)&gt;=0.5,G435&gt;=4),3,IF(OR(N(F435)&gt;=0.3,G435=3),2,IF(OR(N(F435)&gt;=0.1,G435&gt;=1),1,0)))</f>
        <v/>
      </c>
      <c r="I435" s="4">
        <f>CHOOSE(H435+1,"Kein Risiko","Gering","Mittel","Hoch")</f>
        <v/>
      </c>
    </row>
    <row r="436">
      <c r="A436" s="4" t="n">
        <v>432</v>
      </c>
      <c r="B436" s="4" t="inlineStr">
        <is>
          <t>detached</t>
        </is>
      </c>
      <c r="C436" s="4" t="inlineStr">
        <is>
          <t>Möllneys Nocken</t>
        </is>
      </c>
      <c r="D436" s="4" t="inlineStr">
        <is>
          <t>9</t>
        </is>
      </c>
      <c r="E436" s="13" t="n">
        <v>231.7</v>
      </c>
      <c r="F436" s="12" t="n">
        <v>0</v>
      </c>
      <c r="G436" s="4" t="n">
        <v>2</v>
      </c>
      <c r="H436" s="4">
        <f>IF(OR(N(F436)&gt;=0.5,G436&gt;=4),3,IF(OR(N(F436)&gt;=0.3,G436=3),2,IF(OR(N(F436)&gt;=0.1,G436&gt;=1),1,0)))</f>
        <v/>
      </c>
      <c r="I436" s="4">
        <f>CHOOSE(H436+1,"Kein Risiko","Gering","Mittel","Hoch")</f>
        <v/>
      </c>
    </row>
    <row r="437">
      <c r="A437" s="4" t="n">
        <v>433</v>
      </c>
      <c r="B437" s="4" t="inlineStr">
        <is>
          <t>detached</t>
        </is>
      </c>
      <c r="C437" s="4" t="inlineStr">
        <is>
          <t>Möllneys Nocken</t>
        </is>
      </c>
      <c r="D437" s="4" t="inlineStr">
        <is>
          <t>11</t>
        </is>
      </c>
      <c r="E437" s="13" t="n">
        <v>163.4</v>
      </c>
      <c r="F437" s="12" t="n">
        <v>0</v>
      </c>
      <c r="G437" s="4" t="n">
        <v>0</v>
      </c>
      <c r="H437" s="4">
        <f>IF(OR(N(F437)&gt;=0.5,G437&gt;=4),3,IF(OR(N(F437)&gt;=0.3,G437=3),2,IF(OR(N(F437)&gt;=0.1,G437&gt;=1),1,0)))</f>
        <v/>
      </c>
      <c r="I437" s="4">
        <f>CHOOSE(H437+1,"Kein Risiko","Gering","Mittel","Hoch")</f>
        <v/>
      </c>
    </row>
    <row r="438">
      <c r="A438" s="4" t="n">
        <v>434</v>
      </c>
      <c r="B438" s="4" t="inlineStr">
        <is>
          <t>detached</t>
        </is>
      </c>
      <c r="C438" s="4" t="inlineStr">
        <is>
          <t>Möllneys Nocken</t>
        </is>
      </c>
      <c r="D438" s="4" t="inlineStr">
        <is>
          <t>7</t>
        </is>
      </c>
      <c r="E438" s="13" t="n">
        <v>137.6</v>
      </c>
      <c r="F438" s="12" t="n">
        <v>0.09000396728515625</v>
      </c>
      <c r="G438" s="4" t="n">
        <v>0</v>
      </c>
      <c r="H438" s="4">
        <f>IF(OR(N(F438)&gt;=0.5,G438&gt;=4),3,IF(OR(N(F438)&gt;=0.3,G438=3),2,IF(OR(N(F438)&gt;=0.1,G438&gt;=1),1,0)))</f>
        <v/>
      </c>
      <c r="I438" s="4">
        <f>CHOOSE(H438+1,"Kein Risiko","Gering","Mittel","Hoch")</f>
        <v/>
      </c>
    </row>
    <row r="439">
      <c r="A439" s="4" t="n">
        <v>435</v>
      </c>
      <c r="B439" s="4" t="inlineStr">
        <is>
          <t>yes</t>
        </is>
      </c>
      <c r="C439" s="4" t="inlineStr">
        <is>
          <t>Dixbäume</t>
        </is>
      </c>
      <c r="D439" s="4" t="inlineStr">
        <is>
          <t>77a</t>
        </is>
      </c>
      <c r="E439" s="13" t="n">
        <v>107.5</v>
      </c>
      <c r="F439" s="12" t="n">
        <v>0</v>
      </c>
      <c r="G439" s="4" t="n">
        <v>1</v>
      </c>
      <c r="H439" s="4">
        <f>IF(OR(N(F439)&gt;=0.5,G439&gt;=4),3,IF(OR(N(F439)&gt;=0.3,G439=3),2,IF(OR(N(F439)&gt;=0.1,G439&gt;=1),1,0)))</f>
        <v/>
      </c>
      <c r="I439" s="4">
        <f>CHOOSE(H439+1,"Kein Risiko","Gering","Mittel","Hoch")</f>
        <v/>
      </c>
    </row>
    <row r="440">
      <c r="A440" s="4" t="n">
        <v>436</v>
      </c>
      <c r="B440" s="4" t="inlineStr">
        <is>
          <t>yes</t>
        </is>
      </c>
      <c r="C440" s="4" t="inlineStr">
        <is>
          <t>Möllneys Nocken</t>
        </is>
      </c>
      <c r="D440" s="4" t="inlineStr">
        <is>
          <t>13</t>
        </is>
      </c>
      <c r="E440" s="13" t="n">
        <v>154.8</v>
      </c>
      <c r="F440" s="12" t="n">
        <v>0</v>
      </c>
      <c r="G440" s="4" t="n">
        <v>0</v>
      </c>
      <c r="H440" s="4">
        <f>IF(OR(N(F440)&gt;=0.5,G440&gt;=4),3,IF(OR(N(F440)&gt;=0.3,G440=3),2,IF(OR(N(F440)&gt;=0.1,G440&gt;=1),1,0)))</f>
        <v/>
      </c>
      <c r="I440" s="4">
        <f>CHOOSE(H440+1,"Kein Risiko","Gering","Mittel","Hoch")</f>
        <v/>
      </c>
    </row>
    <row r="441">
      <c r="A441" s="4" t="n">
        <v>437</v>
      </c>
      <c r="B441" s="4" t="inlineStr">
        <is>
          <t>yes</t>
        </is>
      </c>
      <c r="C441" s="4" t="inlineStr">
        <is>
          <t>Nierenhofer Straße</t>
        </is>
      </c>
      <c r="D441" s="4" t="inlineStr">
        <is>
          <t>1</t>
        </is>
      </c>
      <c r="E441" s="13" t="n">
        <v>117.9</v>
      </c>
      <c r="F441" s="12" t="n">
        <v>0.1399993896484375</v>
      </c>
      <c r="G441" s="4" t="n">
        <v>2</v>
      </c>
      <c r="H441" s="4">
        <f>IF(OR(N(F441)&gt;=0.5,G441&gt;=4),3,IF(OR(N(F441)&gt;=0.3,G441=3),2,IF(OR(N(F441)&gt;=0.1,G441&gt;=1),1,0)))</f>
        <v/>
      </c>
      <c r="I441" s="4">
        <f>CHOOSE(H441+1,"Kein Risiko","Gering","Mittel","Hoch")</f>
        <v/>
      </c>
    </row>
    <row r="442">
      <c r="A442" s="4" t="n">
        <v>438</v>
      </c>
      <c r="B442" s="4" t="inlineStr">
        <is>
          <t>yes</t>
        </is>
      </c>
      <c r="C442" s="4" t="inlineStr">
        <is>
          <t>Rathgeberhof</t>
        </is>
      </c>
      <c r="D442" s="4" t="inlineStr">
        <is>
          <t>16</t>
        </is>
      </c>
      <c r="E442" s="13" t="n">
        <v>63.5</v>
      </c>
      <c r="F442" s="12" t="n">
        <v>0</v>
      </c>
      <c r="G442" s="4" t="n">
        <v>0</v>
      </c>
      <c r="H442" s="4">
        <f>IF(OR(N(F442)&gt;=0.5,G442&gt;=4),3,IF(OR(N(F442)&gt;=0.3,G442=3),2,IF(OR(N(F442)&gt;=0.1,G442&gt;=1),1,0)))</f>
        <v/>
      </c>
      <c r="I442" s="4">
        <f>CHOOSE(H442+1,"Kein Risiko","Gering","Mittel","Hoch")</f>
        <v/>
      </c>
    </row>
    <row r="443">
      <c r="A443" s="4" t="n">
        <v>439</v>
      </c>
      <c r="B443" s="4" t="inlineStr">
        <is>
          <t>yes</t>
        </is>
      </c>
      <c r="C443" s="4" t="inlineStr">
        <is>
          <t>Rathgeberhof</t>
        </is>
      </c>
      <c r="D443" s="4" t="inlineStr">
        <is>
          <t>32</t>
        </is>
      </c>
      <c r="E443" s="13" t="n">
        <v>61.3</v>
      </c>
      <c r="F443" s="12" t="n">
        <v>0</v>
      </c>
      <c r="G443" s="4" t="n">
        <v>0</v>
      </c>
      <c r="H443" s="4">
        <f>IF(OR(N(F443)&gt;=0.5,G443&gt;=4),3,IF(OR(N(F443)&gt;=0.3,G443=3),2,IF(OR(N(F443)&gt;=0.1,G443&gt;=1),1,0)))</f>
        <v/>
      </c>
      <c r="I443" s="4">
        <f>CHOOSE(H443+1,"Kein Risiko","Gering","Mittel","Hoch")</f>
        <v/>
      </c>
    </row>
    <row r="444">
      <c r="A444" s="4" t="n">
        <v>440</v>
      </c>
      <c r="B444" s="4" t="inlineStr">
        <is>
          <t>yes</t>
        </is>
      </c>
      <c r="C444" s="4" t="inlineStr">
        <is>
          <t>Rathgeberhof</t>
        </is>
      </c>
      <c r="D444" s="4" t="inlineStr">
        <is>
          <t>2</t>
        </is>
      </c>
      <c r="E444" s="13" t="n">
        <v>63.1</v>
      </c>
      <c r="F444" s="12" t="n">
        <v>0.0200042724609375</v>
      </c>
      <c r="G444" s="4" t="n">
        <v>1</v>
      </c>
      <c r="H444" s="4">
        <f>IF(OR(N(F444)&gt;=0.5,G444&gt;=4),3,IF(OR(N(F444)&gt;=0.3,G444=3),2,IF(OR(N(F444)&gt;=0.1,G444&gt;=1),1,0)))</f>
        <v/>
      </c>
      <c r="I444" s="4">
        <f>CHOOSE(H444+1,"Kein Risiko","Gering","Mittel","Hoch")</f>
        <v/>
      </c>
    </row>
    <row r="445">
      <c r="A445" s="4" t="n">
        <v>441</v>
      </c>
      <c r="B445" s="4" t="inlineStr">
        <is>
          <t>yes</t>
        </is>
      </c>
      <c r="C445" s="4" t="inlineStr">
        <is>
          <t>Rathgeberhof</t>
        </is>
      </c>
      <c r="D445" s="4" t="inlineStr">
        <is>
          <t>8</t>
        </is>
      </c>
      <c r="E445" s="13" t="n">
        <v>61.1</v>
      </c>
      <c r="F445" s="12" t="n">
        <v>0</v>
      </c>
      <c r="G445" s="4" t="n">
        <v>1</v>
      </c>
      <c r="H445" s="4">
        <f>IF(OR(N(F445)&gt;=0.5,G445&gt;=4),3,IF(OR(N(F445)&gt;=0.3,G445=3),2,IF(OR(N(F445)&gt;=0.1,G445&gt;=1),1,0)))</f>
        <v/>
      </c>
      <c r="I445" s="4">
        <f>CHOOSE(H445+1,"Kein Risiko","Gering","Mittel","Hoch")</f>
        <v/>
      </c>
    </row>
    <row r="446">
      <c r="A446" s="4" t="n">
        <v>442</v>
      </c>
      <c r="B446" s="4" t="inlineStr">
        <is>
          <t>yes</t>
        </is>
      </c>
      <c r="C446" s="4" t="inlineStr">
        <is>
          <t>Rathgeberhof</t>
        </is>
      </c>
      <c r="D446" s="4" t="inlineStr">
        <is>
          <t>24</t>
        </is>
      </c>
      <c r="E446" s="13" t="n">
        <v>63.1</v>
      </c>
      <c r="F446" s="12" t="n">
        <v>0</v>
      </c>
      <c r="G446" s="4" t="n">
        <v>0</v>
      </c>
      <c r="H446" s="4">
        <f>IF(OR(N(F446)&gt;=0.5,G446&gt;=4),3,IF(OR(N(F446)&gt;=0.3,G446=3),2,IF(OR(N(F446)&gt;=0.1,G446&gt;=1),1,0)))</f>
        <v/>
      </c>
      <c r="I446" s="4">
        <f>CHOOSE(H446+1,"Kein Risiko","Gering","Mittel","Hoch")</f>
        <v/>
      </c>
    </row>
    <row r="447">
      <c r="A447" s="4" t="n">
        <v>443</v>
      </c>
      <c r="B447" s="4" t="inlineStr">
        <is>
          <t>yes</t>
        </is>
      </c>
      <c r="C447" s="4" t="inlineStr">
        <is>
          <t>Nierenhofer Straße</t>
        </is>
      </c>
      <c r="D447" s="4" t="inlineStr">
        <is>
          <t>4</t>
        </is>
      </c>
      <c r="E447" s="13" t="n">
        <v>113</v>
      </c>
      <c r="F447" s="12" t="n">
        <v>0</v>
      </c>
      <c r="G447" s="4" t="n">
        <v>0</v>
      </c>
      <c r="H447" s="4">
        <f>IF(OR(N(F447)&gt;=0.5,G447&gt;=4),3,IF(OR(N(F447)&gt;=0.3,G447=3),2,IF(OR(N(F447)&gt;=0.1,G447&gt;=1),1,0)))</f>
        <v/>
      </c>
      <c r="I447" s="4">
        <f>CHOOSE(H447+1,"Kein Risiko","Gering","Mittel","Hoch")</f>
        <v/>
      </c>
    </row>
    <row r="448">
      <c r="A448" s="4" t="n">
        <v>444</v>
      </c>
      <c r="B448" s="4" t="inlineStr">
        <is>
          <t>yes</t>
        </is>
      </c>
      <c r="C448" s="4" t="inlineStr">
        <is>
          <t>Rathgeberhof</t>
        </is>
      </c>
      <c r="D448" s="4" t="inlineStr">
        <is>
          <t>34</t>
        </is>
      </c>
      <c r="E448" s="13" t="n">
        <v>62.4</v>
      </c>
      <c r="F448" s="12" t="n">
        <v>0</v>
      </c>
      <c r="G448" s="4" t="n">
        <v>1</v>
      </c>
      <c r="H448" s="4">
        <f>IF(OR(N(F448)&gt;=0.5,G448&gt;=4),3,IF(OR(N(F448)&gt;=0.3,G448=3),2,IF(OR(N(F448)&gt;=0.1,G448&gt;=1),1,0)))</f>
        <v/>
      </c>
      <c r="I448" s="4">
        <f>CHOOSE(H448+1,"Kein Risiko","Gering","Mittel","Hoch")</f>
        <v/>
      </c>
    </row>
    <row r="449">
      <c r="A449" s="4" t="n">
        <v>445</v>
      </c>
      <c r="B449" s="4" t="inlineStr">
        <is>
          <t>yes</t>
        </is>
      </c>
      <c r="C449" s="4" t="inlineStr">
        <is>
          <t>Rathgeberhof</t>
        </is>
      </c>
      <c r="D449" s="4" t="inlineStr">
        <is>
          <t>28</t>
        </is>
      </c>
      <c r="E449" s="13" t="n">
        <v>64.40000000000001</v>
      </c>
      <c r="F449" s="12" t="n">
        <v>0</v>
      </c>
      <c r="G449" s="4" t="n">
        <v>0</v>
      </c>
      <c r="H449" s="4">
        <f>IF(OR(N(F449)&gt;=0.5,G449&gt;=4),3,IF(OR(N(F449)&gt;=0.3,G449=3),2,IF(OR(N(F449)&gt;=0.1,G449&gt;=1),1,0)))</f>
        <v/>
      </c>
      <c r="I449" s="4">
        <f>CHOOSE(H449+1,"Kein Risiko","Gering","Mittel","Hoch")</f>
        <v/>
      </c>
    </row>
    <row r="450">
      <c r="A450" s="4" t="n">
        <v>446</v>
      </c>
      <c r="B450" s="4" t="inlineStr">
        <is>
          <t>yes</t>
        </is>
      </c>
      <c r="C450" s="4" t="inlineStr">
        <is>
          <t>Rathgeberhof</t>
        </is>
      </c>
      <c r="D450" s="4" t="inlineStr">
        <is>
          <t>22</t>
        </is>
      </c>
      <c r="E450" s="13" t="n">
        <v>65.5</v>
      </c>
      <c r="F450" s="12" t="n">
        <v>0</v>
      </c>
      <c r="G450" s="4" t="n">
        <v>0</v>
      </c>
      <c r="H450" s="4">
        <f>IF(OR(N(F450)&gt;=0.5,G450&gt;=4),3,IF(OR(N(F450)&gt;=0.3,G450=3),2,IF(OR(N(F450)&gt;=0.1,G450&gt;=1),1,0)))</f>
        <v/>
      </c>
      <c r="I450" s="4">
        <f>CHOOSE(H450+1,"Kein Risiko","Gering","Mittel","Hoch")</f>
        <v/>
      </c>
    </row>
    <row r="451">
      <c r="A451" s="4" t="n">
        <v>447</v>
      </c>
      <c r="B451" s="4" t="inlineStr">
        <is>
          <t>yes</t>
        </is>
      </c>
      <c r="C451" s="4" t="inlineStr">
        <is>
          <t>Rathgeberhof</t>
        </is>
      </c>
      <c r="D451" s="4" t="inlineStr">
        <is>
          <t>26</t>
        </is>
      </c>
      <c r="E451" s="13" t="n">
        <v>62.4</v>
      </c>
      <c r="F451" s="12" t="n">
        <v>0</v>
      </c>
      <c r="G451" s="4" t="n">
        <v>0</v>
      </c>
      <c r="H451" s="4">
        <f>IF(OR(N(F451)&gt;=0.5,G451&gt;=4),3,IF(OR(N(F451)&gt;=0.3,G451=3),2,IF(OR(N(F451)&gt;=0.1,G451&gt;=1),1,0)))</f>
        <v/>
      </c>
      <c r="I451" s="4">
        <f>CHOOSE(H451+1,"Kein Risiko","Gering","Mittel","Hoch")</f>
        <v/>
      </c>
    </row>
    <row r="452">
      <c r="A452" s="4" t="n">
        <v>448</v>
      </c>
      <c r="B452" s="4" t="inlineStr">
        <is>
          <t>yes</t>
        </is>
      </c>
      <c r="C452" s="4" t="inlineStr">
        <is>
          <t>Rathgeberhof</t>
        </is>
      </c>
      <c r="D452" s="4" t="inlineStr">
        <is>
          <t>18</t>
        </is>
      </c>
      <c r="E452" s="13" t="n">
        <v>60.5</v>
      </c>
      <c r="F452" s="12" t="n">
        <v>0</v>
      </c>
      <c r="G452" s="4" t="n">
        <v>0</v>
      </c>
      <c r="H452" s="4">
        <f>IF(OR(N(F452)&gt;=0.5,G452&gt;=4),3,IF(OR(N(F452)&gt;=0.3,G452=3),2,IF(OR(N(F452)&gt;=0.1,G452&gt;=1),1,0)))</f>
        <v/>
      </c>
      <c r="I452" s="4">
        <f>CHOOSE(H452+1,"Kein Risiko","Gering","Mittel","Hoch")</f>
        <v/>
      </c>
    </row>
    <row r="453">
      <c r="A453" s="4" t="n">
        <v>449</v>
      </c>
      <c r="B453" s="4" t="inlineStr">
        <is>
          <t>yes</t>
        </is>
      </c>
      <c r="C453" s="4" t="inlineStr">
        <is>
          <t>Rathgeberhof</t>
        </is>
      </c>
      <c r="D453" s="4" t="inlineStr">
        <is>
          <t>30</t>
        </is>
      </c>
      <c r="E453" s="13" t="n">
        <v>62.7</v>
      </c>
      <c r="F453" s="12" t="n">
        <v>0</v>
      </c>
      <c r="G453" s="4" t="n">
        <v>0</v>
      </c>
      <c r="H453" s="4">
        <f>IF(OR(N(F453)&gt;=0.5,G453&gt;=4),3,IF(OR(N(F453)&gt;=0.3,G453=3),2,IF(OR(N(F453)&gt;=0.1,G453&gt;=1),1,0)))</f>
        <v/>
      </c>
      <c r="I453" s="4">
        <f>CHOOSE(H453+1,"Kein Risiko","Gering","Mittel","Hoch")</f>
        <v/>
      </c>
    </row>
    <row r="454">
      <c r="A454" s="4" t="n">
        <v>450</v>
      </c>
      <c r="B454" s="4" t="inlineStr">
        <is>
          <t>yes</t>
        </is>
      </c>
      <c r="C454" s="4" t="inlineStr">
        <is>
          <t>Rathgeberhof</t>
        </is>
      </c>
      <c r="D454" s="4" t="inlineStr">
        <is>
          <t>20</t>
        </is>
      </c>
      <c r="E454" s="13" t="n">
        <v>64.09999999999999</v>
      </c>
      <c r="F454" s="12" t="n">
        <v>0</v>
      </c>
      <c r="G454" s="4" t="n">
        <v>0</v>
      </c>
      <c r="H454" s="4">
        <f>IF(OR(N(F454)&gt;=0.5,G454&gt;=4),3,IF(OR(N(F454)&gt;=0.3,G454=3),2,IF(OR(N(F454)&gt;=0.1,G454&gt;=1),1,0)))</f>
        <v/>
      </c>
      <c r="I454" s="4">
        <f>CHOOSE(H454+1,"Kein Risiko","Gering","Mittel","Hoch")</f>
        <v/>
      </c>
    </row>
    <row r="455">
      <c r="A455" s="4" t="n">
        <v>451</v>
      </c>
      <c r="B455" s="4" t="inlineStr">
        <is>
          <t>yes</t>
        </is>
      </c>
      <c r="C455" s="4" t="inlineStr">
        <is>
          <t>Rathgeberhof</t>
        </is>
      </c>
      <c r="D455" s="4" t="inlineStr">
        <is>
          <t>10</t>
        </is>
      </c>
      <c r="E455" s="13" t="n">
        <v>62.2</v>
      </c>
      <c r="F455" s="12" t="n">
        <v>0</v>
      </c>
      <c r="G455" s="4" t="n">
        <v>0</v>
      </c>
      <c r="H455" s="4">
        <f>IF(OR(N(F455)&gt;=0.5,G455&gt;=4),3,IF(OR(N(F455)&gt;=0.3,G455=3),2,IF(OR(N(F455)&gt;=0.1,G455&gt;=1),1,0)))</f>
        <v/>
      </c>
      <c r="I455" s="4">
        <f>CHOOSE(H455+1,"Kein Risiko","Gering","Mittel","Hoch")</f>
        <v/>
      </c>
    </row>
    <row r="456">
      <c r="A456" s="4" t="n">
        <v>452</v>
      </c>
      <c r="B456" s="4" t="inlineStr">
        <is>
          <t>yes</t>
        </is>
      </c>
      <c r="C456" s="4" t="inlineStr">
        <is>
          <t>Rathgeberhof</t>
        </is>
      </c>
      <c r="D456" s="4" t="inlineStr">
        <is>
          <t>4</t>
        </is>
      </c>
      <c r="E456" s="13" t="n">
        <v>64.5</v>
      </c>
      <c r="F456" s="12" t="n">
        <v>0</v>
      </c>
      <c r="G456" s="4" t="n">
        <v>0</v>
      </c>
      <c r="H456" s="4">
        <f>IF(OR(N(F456)&gt;=0.5,G456&gt;=4),3,IF(OR(N(F456)&gt;=0.3,G456=3),2,IF(OR(N(F456)&gt;=0.1,G456&gt;=1),1,0)))</f>
        <v/>
      </c>
      <c r="I456" s="4">
        <f>CHOOSE(H456+1,"Kein Risiko","Gering","Mittel","Hoch")</f>
        <v/>
      </c>
    </row>
    <row r="457">
      <c r="A457" s="4" t="n">
        <v>453</v>
      </c>
      <c r="B457" s="4" t="inlineStr">
        <is>
          <t>yes</t>
        </is>
      </c>
      <c r="C457" s="4" t="inlineStr">
        <is>
          <t>Rathgeberhof</t>
        </is>
      </c>
      <c r="D457" s="4" t="inlineStr">
        <is>
          <t>36</t>
        </is>
      </c>
      <c r="E457" s="13" t="n">
        <v>63.6</v>
      </c>
      <c r="F457" s="12" t="n">
        <v>0.06999969482421875</v>
      </c>
      <c r="G457" s="4" t="n">
        <v>1</v>
      </c>
      <c r="H457" s="4">
        <f>IF(OR(N(F457)&gt;=0.5,G457&gt;=4),3,IF(OR(N(F457)&gt;=0.3,G457=3),2,IF(OR(N(F457)&gt;=0.1,G457&gt;=1),1,0)))</f>
        <v/>
      </c>
      <c r="I457" s="4">
        <f>CHOOSE(H457+1,"Kein Risiko","Gering","Mittel","Hoch")</f>
        <v/>
      </c>
    </row>
    <row r="458">
      <c r="A458" s="4" t="n">
        <v>454</v>
      </c>
      <c r="B458" s="4" t="inlineStr">
        <is>
          <t>yes</t>
        </is>
      </c>
      <c r="C458" s="4" t="inlineStr">
        <is>
          <t>Rathgeberhof</t>
        </is>
      </c>
      <c r="D458" s="4" t="inlineStr">
        <is>
          <t>9</t>
        </is>
      </c>
      <c r="E458" s="13" t="n">
        <v>93.59999999999999</v>
      </c>
      <c r="F458" s="12" t="n">
        <v>0</v>
      </c>
      <c r="G458" s="4" t="n">
        <v>0</v>
      </c>
      <c r="H458" s="4">
        <f>IF(OR(N(F458)&gt;=0.5,G458&gt;=4),3,IF(OR(N(F458)&gt;=0.3,G458=3),2,IF(OR(N(F458)&gt;=0.1,G458&gt;=1),1,0)))</f>
        <v/>
      </c>
      <c r="I458" s="4">
        <f>CHOOSE(H458+1,"Kein Risiko","Gering","Mittel","Hoch")</f>
        <v/>
      </c>
    </row>
    <row r="459">
      <c r="A459" s="4" t="n">
        <v>455</v>
      </c>
      <c r="B459" s="4" t="inlineStr">
        <is>
          <t>yes</t>
        </is>
      </c>
      <c r="C459" s="4" t="inlineStr">
        <is>
          <t>Rathgeberhof</t>
        </is>
      </c>
      <c r="D459" s="4" t="inlineStr">
        <is>
          <t>6</t>
        </is>
      </c>
      <c r="E459" s="13" t="n">
        <v>64.7</v>
      </c>
      <c r="F459" s="12" t="n">
        <v>0.01999664306640625</v>
      </c>
      <c r="G459" s="4" t="n">
        <v>0</v>
      </c>
      <c r="H459" s="4">
        <f>IF(OR(N(F459)&gt;=0.5,G459&gt;=4),3,IF(OR(N(F459)&gt;=0.3,G459=3),2,IF(OR(N(F459)&gt;=0.1,G459&gt;=1),1,0)))</f>
        <v/>
      </c>
      <c r="I459" s="4">
        <f>CHOOSE(H459+1,"Kein Risiko","Gering","Mittel","Hoch")</f>
        <v/>
      </c>
    </row>
    <row r="460">
      <c r="A460" s="4" t="n">
        <v>456</v>
      </c>
      <c r="B460" s="4" t="inlineStr">
        <is>
          <t>yes</t>
        </is>
      </c>
      <c r="C460" s="4" t="inlineStr">
        <is>
          <t>Rathgeberhof</t>
        </is>
      </c>
      <c r="D460" s="4" t="inlineStr">
        <is>
          <t>12</t>
        </is>
      </c>
      <c r="E460" s="13" t="n">
        <v>66</v>
      </c>
      <c r="F460" s="12" t="n">
        <v>0</v>
      </c>
      <c r="G460" s="4" t="n">
        <v>0</v>
      </c>
      <c r="H460" s="4">
        <f>IF(OR(N(F460)&gt;=0.5,G460&gt;=4),3,IF(OR(N(F460)&gt;=0.3,G460=3),2,IF(OR(N(F460)&gt;=0.1,G460&gt;=1),1,0)))</f>
        <v/>
      </c>
      <c r="I460" s="4">
        <f>CHOOSE(H460+1,"Kein Risiko","Gering","Mittel","Hoch")</f>
        <v/>
      </c>
    </row>
    <row r="461">
      <c r="A461" s="4" t="n">
        <v>457</v>
      </c>
      <c r="B461" s="4" t="inlineStr">
        <is>
          <t>yes</t>
        </is>
      </c>
      <c r="C461" s="4" t="inlineStr">
        <is>
          <t>Rathgeberhof</t>
        </is>
      </c>
      <c r="D461" s="4" t="inlineStr">
        <is>
          <t>14</t>
        </is>
      </c>
      <c r="E461" s="13" t="n">
        <v>63.7</v>
      </c>
      <c r="F461" s="12" t="n">
        <v>0</v>
      </c>
      <c r="G461" s="4" t="n">
        <v>0</v>
      </c>
      <c r="H461" s="4">
        <f>IF(OR(N(F461)&gt;=0.5,G461&gt;=4),3,IF(OR(N(F461)&gt;=0.3,G461=3),2,IF(OR(N(F461)&gt;=0.1,G461&gt;=1),1,0)))</f>
        <v/>
      </c>
      <c r="I461" s="4">
        <f>CHOOSE(H461+1,"Kein Risiko","Gering","Mittel","Hoch")</f>
        <v/>
      </c>
    </row>
    <row r="462">
      <c r="A462" s="4" t="n">
        <v>458</v>
      </c>
      <c r="B462" s="4" t="inlineStr">
        <is>
          <t>yes</t>
        </is>
      </c>
      <c r="C462" s="4" t="inlineStr">
        <is>
          <t>Rathgeberhof</t>
        </is>
      </c>
      <c r="D462" s="4" t="inlineStr">
        <is>
          <t>42</t>
        </is>
      </c>
      <c r="E462" s="13" t="n">
        <v>62.7</v>
      </c>
      <c r="F462" s="12" t="n">
        <v>0</v>
      </c>
      <c r="G462" s="4" t="n">
        <v>0</v>
      </c>
      <c r="H462" s="4">
        <f>IF(OR(N(F462)&gt;=0.5,G462&gt;=4),3,IF(OR(N(F462)&gt;=0.3,G462=3),2,IF(OR(N(F462)&gt;=0.1,G462&gt;=1),1,0)))</f>
        <v/>
      </c>
      <c r="I462" s="4">
        <f>CHOOSE(H462+1,"Kein Risiko","Gering","Mittel","Hoch")</f>
        <v/>
      </c>
    </row>
    <row r="463">
      <c r="A463" s="4" t="n">
        <v>459</v>
      </c>
      <c r="B463" s="4" t="inlineStr">
        <is>
          <t>yes</t>
        </is>
      </c>
      <c r="C463" s="4" t="inlineStr">
        <is>
          <t>Rathgeberhof</t>
        </is>
      </c>
      <c r="D463" s="4" t="inlineStr">
        <is>
          <t>7</t>
        </is>
      </c>
      <c r="E463" s="13" t="n">
        <v>274.1</v>
      </c>
      <c r="F463" s="12" t="n">
        <v>0.01000213623046875</v>
      </c>
      <c r="G463" s="4" t="n">
        <v>2</v>
      </c>
      <c r="H463" s="4">
        <f>IF(OR(N(F463)&gt;=0.5,G463&gt;=4),3,IF(OR(N(F463)&gt;=0.3,G463=3),2,IF(OR(N(F463)&gt;=0.1,G463&gt;=1),1,0)))</f>
        <v/>
      </c>
      <c r="I463" s="4">
        <f>CHOOSE(H463+1,"Kein Risiko","Gering","Mittel","Hoch")</f>
        <v/>
      </c>
    </row>
    <row r="464">
      <c r="A464" s="4" t="n">
        <v>460</v>
      </c>
      <c r="B464" s="4" t="inlineStr">
        <is>
          <t>yes</t>
        </is>
      </c>
      <c r="C464" s="4" t="inlineStr">
        <is>
          <t>Rathgeberhof</t>
        </is>
      </c>
      <c r="D464" s="4" t="inlineStr">
        <is>
          <t>38</t>
        </is>
      </c>
      <c r="E464" s="13" t="n">
        <v>65.09999999999999</v>
      </c>
      <c r="F464" s="12" t="n">
        <v>0</v>
      </c>
      <c r="G464" s="4" t="n">
        <v>0</v>
      </c>
      <c r="H464" s="4">
        <f>IF(OR(N(F464)&gt;=0.5,G464&gt;=4),3,IF(OR(N(F464)&gt;=0.3,G464=3),2,IF(OR(N(F464)&gt;=0.1,G464&gt;=1),1,0)))</f>
        <v/>
      </c>
      <c r="I464" s="4">
        <f>CHOOSE(H464+1,"Kein Risiko","Gering","Mittel","Hoch")</f>
        <v/>
      </c>
    </row>
    <row r="465">
      <c r="A465" s="4" t="n">
        <v>461</v>
      </c>
      <c r="B465" s="4" t="inlineStr">
        <is>
          <t>yes</t>
        </is>
      </c>
      <c r="C465" s="4" t="inlineStr">
        <is>
          <t>Rathgeberhof</t>
        </is>
      </c>
      <c r="D465" s="4" t="inlineStr">
        <is>
          <t>40</t>
        </is>
      </c>
      <c r="E465" s="13" t="n">
        <v>62.2</v>
      </c>
      <c r="F465" s="12" t="n">
        <v>0</v>
      </c>
      <c r="G465" s="4" t="n">
        <v>0</v>
      </c>
      <c r="H465" s="4">
        <f>IF(OR(N(F465)&gt;=0.5,G465&gt;=4),3,IF(OR(N(F465)&gt;=0.3,G465=3),2,IF(OR(N(F465)&gt;=0.1,G465&gt;=1),1,0)))</f>
        <v/>
      </c>
      <c r="I465" s="4">
        <f>CHOOSE(H465+1,"Kein Risiko","Gering","Mittel","Hoch")</f>
        <v/>
      </c>
    </row>
    <row r="466">
      <c r="A466" s="4" t="n">
        <v>462</v>
      </c>
      <c r="B466" s="4" t="inlineStr">
        <is>
          <t>chapel</t>
        </is>
      </c>
      <c r="C466" s="4" t="inlineStr"/>
      <c r="D466" s="4" t="inlineStr"/>
      <c r="E466" s="13" t="n">
        <v>68.3</v>
      </c>
      <c r="F466" s="12" t="n">
        <v>0</v>
      </c>
      <c r="G466" s="4" t="n">
        <v>2</v>
      </c>
      <c r="H466" s="4">
        <f>IF(OR(N(F466)&gt;=0.5,G466&gt;=4),3,IF(OR(N(F466)&gt;=0.3,G466=3),2,IF(OR(N(F466)&gt;=0.1,G466&gt;=1),1,0)))</f>
        <v/>
      </c>
      <c r="I466" s="4">
        <f>CHOOSE(H466+1,"Kein Risiko","Gering","Mittel","Hoch")</f>
        <v/>
      </c>
    </row>
    <row r="467">
      <c r="A467" s="4" t="n">
        <v>463</v>
      </c>
      <c r="B467" s="4" t="inlineStr">
        <is>
          <t>yes</t>
        </is>
      </c>
      <c r="C467" s="4" t="inlineStr">
        <is>
          <t>Prinz-Friedrich-Platz</t>
        </is>
      </c>
      <c r="D467" s="4" t="inlineStr">
        <is>
          <t>1</t>
        </is>
      </c>
      <c r="E467" s="13" t="n">
        <v>646.7</v>
      </c>
      <c r="F467" s="12" t="n">
        <v>0</v>
      </c>
      <c r="G467" s="4" t="n">
        <v>0</v>
      </c>
      <c r="H467" s="4">
        <f>IF(OR(N(F467)&gt;=0.5,G467&gt;=4),3,IF(OR(N(F467)&gt;=0.3,G467=3),2,IF(OR(N(F467)&gt;=0.1,G467&gt;=1),1,0)))</f>
        <v/>
      </c>
      <c r="I467" s="4">
        <f>CHOOSE(H467+1,"Kein Risiko","Gering","Mittel","Hoch")</f>
        <v/>
      </c>
    </row>
    <row r="468">
      <c r="A468" s="4" t="n">
        <v>464</v>
      </c>
      <c r="B468" s="4" t="inlineStr">
        <is>
          <t>church</t>
        </is>
      </c>
      <c r="C468" s="4" t="inlineStr">
        <is>
          <t>Dixbäume</t>
        </is>
      </c>
      <c r="D468" s="4" t="inlineStr">
        <is>
          <t>85a</t>
        </is>
      </c>
      <c r="E468" s="13" t="n">
        <v>441.7</v>
      </c>
      <c r="F468" s="12" t="n">
        <v>0.029998779296875</v>
      </c>
      <c r="G468" s="4" t="n">
        <v>0</v>
      </c>
      <c r="H468" s="4">
        <f>IF(OR(N(F468)&gt;=0.5,G468&gt;=4),3,IF(OR(N(F468)&gt;=0.3,G468=3),2,IF(OR(N(F468)&gt;=0.1,G468&gt;=1),1,0)))</f>
        <v/>
      </c>
      <c r="I468" s="4">
        <f>CHOOSE(H468+1,"Kein Risiko","Gering","Mittel","Hoch")</f>
        <v/>
      </c>
    </row>
    <row r="469">
      <c r="A469" s="4" t="n">
        <v>465</v>
      </c>
      <c r="B469" s="4" t="inlineStr">
        <is>
          <t>public</t>
        </is>
      </c>
      <c r="C469" s="4" t="inlineStr">
        <is>
          <t>Dixbäume</t>
        </is>
      </c>
      <c r="D469" s="4" t="inlineStr">
        <is>
          <t>87c</t>
        </is>
      </c>
      <c r="E469" s="13" t="n">
        <v>77.5</v>
      </c>
      <c r="F469" s="12" t="n">
        <v>0</v>
      </c>
      <c r="G469" s="4" t="n">
        <v>1</v>
      </c>
      <c r="H469" s="4">
        <f>IF(OR(N(F469)&gt;=0.5,G469&gt;=4),3,IF(OR(N(F469)&gt;=0.3,G469=3),2,IF(OR(N(F469)&gt;=0.1,G469&gt;=1),1,0)))</f>
        <v/>
      </c>
      <c r="I469" s="4">
        <f>CHOOSE(H469+1,"Kein Risiko","Gering","Mittel","Hoch")</f>
        <v/>
      </c>
    </row>
    <row r="470">
      <c r="A470" s="4" t="n">
        <v>466</v>
      </c>
      <c r="B470" s="4" t="inlineStr">
        <is>
          <t>community_centre</t>
        </is>
      </c>
      <c r="C470" s="4" t="inlineStr">
        <is>
          <t>Dixbäume</t>
        </is>
      </c>
      <c r="D470" s="4" t="inlineStr">
        <is>
          <t>87a</t>
        </is>
      </c>
      <c r="E470" s="13" t="n">
        <v>158.6</v>
      </c>
      <c r="F470" s="12" t="n">
        <v>0</v>
      </c>
      <c r="G470" s="4" t="n">
        <v>1</v>
      </c>
      <c r="H470" s="4">
        <f>IF(OR(N(F470)&gt;=0.5,G470&gt;=4),3,IF(OR(N(F470)&gt;=0.3,G470=3),2,IF(OR(N(F470)&gt;=0.1,G470&gt;=1),1,0)))</f>
        <v/>
      </c>
      <c r="I470" s="4">
        <f>CHOOSE(H470+1,"Kein Risiko","Gering","Mittel","Hoch")</f>
        <v/>
      </c>
    </row>
    <row r="471">
      <c r="A471" s="4" t="n">
        <v>467</v>
      </c>
      <c r="B471" s="4" t="inlineStr">
        <is>
          <t>apartments</t>
        </is>
      </c>
      <c r="C471" s="4" t="inlineStr">
        <is>
          <t>Kupferdreher Straße</t>
        </is>
      </c>
      <c r="D471" s="4" t="inlineStr">
        <is>
          <t>195</t>
        </is>
      </c>
      <c r="E471" s="13" t="n">
        <v>139.2</v>
      </c>
      <c r="F471" s="12" t="n">
        <v>0.09999847412109375</v>
      </c>
      <c r="G471" s="4" t="n">
        <v>2</v>
      </c>
      <c r="H471" s="4">
        <f>IF(OR(N(F471)&gt;=0.5,G471&gt;=4),3,IF(OR(N(F471)&gt;=0.3,G471=3),2,IF(OR(N(F471)&gt;=0.1,G471&gt;=1),1,0)))</f>
        <v/>
      </c>
      <c r="I471" s="4">
        <f>CHOOSE(H471+1,"Kein Risiko","Gering","Mittel","Hoch")</f>
        <v/>
      </c>
    </row>
    <row r="472">
      <c r="A472" s="4" t="n">
        <v>468</v>
      </c>
      <c r="B472" s="4" t="inlineStr">
        <is>
          <t>apartments</t>
        </is>
      </c>
      <c r="C472" s="4" t="inlineStr">
        <is>
          <t>Kupferdreher Straße</t>
        </is>
      </c>
      <c r="D472" s="4" t="inlineStr">
        <is>
          <t>197</t>
        </is>
      </c>
      <c r="E472" s="13" t="n">
        <v>138.8</v>
      </c>
      <c r="F472" s="12" t="n">
        <v>0.2000007629394531</v>
      </c>
      <c r="G472" s="4" t="n">
        <v>2</v>
      </c>
      <c r="H472" s="4">
        <f>IF(OR(N(F472)&gt;=0.5,G472&gt;=4),3,IF(OR(N(F472)&gt;=0.3,G472=3),2,IF(OR(N(F472)&gt;=0.1,G472&gt;=1),1,0)))</f>
        <v/>
      </c>
      <c r="I472" s="4">
        <f>CHOOSE(H472+1,"Kein Risiko","Gering","Mittel","Hoch")</f>
        <v/>
      </c>
    </row>
    <row r="473">
      <c r="A473" s="4" t="n">
        <v>469</v>
      </c>
      <c r="B473" s="4" t="inlineStr">
        <is>
          <t>apartments</t>
        </is>
      </c>
      <c r="C473" s="4" t="inlineStr">
        <is>
          <t>Kupferdreher Straße</t>
        </is>
      </c>
      <c r="D473" s="4" t="inlineStr">
        <is>
          <t>199</t>
        </is>
      </c>
      <c r="E473" s="13" t="n">
        <v>175.9</v>
      </c>
      <c r="F473" s="12" t="n">
        <v>0</v>
      </c>
      <c r="G473" s="4" t="n">
        <v>2</v>
      </c>
      <c r="H473" s="4">
        <f>IF(OR(N(F473)&gt;=0.5,G473&gt;=4),3,IF(OR(N(F473)&gt;=0.3,G473=3),2,IF(OR(N(F473)&gt;=0.1,G473&gt;=1),1,0)))</f>
        <v/>
      </c>
      <c r="I473" s="4">
        <f>CHOOSE(H473+1,"Kein Risiko","Gering","Mittel","Hoch")</f>
        <v/>
      </c>
    </row>
    <row r="474">
      <c r="A474" s="4" t="n">
        <v>470</v>
      </c>
      <c r="B474" s="4" t="inlineStr">
        <is>
          <t>apartments</t>
        </is>
      </c>
      <c r="C474" s="4" t="inlineStr">
        <is>
          <t>Kupferdreher Straße</t>
        </is>
      </c>
      <c r="D474" s="4" t="inlineStr">
        <is>
          <t>201</t>
        </is>
      </c>
      <c r="E474" s="13" t="n">
        <v>112.1</v>
      </c>
      <c r="F474" s="12" t="n">
        <v>0</v>
      </c>
      <c r="G474" s="4" t="n">
        <v>0</v>
      </c>
      <c r="H474" s="4">
        <f>IF(OR(N(F474)&gt;=0.5,G474&gt;=4),3,IF(OR(N(F474)&gt;=0.3,G474=3),2,IF(OR(N(F474)&gt;=0.1,G474&gt;=1),1,0)))</f>
        <v/>
      </c>
      <c r="I474" s="4">
        <f>CHOOSE(H474+1,"Kein Risiko","Gering","Mittel","Hoch")</f>
        <v/>
      </c>
    </row>
    <row r="475">
      <c r="A475" s="4" t="n">
        <v>471</v>
      </c>
      <c r="B475" s="4" t="inlineStr">
        <is>
          <t>apartments</t>
        </is>
      </c>
      <c r="C475" s="4" t="inlineStr">
        <is>
          <t>Kupferdreher Straße</t>
        </is>
      </c>
      <c r="D475" s="4" t="inlineStr">
        <is>
          <t>203</t>
        </is>
      </c>
      <c r="E475" s="13" t="n">
        <v>124.1</v>
      </c>
      <c r="F475" s="12" t="n">
        <v>0.009998321533203125</v>
      </c>
      <c r="G475" s="4" t="n">
        <v>0</v>
      </c>
      <c r="H475" s="4">
        <f>IF(OR(N(F475)&gt;=0.5,G475&gt;=4),3,IF(OR(N(F475)&gt;=0.3,G475=3),2,IF(OR(N(F475)&gt;=0.1,G475&gt;=1),1,0)))</f>
        <v/>
      </c>
      <c r="I475" s="4">
        <f>CHOOSE(H475+1,"Kein Risiko","Gering","Mittel","Hoch")</f>
        <v/>
      </c>
    </row>
    <row r="476">
      <c r="A476" s="4" t="n">
        <v>472</v>
      </c>
      <c r="B476" s="4" t="inlineStr">
        <is>
          <t>yes</t>
        </is>
      </c>
      <c r="C476" s="4" t="inlineStr">
        <is>
          <t>Kampmannbrücke</t>
        </is>
      </c>
      <c r="D476" s="4" t="inlineStr">
        <is>
          <t>5</t>
        </is>
      </c>
      <c r="E476" s="13" t="n">
        <v>92.7</v>
      </c>
      <c r="F476" s="12" t="n">
        <v>0</v>
      </c>
      <c r="G476" s="4" t="n">
        <v>0</v>
      </c>
      <c r="H476" s="4">
        <f>IF(OR(N(F476)&gt;=0.5,G476&gt;=4),3,IF(OR(N(F476)&gt;=0.3,G476=3),2,IF(OR(N(F476)&gt;=0.1,G476&gt;=1),1,0)))</f>
        <v/>
      </c>
      <c r="I476" s="4">
        <f>CHOOSE(H476+1,"Kein Risiko","Gering","Mittel","Hoch")</f>
        <v/>
      </c>
    </row>
    <row r="477">
      <c r="A477" s="4" t="n">
        <v>473</v>
      </c>
      <c r="B477" s="4" t="inlineStr">
        <is>
          <t>yes</t>
        </is>
      </c>
      <c r="C477" s="4" t="inlineStr">
        <is>
          <t>Kampmannbrücke</t>
        </is>
      </c>
      <c r="D477" s="4" t="inlineStr"/>
      <c r="E477" s="13" t="n">
        <v>152.1</v>
      </c>
      <c r="F477" s="12" t="n">
        <v>0</v>
      </c>
      <c r="G477" s="4" t="n">
        <v>1</v>
      </c>
      <c r="H477" s="4">
        <f>IF(OR(N(F477)&gt;=0.5,G477&gt;=4),3,IF(OR(N(F477)&gt;=0.3,G477=3),2,IF(OR(N(F477)&gt;=0.1,G477&gt;=1),1,0)))</f>
        <v/>
      </c>
      <c r="I477" s="4">
        <f>CHOOSE(H477+1,"Kein Risiko","Gering","Mittel","Hoch")</f>
        <v/>
      </c>
    </row>
    <row r="478">
      <c r="A478" s="4" t="n">
        <v>474</v>
      </c>
      <c r="B478" s="4" t="inlineStr">
        <is>
          <t>public</t>
        </is>
      </c>
      <c r="C478" s="4" t="inlineStr">
        <is>
          <t>Prinz-Friedrich-Platz</t>
        </is>
      </c>
      <c r="D478" s="4" t="inlineStr">
        <is>
          <t>2A</t>
        </is>
      </c>
      <c r="E478" s="13" t="n">
        <v>2856.9</v>
      </c>
      <c r="F478" s="12" t="n">
        <v>0.04999923706054688</v>
      </c>
      <c r="G478" s="4" t="n">
        <v>1</v>
      </c>
      <c r="H478" s="4">
        <f>IF(OR(N(F478)&gt;=0.5,G478&gt;=4),3,IF(OR(N(F478)&gt;=0.3,G478=3),2,IF(OR(N(F478)&gt;=0.1,G478&gt;=1),1,0)))</f>
        <v/>
      </c>
      <c r="I478" s="4">
        <f>CHOOSE(H478+1,"Kein Risiko","Gering","Mittel","Hoch")</f>
        <v/>
      </c>
    </row>
    <row r="479">
      <c r="A479" s="4" t="n">
        <v>475</v>
      </c>
      <c r="B479" s="4" t="inlineStr">
        <is>
          <t>yes</t>
        </is>
      </c>
      <c r="C479" s="4" t="inlineStr">
        <is>
          <t>Kampmannbrücke</t>
        </is>
      </c>
      <c r="D479" s="4" t="inlineStr">
        <is>
          <t>1</t>
        </is>
      </c>
      <c r="E479" s="13" t="n">
        <v>436.5</v>
      </c>
      <c r="F479" s="12" t="n">
        <v>0.009998321533203125</v>
      </c>
      <c r="G479" s="4" t="n">
        <v>1</v>
      </c>
      <c r="H479" s="4">
        <f>IF(OR(N(F479)&gt;=0.5,G479&gt;=4),3,IF(OR(N(F479)&gt;=0.3,G479=3),2,IF(OR(N(F479)&gt;=0.1,G479&gt;=1),1,0)))</f>
        <v/>
      </c>
      <c r="I479" s="4">
        <f>CHOOSE(H479+1,"Kein Risiko","Gering","Mittel","Hoch")</f>
        <v/>
      </c>
    </row>
    <row r="480">
      <c r="A480" s="4" t="n">
        <v>476</v>
      </c>
      <c r="B480" s="4" t="inlineStr">
        <is>
          <t>apartments</t>
        </is>
      </c>
      <c r="C480" s="4" t="inlineStr">
        <is>
          <t>Dixbäume</t>
        </is>
      </c>
      <c r="D480" s="4" t="inlineStr">
        <is>
          <t>80</t>
        </is>
      </c>
      <c r="E480" s="13" t="n">
        <v>218.9</v>
      </c>
      <c r="F480" s="12" t="n">
        <v>0</v>
      </c>
      <c r="G480" s="4" t="n">
        <v>1</v>
      </c>
      <c r="H480" s="4">
        <f>IF(OR(N(F480)&gt;=0.5,G480&gt;=4),3,IF(OR(N(F480)&gt;=0.3,G480=3),2,IF(OR(N(F480)&gt;=0.1,G480&gt;=1),1,0)))</f>
        <v/>
      </c>
      <c r="I480" s="4">
        <f>CHOOSE(H480+1,"Kein Risiko","Gering","Mittel","Hoch")</f>
        <v/>
      </c>
    </row>
    <row r="481">
      <c r="A481" s="4" t="n">
        <v>477</v>
      </c>
      <c r="B481" s="4" t="inlineStr">
        <is>
          <t>commercial</t>
        </is>
      </c>
      <c r="C481" s="4" t="inlineStr">
        <is>
          <t>Dilldorfer Straße</t>
        </is>
      </c>
      <c r="D481" s="4" t="inlineStr">
        <is>
          <t>32a</t>
        </is>
      </c>
      <c r="E481" s="13" t="n">
        <v>17.5</v>
      </c>
      <c r="F481" s="12" t="n">
        <v>0</v>
      </c>
      <c r="G481" s="4" t="n">
        <v>0</v>
      </c>
      <c r="H481" s="4">
        <f>IF(OR(N(F481)&gt;=0.5,G481&gt;=4),3,IF(OR(N(F481)&gt;=0.3,G481=3),2,IF(OR(N(F481)&gt;=0.1,G481&gt;=1),1,0)))</f>
        <v/>
      </c>
      <c r="I481" s="4">
        <f>CHOOSE(H481+1,"Kein Risiko","Gering","Mittel","Hoch")</f>
        <v/>
      </c>
    </row>
    <row r="482">
      <c r="A482" s="4" t="n">
        <v>478</v>
      </c>
      <c r="B482" s="4" t="inlineStr">
        <is>
          <t>yes</t>
        </is>
      </c>
      <c r="C482" s="4" t="inlineStr">
        <is>
          <t>Prinz-Wilhelm-Damm</t>
        </is>
      </c>
      <c r="D482" s="4" t="inlineStr">
        <is>
          <t>26</t>
        </is>
      </c>
      <c r="E482" s="13" t="n">
        <v>105.4</v>
      </c>
      <c r="F482" s="12" t="n">
        <v>0</v>
      </c>
      <c r="G482" s="4" t="n">
        <v>1</v>
      </c>
      <c r="H482" s="4">
        <f>IF(OR(N(F482)&gt;=0.5,G482&gt;=4),3,IF(OR(N(F482)&gt;=0.3,G482=3),2,IF(OR(N(F482)&gt;=0.1,G482&gt;=1),1,0)))</f>
        <v/>
      </c>
      <c r="I482" s="4">
        <f>CHOOSE(H482+1,"Kein Risiko","Gering","Mittel","Hoch")</f>
        <v/>
      </c>
    </row>
    <row r="483">
      <c r="A483" s="4" t="n">
        <v>479</v>
      </c>
      <c r="B483" s="4" t="inlineStr">
        <is>
          <t>apartments</t>
        </is>
      </c>
      <c r="C483" s="4" t="inlineStr">
        <is>
          <t>Prinz-Wilhelm-Damm</t>
        </is>
      </c>
      <c r="D483" s="4" t="inlineStr">
        <is>
          <t>6</t>
        </is>
      </c>
      <c r="E483" s="13" t="n">
        <v>139.9</v>
      </c>
      <c r="F483" s="12" t="n">
        <v>0</v>
      </c>
      <c r="G483" s="4" t="n">
        <v>0</v>
      </c>
      <c r="H483" s="4">
        <f>IF(OR(N(F483)&gt;=0.5,G483&gt;=4),3,IF(OR(N(F483)&gt;=0.3,G483=3),2,IF(OR(N(F483)&gt;=0.1,G483&gt;=1),1,0)))</f>
        <v/>
      </c>
      <c r="I483" s="4">
        <f>CHOOSE(H483+1,"Kein Risiko","Gering","Mittel","Hoch")</f>
        <v/>
      </c>
    </row>
    <row r="484">
      <c r="A484" s="4" t="n">
        <v>480</v>
      </c>
      <c r="B484" s="4" t="inlineStr">
        <is>
          <t>yes</t>
        </is>
      </c>
      <c r="C484" s="4" t="inlineStr">
        <is>
          <t>Prinz-Wilhelm-Damm</t>
        </is>
      </c>
      <c r="D484" s="4" t="inlineStr">
        <is>
          <t>30</t>
        </is>
      </c>
      <c r="E484" s="13" t="n">
        <v>53.7</v>
      </c>
      <c r="F484" s="12" t="n">
        <v>0.04000091552734375</v>
      </c>
      <c r="G484" s="4" t="n">
        <v>0</v>
      </c>
      <c r="H484" s="4">
        <f>IF(OR(N(F484)&gt;=0.5,G484&gt;=4),3,IF(OR(N(F484)&gt;=0.3,G484=3),2,IF(OR(N(F484)&gt;=0.1,G484&gt;=1),1,0)))</f>
        <v/>
      </c>
      <c r="I484" s="4">
        <f>CHOOSE(H484+1,"Kein Risiko","Gering","Mittel","Hoch")</f>
        <v/>
      </c>
    </row>
    <row r="485">
      <c r="A485" s="4" t="n">
        <v>481</v>
      </c>
      <c r="B485" s="4" t="inlineStr">
        <is>
          <t>yes</t>
        </is>
      </c>
      <c r="C485" s="4" t="inlineStr">
        <is>
          <t>Prinz-Wilhelm-Damm</t>
        </is>
      </c>
      <c r="D485" s="4" t="inlineStr">
        <is>
          <t>15</t>
        </is>
      </c>
      <c r="E485" s="13" t="n">
        <v>131</v>
      </c>
      <c r="F485" s="12" t="n">
        <v>0.09000015258789062</v>
      </c>
      <c r="G485" s="4" t="n">
        <v>2</v>
      </c>
      <c r="H485" s="4">
        <f>IF(OR(N(F485)&gt;=0.5,G485&gt;=4),3,IF(OR(N(F485)&gt;=0.3,G485=3),2,IF(OR(N(F485)&gt;=0.1,G485&gt;=1),1,0)))</f>
        <v/>
      </c>
      <c r="I485" s="4">
        <f>CHOOSE(H485+1,"Kein Risiko","Gering","Mittel","Hoch")</f>
        <v/>
      </c>
    </row>
    <row r="486">
      <c r="A486" s="4" t="n">
        <v>482</v>
      </c>
      <c r="B486" s="4" t="inlineStr">
        <is>
          <t>yes</t>
        </is>
      </c>
      <c r="C486" s="4" t="inlineStr"/>
      <c r="D486" s="4" t="inlineStr"/>
      <c r="E486" s="13" t="n">
        <v>53.8</v>
      </c>
      <c r="F486" s="12" t="n">
        <v>0</v>
      </c>
      <c r="G486" s="4" t="n">
        <v>0</v>
      </c>
      <c r="H486" s="4">
        <f>IF(OR(N(F486)&gt;=0.5,G486&gt;=4),3,IF(OR(N(F486)&gt;=0.3,G486=3),2,IF(OR(N(F486)&gt;=0.1,G486&gt;=1),1,0)))</f>
        <v/>
      </c>
      <c r="I486" s="4">
        <f>CHOOSE(H486+1,"Kein Risiko","Gering","Mittel","Hoch")</f>
        <v/>
      </c>
    </row>
    <row r="487">
      <c r="A487" s="4" t="n">
        <v>483</v>
      </c>
      <c r="B487" s="4" t="inlineStr">
        <is>
          <t>yes</t>
        </is>
      </c>
      <c r="C487" s="4" t="inlineStr">
        <is>
          <t>Prinz-Wilhelm-Damm</t>
        </is>
      </c>
      <c r="D487" s="4" t="inlineStr">
        <is>
          <t>23</t>
        </is>
      </c>
      <c r="E487" s="13" t="n">
        <v>126.1</v>
      </c>
      <c r="F487" s="12" t="n">
        <v>0</v>
      </c>
      <c r="G487" s="4" t="n">
        <v>5</v>
      </c>
      <c r="H487" s="4">
        <f>IF(OR(N(F487)&gt;=0.5,G487&gt;=4),3,IF(OR(N(F487)&gt;=0.3,G487=3),2,IF(OR(N(F487)&gt;=0.1,G487&gt;=1),1,0)))</f>
        <v/>
      </c>
      <c r="I487" s="4">
        <f>CHOOSE(H487+1,"Kein Risiko","Gering","Mittel","Hoch")</f>
        <v/>
      </c>
    </row>
    <row r="488">
      <c r="A488" s="4" t="n">
        <v>484</v>
      </c>
      <c r="B488" s="4" t="inlineStr">
        <is>
          <t>yes</t>
        </is>
      </c>
      <c r="C488" s="4" t="inlineStr">
        <is>
          <t>Prinz-Wilhelm-Damm</t>
        </is>
      </c>
      <c r="D488" s="4" t="inlineStr">
        <is>
          <t>17</t>
        </is>
      </c>
      <c r="E488" s="13" t="n">
        <v>97.8</v>
      </c>
      <c r="F488" s="12" t="n">
        <v>0</v>
      </c>
      <c r="G488" s="4" t="n">
        <v>0</v>
      </c>
      <c r="H488" s="4">
        <f>IF(OR(N(F488)&gt;=0.5,G488&gt;=4),3,IF(OR(N(F488)&gt;=0.3,G488=3),2,IF(OR(N(F488)&gt;=0.1,G488&gt;=1),1,0)))</f>
        <v/>
      </c>
      <c r="I488" s="4">
        <f>CHOOSE(H488+1,"Kein Risiko","Gering","Mittel","Hoch")</f>
        <v/>
      </c>
    </row>
    <row r="489">
      <c r="A489" s="4" t="n">
        <v>485</v>
      </c>
      <c r="B489" s="4" t="inlineStr">
        <is>
          <t>apartments</t>
        </is>
      </c>
      <c r="C489" s="4" t="inlineStr">
        <is>
          <t>Dixbäume</t>
        </is>
      </c>
      <c r="D489" s="4" t="inlineStr">
        <is>
          <t>91</t>
        </is>
      </c>
      <c r="E489" s="13" t="n">
        <v>118.2</v>
      </c>
      <c r="F489" s="12" t="n">
        <v>0</v>
      </c>
      <c r="G489" s="4" t="n">
        <v>2</v>
      </c>
      <c r="H489" s="4">
        <f>IF(OR(N(F489)&gt;=0.5,G489&gt;=4),3,IF(OR(N(F489)&gt;=0.3,G489=3),2,IF(OR(N(F489)&gt;=0.1,G489&gt;=1),1,0)))</f>
        <v/>
      </c>
      <c r="I489" s="4">
        <f>CHOOSE(H489+1,"Kein Risiko","Gering","Mittel","Hoch")</f>
        <v/>
      </c>
    </row>
    <row r="490">
      <c r="A490" s="4" t="n">
        <v>486</v>
      </c>
      <c r="B490" s="4" t="inlineStr">
        <is>
          <t>yes</t>
        </is>
      </c>
      <c r="C490" s="4" t="inlineStr"/>
      <c r="D490" s="4" t="inlineStr"/>
      <c r="E490" s="13" t="n">
        <v>11.7</v>
      </c>
      <c r="F490" s="12" t="n">
        <v>0</v>
      </c>
      <c r="G490" s="4" t="n">
        <v>0</v>
      </c>
      <c r="H490" s="4">
        <f>IF(OR(N(F490)&gt;=0.5,G490&gt;=4),3,IF(OR(N(F490)&gt;=0.3,G490=3),2,IF(OR(N(F490)&gt;=0.1,G490&gt;=1),1,0)))</f>
        <v/>
      </c>
      <c r="I490" s="4">
        <f>CHOOSE(H490+1,"Kein Risiko","Gering","Mittel","Hoch")</f>
        <v/>
      </c>
    </row>
    <row r="491">
      <c r="A491" s="4" t="n">
        <v>487</v>
      </c>
      <c r="B491" s="4" t="inlineStr">
        <is>
          <t>apartments</t>
        </is>
      </c>
      <c r="C491" s="4" t="inlineStr">
        <is>
          <t>Prinz-Wilhelm-Damm</t>
        </is>
      </c>
      <c r="D491" s="4" t="inlineStr">
        <is>
          <t>8</t>
        </is>
      </c>
      <c r="E491" s="13" t="n">
        <v>103.9</v>
      </c>
      <c r="F491" s="12" t="n">
        <v>0</v>
      </c>
      <c r="G491" s="4" t="n">
        <v>0</v>
      </c>
      <c r="H491" s="4">
        <f>IF(OR(N(F491)&gt;=0.5,G491&gt;=4),3,IF(OR(N(F491)&gt;=0.3,G491=3),2,IF(OR(N(F491)&gt;=0.1,G491&gt;=1),1,0)))</f>
        <v/>
      </c>
      <c r="I491" s="4">
        <f>CHOOSE(H491+1,"Kein Risiko","Gering","Mittel","Hoch")</f>
        <v/>
      </c>
    </row>
    <row r="492">
      <c r="A492" s="4" t="n">
        <v>488</v>
      </c>
      <c r="B492" s="4" t="inlineStr">
        <is>
          <t>yes</t>
        </is>
      </c>
      <c r="C492" s="4" t="inlineStr">
        <is>
          <t>Prinz-Wilhelm-Damm</t>
        </is>
      </c>
      <c r="D492" s="4" t="inlineStr">
        <is>
          <t>29</t>
        </is>
      </c>
      <c r="E492" s="13" t="n">
        <v>89.3</v>
      </c>
      <c r="F492" s="12" t="n">
        <v>0</v>
      </c>
      <c r="G492" s="4" t="n">
        <v>0</v>
      </c>
      <c r="H492" s="4">
        <f>IF(OR(N(F492)&gt;=0.5,G492&gt;=4),3,IF(OR(N(F492)&gt;=0.3,G492=3),2,IF(OR(N(F492)&gt;=0.1,G492&gt;=1),1,0)))</f>
        <v/>
      </c>
      <c r="I492" s="4">
        <f>CHOOSE(H492+1,"Kein Risiko","Gering","Mittel","Hoch")</f>
        <v/>
      </c>
    </row>
    <row r="493">
      <c r="A493" s="4" t="n">
        <v>489</v>
      </c>
      <c r="B493" s="4" t="inlineStr">
        <is>
          <t>yes</t>
        </is>
      </c>
      <c r="C493" s="4" t="inlineStr">
        <is>
          <t>Kampmannbrücke</t>
        </is>
      </c>
      <c r="D493" s="4" t="inlineStr">
        <is>
          <t>9</t>
        </is>
      </c>
      <c r="E493" s="13" t="n">
        <v>58</v>
      </c>
      <c r="F493" s="12" t="n">
        <v>0</v>
      </c>
      <c r="G493" s="4" t="n">
        <v>0</v>
      </c>
      <c r="H493" s="4">
        <f>IF(OR(N(F493)&gt;=0.5,G493&gt;=4),3,IF(OR(N(F493)&gt;=0.3,G493=3),2,IF(OR(N(F493)&gt;=0.1,G493&gt;=1),1,0)))</f>
        <v/>
      </c>
      <c r="I493" s="4">
        <f>CHOOSE(H493+1,"Kein Risiko","Gering","Mittel","Hoch")</f>
        <v/>
      </c>
    </row>
    <row r="494">
      <c r="A494" s="4" t="n">
        <v>490</v>
      </c>
      <c r="B494" s="4" t="inlineStr">
        <is>
          <t>yes</t>
        </is>
      </c>
      <c r="C494" s="4" t="inlineStr">
        <is>
          <t>Prinz-Wilhelm-Damm</t>
        </is>
      </c>
      <c r="D494" s="4" t="inlineStr">
        <is>
          <t>24</t>
        </is>
      </c>
      <c r="E494" s="13" t="n">
        <v>126.1</v>
      </c>
      <c r="F494" s="12" t="n">
        <v>0.2899971008300781</v>
      </c>
      <c r="G494" s="4" t="n">
        <v>5</v>
      </c>
      <c r="H494" s="4">
        <f>IF(OR(N(F494)&gt;=0.5,G494&gt;=4),3,IF(OR(N(F494)&gt;=0.3,G494=3),2,IF(OR(N(F494)&gt;=0.1,G494&gt;=1),1,0)))</f>
        <v/>
      </c>
      <c r="I494" s="4">
        <f>CHOOSE(H494+1,"Kein Risiko","Gering","Mittel","Hoch")</f>
        <v/>
      </c>
    </row>
    <row r="495">
      <c r="A495" s="4" t="n">
        <v>491</v>
      </c>
      <c r="B495" s="4" t="inlineStr">
        <is>
          <t>yes</t>
        </is>
      </c>
      <c r="C495" s="4" t="inlineStr">
        <is>
          <t>Prinz-Wilhelm-Damm</t>
        </is>
      </c>
      <c r="D495" s="4" t="inlineStr">
        <is>
          <t>19</t>
        </is>
      </c>
      <c r="E495" s="13" t="n">
        <v>122.9</v>
      </c>
      <c r="F495" s="12" t="n">
        <v>0.1800003051757812</v>
      </c>
      <c r="G495" s="4" t="n">
        <v>1</v>
      </c>
      <c r="H495" s="4">
        <f>IF(OR(N(F495)&gt;=0.5,G495&gt;=4),3,IF(OR(N(F495)&gt;=0.3,G495=3),2,IF(OR(N(F495)&gt;=0.1,G495&gt;=1),1,0)))</f>
        <v/>
      </c>
      <c r="I495" s="4">
        <f>CHOOSE(H495+1,"Kein Risiko","Gering","Mittel","Hoch")</f>
        <v/>
      </c>
    </row>
    <row r="496">
      <c r="A496" s="4" t="n">
        <v>492</v>
      </c>
      <c r="B496" s="4" t="inlineStr">
        <is>
          <t>yes</t>
        </is>
      </c>
      <c r="C496" s="4" t="inlineStr">
        <is>
          <t>Prinz-Wilhelm-Damm</t>
        </is>
      </c>
      <c r="D496" s="4" t="inlineStr">
        <is>
          <t>13</t>
        </is>
      </c>
      <c r="E496" s="13" t="n">
        <v>123.6</v>
      </c>
      <c r="F496" s="12" t="n">
        <v>0.1100006103515625</v>
      </c>
      <c r="G496" s="4" t="n">
        <v>1</v>
      </c>
      <c r="H496" s="4">
        <f>IF(OR(N(F496)&gt;=0.5,G496&gt;=4),3,IF(OR(N(F496)&gt;=0.3,G496=3),2,IF(OR(N(F496)&gt;=0.1,G496&gt;=1),1,0)))</f>
        <v/>
      </c>
      <c r="I496" s="4">
        <f>CHOOSE(H496+1,"Kein Risiko","Gering","Mittel","Hoch")</f>
        <v/>
      </c>
    </row>
    <row r="497">
      <c r="A497" s="4" t="n">
        <v>493</v>
      </c>
      <c r="B497" s="4" t="inlineStr">
        <is>
          <t>yes</t>
        </is>
      </c>
      <c r="C497" s="4" t="inlineStr">
        <is>
          <t>Prinz-Wilhelm-Damm</t>
        </is>
      </c>
      <c r="D497" s="4" t="inlineStr">
        <is>
          <t>10</t>
        </is>
      </c>
      <c r="E497" s="13" t="n">
        <v>111.5</v>
      </c>
      <c r="F497" s="12" t="n">
        <v>0</v>
      </c>
      <c r="G497" s="4" t="n">
        <v>0</v>
      </c>
      <c r="H497" s="4">
        <f>IF(OR(N(F497)&gt;=0.5,G497&gt;=4),3,IF(OR(N(F497)&gt;=0.3,G497=3),2,IF(OR(N(F497)&gt;=0.1,G497&gt;=1),1,0)))</f>
        <v/>
      </c>
      <c r="I497" s="4">
        <f>CHOOSE(H497+1,"Kein Risiko","Gering","Mittel","Hoch")</f>
        <v/>
      </c>
    </row>
    <row r="498">
      <c r="A498" s="4" t="n">
        <v>494</v>
      </c>
      <c r="B498" s="4" t="inlineStr">
        <is>
          <t>yes</t>
        </is>
      </c>
      <c r="C498" s="4" t="inlineStr"/>
      <c r="D498" s="4" t="inlineStr"/>
      <c r="E498" s="13" t="n">
        <v>54.6</v>
      </c>
      <c r="F498" s="12" t="n">
        <v>0.01999664306640625</v>
      </c>
      <c r="G498" s="4" t="n">
        <v>0</v>
      </c>
      <c r="H498" s="4">
        <f>IF(OR(N(F498)&gt;=0.5,G498&gt;=4),3,IF(OR(N(F498)&gt;=0.3,G498=3),2,IF(OR(N(F498)&gt;=0.1,G498&gt;=1),1,0)))</f>
        <v/>
      </c>
      <c r="I498" s="4">
        <f>CHOOSE(H498+1,"Kein Risiko","Gering","Mittel","Hoch")</f>
        <v/>
      </c>
    </row>
    <row r="499">
      <c r="A499" s="4" t="n">
        <v>495</v>
      </c>
      <c r="B499" s="4" t="inlineStr">
        <is>
          <t>yes</t>
        </is>
      </c>
      <c r="C499" s="4" t="inlineStr">
        <is>
          <t>Prinz-Wilhelm-Damm</t>
        </is>
      </c>
      <c r="D499" s="4" t="inlineStr">
        <is>
          <t>22</t>
        </is>
      </c>
      <c r="E499" s="13" t="n">
        <v>132.2</v>
      </c>
      <c r="F499" s="12" t="n">
        <v>0</v>
      </c>
      <c r="G499" s="4" t="n">
        <v>0</v>
      </c>
      <c r="H499" s="4">
        <f>IF(OR(N(F499)&gt;=0.5,G499&gt;=4),3,IF(OR(N(F499)&gt;=0.3,G499=3),2,IF(OR(N(F499)&gt;=0.1,G499&gt;=1),1,0)))</f>
        <v/>
      </c>
      <c r="I499" s="4">
        <f>CHOOSE(H499+1,"Kein Risiko","Gering","Mittel","Hoch")</f>
        <v/>
      </c>
    </row>
    <row r="500">
      <c r="A500" s="4" t="n">
        <v>496</v>
      </c>
      <c r="B500" s="4" t="inlineStr">
        <is>
          <t>yes</t>
        </is>
      </c>
      <c r="C500" s="4" t="inlineStr">
        <is>
          <t>Prinz-Wilhelm-Damm</t>
        </is>
      </c>
      <c r="D500" s="4" t="inlineStr">
        <is>
          <t>21</t>
        </is>
      </c>
      <c r="E500" s="13" t="n">
        <v>132.2</v>
      </c>
      <c r="F500" s="12" t="n">
        <v>0</v>
      </c>
      <c r="G500" s="4" t="n">
        <v>0</v>
      </c>
      <c r="H500" s="4">
        <f>IF(OR(N(F500)&gt;=0.5,G500&gt;=4),3,IF(OR(N(F500)&gt;=0.3,G500=3),2,IF(OR(N(F500)&gt;=0.1,G500&gt;=1),1,0)))</f>
        <v/>
      </c>
      <c r="I500" s="4">
        <f>CHOOSE(H500+1,"Kein Risiko","Gering","Mittel","Hoch")</f>
        <v/>
      </c>
    </row>
    <row r="501">
      <c r="A501" s="4" t="n">
        <v>497</v>
      </c>
      <c r="B501" s="4" t="inlineStr">
        <is>
          <t>yes</t>
        </is>
      </c>
      <c r="C501" s="4" t="inlineStr">
        <is>
          <t>Prinz-Wilhelm-Damm</t>
        </is>
      </c>
      <c r="D501" s="4" t="inlineStr">
        <is>
          <t>14</t>
        </is>
      </c>
      <c r="E501" s="13" t="n">
        <v>109.4</v>
      </c>
      <c r="F501" s="12" t="n">
        <v>0</v>
      </c>
      <c r="G501" s="4" t="n">
        <v>0</v>
      </c>
      <c r="H501" s="4">
        <f>IF(OR(N(F501)&gt;=0.5,G501&gt;=4),3,IF(OR(N(F501)&gt;=0.3,G501=3),2,IF(OR(N(F501)&gt;=0.1,G501&gt;=1),1,0)))</f>
        <v/>
      </c>
      <c r="I501" s="4">
        <f>CHOOSE(H501+1,"Kein Risiko","Gering","Mittel","Hoch")</f>
        <v/>
      </c>
    </row>
    <row r="502">
      <c r="A502" s="4" t="n">
        <v>498</v>
      </c>
      <c r="B502" s="4" t="inlineStr">
        <is>
          <t>yes</t>
        </is>
      </c>
      <c r="C502" s="4" t="inlineStr">
        <is>
          <t>Prinz-Wilhelm-Damm</t>
        </is>
      </c>
      <c r="D502" s="4" t="inlineStr">
        <is>
          <t>25</t>
        </is>
      </c>
      <c r="E502" s="13" t="n">
        <v>105.9</v>
      </c>
      <c r="F502" s="12" t="n">
        <v>0</v>
      </c>
      <c r="G502" s="4" t="n">
        <v>1</v>
      </c>
      <c r="H502" s="4">
        <f>IF(OR(N(F502)&gt;=0.5,G502&gt;=4),3,IF(OR(N(F502)&gt;=0.3,G502=3),2,IF(OR(N(F502)&gt;=0.1,G502&gt;=1),1,0)))</f>
        <v/>
      </c>
      <c r="I502" s="4">
        <f>CHOOSE(H502+1,"Kein Risiko","Gering","Mittel","Hoch")</f>
        <v/>
      </c>
    </row>
    <row r="503">
      <c r="A503" s="4" t="n">
        <v>499</v>
      </c>
      <c r="B503" s="4" t="inlineStr">
        <is>
          <t>yes</t>
        </is>
      </c>
      <c r="C503" s="4" t="inlineStr"/>
      <c r="D503" s="4" t="inlineStr"/>
      <c r="E503" s="13" t="n">
        <v>69.5</v>
      </c>
      <c r="F503" s="12" t="n">
        <v>0.01000213623046875</v>
      </c>
      <c r="G503" s="4" t="n">
        <v>0</v>
      </c>
      <c r="H503" s="4">
        <f>IF(OR(N(F503)&gt;=0.5,G503&gt;=4),3,IF(OR(N(F503)&gt;=0.3,G503=3),2,IF(OR(N(F503)&gt;=0.1,G503&gt;=1),1,0)))</f>
        <v/>
      </c>
      <c r="I503" s="4">
        <f>CHOOSE(H503+1,"Kein Risiko","Gering","Mittel","Hoch")</f>
        <v/>
      </c>
    </row>
    <row r="504">
      <c r="A504" s="4" t="n">
        <v>500</v>
      </c>
      <c r="B504" s="4" t="inlineStr">
        <is>
          <t>yes</t>
        </is>
      </c>
      <c r="C504" s="4" t="inlineStr"/>
      <c r="D504" s="4" t="inlineStr"/>
      <c r="E504" s="13" t="n">
        <v>29.7</v>
      </c>
      <c r="F504" s="12" t="n">
        <v>0</v>
      </c>
      <c r="G504" s="4" t="n">
        <v>0</v>
      </c>
      <c r="H504" s="4">
        <f>IF(OR(N(F504)&gt;=0.5,G504&gt;=4),3,IF(OR(N(F504)&gt;=0.3,G504=3),2,IF(OR(N(F504)&gt;=0.1,G504&gt;=1),1,0)))</f>
        <v/>
      </c>
      <c r="I504" s="4">
        <f>CHOOSE(H504+1,"Kein Risiko","Gering","Mittel","Hoch")</f>
        <v/>
      </c>
    </row>
    <row r="505">
      <c r="A505" s="4" t="n">
        <v>501</v>
      </c>
      <c r="B505" s="4" t="inlineStr">
        <is>
          <t>apartments</t>
        </is>
      </c>
      <c r="C505" s="4" t="inlineStr">
        <is>
          <t>Dixbäume</t>
        </is>
      </c>
      <c r="D505" s="4" t="inlineStr">
        <is>
          <t>89</t>
        </is>
      </c>
      <c r="E505" s="13" t="n">
        <v>98</v>
      </c>
      <c r="F505" s="12" t="n">
        <v>0.04999923706054688</v>
      </c>
      <c r="G505" s="4" t="n">
        <v>3</v>
      </c>
      <c r="H505" s="4">
        <f>IF(OR(N(F505)&gt;=0.5,G505&gt;=4),3,IF(OR(N(F505)&gt;=0.3,G505=3),2,IF(OR(N(F505)&gt;=0.1,G505&gt;=1),1,0)))</f>
        <v/>
      </c>
      <c r="I505" s="4">
        <f>CHOOSE(H505+1,"Kein Risiko","Gering","Mittel","Hoch")</f>
        <v/>
      </c>
    </row>
    <row r="506">
      <c r="A506" s="4" t="n">
        <v>502</v>
      </c>
      <c r="B506" s="4" t="inlineStr">
        <is>
          <t>yes</t>
        </is>
      </c>
      <c r="C506" s="4" t="inlineStr">
        <is>
          <t>Kupferdreher Straße</t>
        </is>
      </c>
      <c r="D506" s="4" t="inlineStr">
        <is>
          <t>198a</t>
        </is>
      </c>
      <c r="E506" s="13" t="n">
        <v>56.7</v>
      </c>
      <c r="F506" s="12" t="n">
        <v>0.02000045776367188</v>
      </c>
      <c r="G506" s="4" t="n">
        <v>0</v>
      </c>
      <c r="H506" s="4">
        <f>IF(OR(N(F506)&gt;=0.5,G506&gt;=4),3,IF(OR(N(F506)&gt;=0.3,G506=3),2,IF(OR(N(F506)&gt;=0.1,G506&gt;=1),1,0)))</f>
        <v/>
      </c>
      <c r="I506" s="4">
        <f>CHOOSE(H506+1,"Kein Risiko","Gering","Mittel","Hoch")</f>
        <v/>
      </c>
    </row>
    <row r="507">
      <c r="A507" s="4" t="n">
        <v>503</v>
      </c>
      <c r="B507" s="4" t="inlineStr">
        <is>
          <t>yes</t>
        </is>
      </c>
      <c r="C507" s="4" t="inlineStr">
        <is>
          <t>Kupferdreher Straße</t>
        </is>
      </c>
      <c r="D507" s="4" t="inlineStr">
        <is>
          <t>198b</t>
        </is>
      </c>
      <c r="E507" s="13" t="n">
        <v>54.9</v>
      </c>
      <c r="F507" s="12" t="n">
        <v>0.01000213623046875</v>
      </c>
      <c r="G507" s="4" t="n">
        <v>0</v>
      </c>
      <c r="H507" s="4">
        <f>IF(OR(N(F507)&gt;=0.5,G507&gt;=4),3,IF(OR(N(F507)&gt;=0.3,G507=3),2,IF(OR(N(F507)&gt;=0.1,G507&gt;=1),1,0)))</f>
        <v/>
      </c>
      <c r="I507" s="4">
        <f>CHOOSE(H507+1,"Kein Risiko","Gering","Mittel","Hoch")</f>
        <v/>
      </c>
    </row>
    <row r="508">
      <c r="A508" s="4" t="n">
        <v>504</v>
      </c>
      <c r="B508" s="4" t="inlineStr">
        <is>
          <t>yes</t>
        </is>
      </c>
      <c r="C508" s="4" t="inlineStr">
        <is>
          <t>Kupferdreher Straße</t>
        </is>
      </c>
      <c r="D508" s="4" t="inlineStr">
        <is>
          <t>198c</t>
        </is>
      </c>
      <c r="E508" s="13" t="n">
        <v>54.5</v>
      </c>
      <c r="F508" s="12" t="n">
        <v>0</v>
      </c>
      <c r="G508" s="4" t="n">
        <v>0</v>
      </c>
      <c r="H508" s="4">
        <f>IF(OR(N(F508)&gt;=0.5,G508&gt;=4),3,IF(OR(N(F508)&gt;=0.3,G508=3),2,IF(OR(N(F508)&gt;=0.1,G508&gt;=1),1,0)))</f>
        <v/>
      </c>
      <c r="I508" s="4">
        <f>CHOOSE(H508+1,"Kein Risiko","Gering","Mittel","Hoch")</f>
        <v/>
      </c>
    </row>
    <row r="509">
      <c r="A509" s="4" t="n">
        <v>505</v>
      </c>
      <c r="B509" s="4" t="inlineStr">
        <is>
          <t>yes</t>
        </is>
      </c>
      <c r="C509" s="4" t="inlineStr">
        <is>
          <t>Kupferdreher Straße</t>
        </is>
      </c>
      <c r="D509" s="4" t="inlineStr">
        <is>
          <t>198d</t>
        </is>
      </c>
      <c r="E509" s="13" t="n">
        <v>55.4</v>
      </c>
      <c r="F509" s="12" t="n">
        <v>0</v>
      </c>
      <c r="G509" s="4" t="n">
        <v>0</v>
      </c>
      <c r="H509" s="4">
        <f>IF(OR(N(F509)&gt;=0.5,G509&gt;=4),3,IF(OR(N(F509)&gt;=0.3,G509=3),2,IF(OR(N(F509)&gt;=0.1,G509&gt;=1),1,0)))</f>
        <v/>
      </c>
      <c r="I509" s="4">
        <f>CHOOSE(H509+1,"Kein Risiko","Gering","Mittel","Hoch")</f>
        <v/>
      </c>
    </row>
    <row r="510">
      <c r="A510" s="4" t="n">
        <v>506</v>
      </c>
      <c r="B510" s="4" t="inlineStr">
        <is>
          <t>apartments</t>
        </is>
      </c>
      <c r="C510" s="4" t="inlineStr">
        <is>
          <t>Kupferdreher Straße</t>
        </is>
      </c>
      <c r="D510" s="4" t="inlineStr">
        <is>
          <t>202</t>
        </is>
      </c>
      <c r="E510" s="13" t="n">
        <v>296.2</v>
      </c>
      <c r="F510" s="12" t="n">
        <v>0</v>
      </c>
      <c r="G510" s="4" t="n">
        <v>0</v>
      </c>
      <c r="H510" s="4">
        <f>IF(OR(N(F510)&gt;=0.5,G510&gt;=4),3,IF(OR(N(F510)&gt;=0.3,G510=3),2,IF(OR(N(F510)&gt;=0.1,G510&gt;=1),1,0)))</f>
        <v/>
      </c>
      <c r="I510" s="4">
        <f>CHOOSE(H510+1,"Kein Risiko","Gering","Mittel","Hoch")</f>
        <v/>
      </c>
    </row>
    <row r="511">
      <c r="A511" s="4" t="n">
        <v>507</v>
      </c>
      <c r="B511" s="4" t="inlineStr">
        <is>
          <t>apartments</t>
        </is>
      </c>
      <c r="C511" s="4" t="inlineStr">
        <is>
          <t>Kupferdreher Straße</t>
        </is>
      </c>
      <c r="D511" s="4" t="inlineStr">
        <is>
          <t>204</t>
        </is>
      </c>
      <c r="E511" s="13" t="n">
        <v>243</v>
      </c>
      <c r="F511" s="12" t="n">
        <v>0</v>
      </c>
      <c r="G511" s="4" t="n">
        <v>0</v>
      </c>
      <c r="H511" s="4">
        <f>IF(OR(N(F511)&gt;=0.5,G511&gt;=4),3,IF(OR(N(F511)&gt;=0.3,G511=3),2,IF(OR(N(F511)&gt;=0.1,G511&gt;=1),1,0)))</f>
        <v/>
      </c>
      <c r="I511" s="4">
        <f>CHOOSE(H511+1,"Kein Risiko","Gering","Mittel","Hoch")</f>
        <v/>
      </c>
    </row>
    <row r="512">
      <c r="A512" s="4" t="n">
        <v>508</v>
      </c>
      <c r="B512" s="4" t="inlineStr">
        <is>
          <t>yes</t>
        </is>
      </c>
      <c r="C512" s="4" t="inlineStr">
        <is>
          <t>Kupferdreher Straße</t>
        </is>
      </c>
      <c r="D512" s="4" t="inlineStr">
        <is>
          <t>204a</t>
        </is>
      </c>
      <c r="E512" s="13" t="n">
        <v>40.9</v>
      </c>
      <c r="F512" s="12" t="n">
        <v>0</v>
      </c>
      <c r="G512" s="4" t="n">
        <v>0</v>
      </c>
      <c r="H512" s="4">
        <f>IF(OR(N(F512)&gt;=0.5,G512&gt;=4),3,IF(OR(N(F512)&gt;=0.3,G512=3),2,IF(OR(N(F512)&gt;=0.1,G512&gt;=1),1,0)))</f>
        <v/>
      </c>
      <c r="I512" s="4">
        <f>CHOOSE(H512+1,"Kein Risiko","Gering","Mittel","Hoch")</f>
        <v/>
      </c>
    </row>
    <row r="513">
      <c r="A513" s="4" t="n">
        <v>509</v>
      </c>
      <c r="B513" s="4" t="inlineStr">
        <is>
          <t>apartments</t>
        </is>
      </c>
      <c r="C513" s="4" t="inlineStr">
        <is>
          <t>Kupferdreher Straße</t>
        </is>
      </c>
      <c r="D513" s="4" t="inlineStr">
        <is>
          <t>206</t>
        </is>
      </c>
      <c r="E513" s="13" t="n">
        <v>189.2</v>
      </c>
      <c r="F513" s="12" t="n">
        <v>0</v>
      </c>
      <c r="G513" s="4" t="n">
        <v>0</v>
      </c>
      <c r="H513" s="4">
        <f>IF(OR(N(F513)&gt;=0.5,G513&gt;=4),3,IF(OR(N(F513)&gt;=0.3,G513=3),2,IF(OR(N(F513)&gt;=0.1,G513&gt;=1),1,0)))</f>
        <v/>
      </c>
      <c r="I513" s="4">
        <f>CHOOSE(H513+1,"Kein Risiko","Gering","Mittel","Hoch")</f>
        <v/>
      </c>
    </row>
    <row r="514">
      <c r="A514" s="4" t="n">
        <v>510</v>
      </c>
      <c r="B514" s="4" t="inlineStr">
        <is>
          <t>apartments</t>
        </is>
      </c>
      <c r="C514" s="4" t="inlineStr">
        <is>
          <t>Kupferdreher Straße</t>
        </is>
      </c>
      <c r="D514" s="4" t="inlineStr">
        <is>
          <t>210</t>
        </is>
      </c>
      <c r="E514" s="13" t="n">
        <v>124.3</v>
      </c>
      <c r="F514" s="12" t="n">
        <v>0</v>
      </c>
      <c r="G514" s="4" t="n">
        <v>0</v>
      </c>
      <c r="H514" s="4">
        <f>IF(OR(N(F514)&gt;=0.5,G514&gt;=4),3,IF(OR(N(F514)&gt;=0.3,G514=3),2,IF(OR(N(F514)&gt;=0.1,G514&gt;=1),1,0)))</f>
        <v/>
      </c>
      <c r="I514" s="4">
        <f>CHOOSE(H514+1,"Kein Risiko","Gering","Mittel","Hoch")</f>
        <v/>
      </c>
    </row>
    <row r="515">
      <c r="A515" s="4" t="n">
        <v>511</v>
      </c>
      <c r="B515" s="4" t="inlineStr">
        <is>
          <t>apartments</t>
        </is>
      </c>
      <c r="C515" s="4" t="inlineStr">
        <is>
          <t>Kupferdreher Straße</t>
        </is>
      </c>
      <c r="D515" s="4" t="inlineStr">
        <is>
          <t>212</t>
        </is>
      </c>
      <c r="E515" s="13" t="n">
        <v>124.3</v>
      </c>
      <c r="F515" s="12" t="n">
        <v>0</v>
      </c>
      <c r="G515" s="4" t="n">
        <v>0</v>
      </c>
      <c r="H515" s="4">
        <f>IF(OR(N(F515)&gt;=0.5,G515&gt;=4),3,IF(OR(N(F515)&gt;=0.3,G515=3),2,IF(OR(N(F515)&gt;=0.1,G515&gt;=1),1,0)))</f>
        <v/>
      </c>
      <c r="I515" s="4">
        <f>CHOOSE(H515+1,"Kein Risiko","Gering","Mittel","Hoch")</f>
        <v/>
      </c>
    </row>
    <row r="516">
      <c r="A516" s="4" t="n">
        <v>512</v>
      </c>
      <c r="B516" s="4" t="inlineStr">
        <is>
          <t>apartments</t>
        </is>
      </c>
      <c r="C516" s="4" t="inlineStr">
        <is>
          <t>Kupferdreher Straße</t>
        </is>
      </c>
      <c r="D516" s="4" t="inlineStr">
        <is>
          <t>214</t>
        </is>
      </c>
      <c r="E516" s="13" t="n">
        <v>128</v>
      </c>
      <c r="F516" s="12" t="n">
        <v>0</v>
      </c>
      <c r="G516" s="4" t="n">
        <v>0</v>
      </c>
      <c r="H516" s="4">
        <f>IF(OR(N(F516)&gt;=0.5,G516&gt;=4),3,IF(OR(N(F516)&gt;=0.3,G516=3),2,IF(OR(N(F516)&gt;=0.1,G516&gt;=1),1,0)))</f>
        <v/>
      </c>
      <c r="I516" s="4">
        <f>CHOOSE(H516+1,"Kein Risiko","Gering","Mittel","Hoch")</f>
        <v/>
      </c>
    </row>
    <row r="517">
      <c r="A517" s="4" t="n">
        <v>513</v>
      </c>
      <c r="B517" s="4" t="inlineStr">
        <is>
          <t>yes</t>
        </is>
      </c>
      <c r="C517" s="4" t="inlineStr"/>
      <c r="D517" s="4" t="inlineStr"/>
      <c r="E517" s="13" t="n">
        <v>275.7</v>
      </c>
      <c r="F517" s="12" t="n">
        <v>0.009998321533203125</v>
      </c>
      <c r="G517" s="4" t="n">
        <v>0</v>
      </c>
      <c r="H517" s="4">
        <f>IF(OR(N(F517)&gt;=0.5,G517&gt;=4),3,IF(OR(N(F517)&gt;=0.3,G517=3),2,IF(OR(N(F517)&gt;=0.1,G517&gt;=1),1,0)))</f>
        <v/>
      </c>
      <c r="I517" s="4">
        <f>CHOOSE(H517+1,"Kein Risiko","Gering","Mittel","Hoch")</f>
        <v/>
      </c>
    </row>
    <row r="518">
      <c r="A518" s="4" t="n">
        <v>514</v>
      </c>
      <c r="B518" s="4" t="inlineStr">
        <is>
          <t>apartments</t>
        </is>
      </c>
      <c r="C518" s="4" t="inlineStr">
        <is>
          <t>Kupferdreher Straße</t>
        </is>
      </c>
      <c r="D518" s="4" t="inlineStr">
        <is>
          <t>246</t>
        </is>
      </c>
      <c r="E518" s="13" t="n">
        <v>216.5</v>
      </c>
      <c r="F518" s="12" t="n">
        <v>0.4799995422363281</v>
      </c>
      <c r="G518" s="4" t="n">
        <v>4</v>
      </c>
      <c r="H518" s="4">
        <f>IF(OR(N(F518)&gt;=0.5,G518&gt;=4),3,IF(OR(N(F518)&gt;=0.3,G518=3),2,IF(OR(N(F518)&gt;=0.1,G518&gt;=1),1,0)))</f>
        <v/>
      </c>
      <c r="I518" s="4">
        <f>CHOOSE(H518+1,"Kein Risiko","Gering","Mittel","Hoch")</f>
        <v/>
      </c>
    </row>
    <row r="519">
      <c r="A519" s="4" t="n">
        <v>515</v>
      </c>
      <c r="B519" s="4" t="inlineStr">
        <is>
          <t>residential</t>
        </is>
      </c>
      <c r="C519" s="4" t="inlineStr"/>
      <c r="D519" s="4" t="inlineStr"/>
      <c r="E519" s="13" t="n">
        <v>584.3</v>
      </c>
      <c r="F519" s="12" t="n">
        <v>0.3100013732910156</v>
      </c>
      <c r="G519" s="4" t="n">
        <v>3</v>
      </c>
      <c r="H519" s="4">
        <f>IF(OR(N(F519)&gt;=0.5,G519&gt;=4),3,IF(OR(N(F519)&gt;=0.3,G519=3),2,IF(OR(N(F519)&gt;=0.1,G519&gt;=1),1,0)))</f>
        <v/>
      </c>
      <c r="I519" s="4">
        <f>CHOOSE(H519+1,"Kein Risiko","Gering","Mittel","Hoch")</f>
        <v/>
      </c>
    </row>
    <row r="520">
      <c r="A520" s="4" t="n">
        <v>516</v>
      </c>
      <c r="B520" s="4" t="inlineStr">
        <is>
          <t>yes</t>
        </is>
      </c>
      <c r="C520" s="4" t="inlineStr"/>
      <c r="D520" s="4" t="inlineStr"/>
      <c r="E520" s="13" t="n">
        <v>43.7</v>
      </c>
      <c r="F520" s="12" t="n">
        <v>0.1099967956542969</v>
      </c>
      <c r="G520" s="4" t="n">
        <v>5</v>
      </c>
      <c r="H520" s="4">
        <f>IF(OR(N(F520)&gt;=0.5,G520&gt;=4),3,IF(OR(N(F520)&gt;=0.3,G520=3),2,IF(OR(N(F520)&gt;=0.1,G520&gt;=1),1,0)))</f>
        <v/>
      </c>
      <c r="I520" s="4">
        <f>CHOOSE(H520+1,"Kein Risiko","Gering","Mittel","Hoch")</f>
        <v/>
      </c>
    </row>
    <row r="521">
      <c r="A521" s="4" t="n">
        <v>517</v>
      </c>
      <c r="B521" s="4" t="inlineStr">
        <is>
          <t>apartments</t>
        </is>
      </c>
      <c r="C521" s="4" t="inlineStr">
        <is>
          <t>Dilldorfer Straße</t>
        </is>
      </c>
      <c r="D521" s="4" t="inlineStr">
        <is>
          <t>32</t>
        </is>
      </c>
      <c r="E521" s="13" t="n">
        <v>139.4</v>
      </c>
      <c r="F521" s="12" t="n">
        <v>0</v>
      </c>
      <c r="G521" s="4" t="n">
        <v>0</v>
      </c>
      <c r="H521" s="4">
        <f>IF(OR(N(F521)&gt;=0.5,G521&gt;=4),3,IF(OR(N(F521)&gt;=0.3,G521=3),2,IF(OR(N(F521)&gt;=0.1,G521&gt;=1),1,0)))</f>
        <v/>
      </c>
      <c r="I521" s="4">
        <f>CHOOSE(H521+1,"Kein Risiko","Gering","Mittel","Hoch")</f>
        <v/>
      </c>
    </row>
    <row r="522">
      <c r="A522" s="4" t="n">
        <v>518</v>
      </c>
      <c r="B522" s="4" t="inlineStr">
        <is>
          <t>apartments</t>
        </is>
      </c>
      <c r="C522" s="4" t="inlineStr">
        <is>
          <t>Kupferdreher Straße</t>
        </is>
      </c>
      <c r="D522" s="4" t="inlineStr">
        <is>
          <t>227</t>
        </is>
      </c>
      <c r="E522" s="13" t="n">
        <v>126.3</v>
      </c>
      <c r="F522" s="12" t="n">
        <v>0</v>
      </c>
      <c r="G522" s="4" t="n">
        <v>0</v>
      </c>
      <c r="H522" s="4">
        <f>IF(OR(N(F522)&gt;=0.5,G522&gt;=4),3,IF(OR(N(F522)&gt;=0.3,G522=3),2,IF(OR(N(F522)&gt;=0.1,G522&gt;=1),1,0)))</f>
        <v/>
      </c>
      <c r="I522" s="4">
        <f>CHOOSE(H522+1,"Kein Risiko","Gering","Mittel","Hoch")</f>
        <v/>
      </c>
    </row>
    <row r="523">
      <c r="A523" s="4" t="n">
        <v>519</v>
      </c>
      <c r="B523" s="4" t="inlineStr">
        <is>
          <t>apartments</t>
        </is>
      </c>
      <c r="C523" s="4" t="inlineStr">
        <is>
          <t>Kupferdreher Straße</t>
        </is>
      </c>
      <c r="D523" s="4" t="inlineStr">
        <is>
          <t>218</t>
        </is>
      </c>
      <c r="E523" s="13" t="n">
        <v>228.7</v>
      </c>
      <c r="F523" s="12" t="n">
        <v>0</v>
      </c>
      <c r="G523" s="4" t="n">
        <v>0</v>
      </c>
      <c r="H523" s="4">
        <f>IF(OR(N(F523)&gt;=0.5,G523&gt;=4),3,IF(OR(N(F523)&gt;=0.3,G523=3),2,IF(OR(N(F523)&gt;=0.1,G523&gt;=1),1,0)))</f>
        <v/>
      </c>
      <c r="I523" s="4">
        <f>CHOOSE(H523+1,"Kein Risiko","Gering","Mittel","Hoch")</f>
        <v/>
      </c>
    </row>
    <row r="524">
      <c r="A524" s="4" t="n">
        <v>520</v>
      </c>
      <c r="B524" s="4" t="inlineStr">
        <is>
          <t>yes</t>
        </is>
      </c>
      <c r="C524" s="4" t="inlineStr">
        <is>
          <t>Kupferdreher Straße</t>
        </is>
      </c>
      <c r="D524" s="4" t="inlineStr">
        <is>
          <t>266</t>
        </is>
      </c>
      <c r="E524" s="13" t="n">
        <v>189.1</v>
      </c>
      <c r="F524" s="12" t="n">
        <v>0.220001220703125</v>
      </c>
      <c r="G524" s="4" t="n">
        <v>1</v>
      </c>
      <c r="H524" s="4">
        <f>IF(OR(N(F524)&gt;=0.5,G524&gt;=4),3,IF(OR(N(F524)&gt;=0.3,G524=3),2,IF(OR(N(F524)&gt;=0.1,G524&gt;=1),1,0)))</f>
        <v/>
      </c>
      <c r="I524" s="4">
        <f>CHOOSE(H524+1,"Kein Risiko","Gering","Mittel","Hoch")</f>
        <v/>
      </c>
    </row>
    <row r="525">
      <c r="A525" s="4" t="n">
        <v>521</v>
      </c>
      <c r="B525" s="4" t="inlineStr">
        <is>
          <t>apartments</t>
        </is>
      </c>
      <c r="C525" s="4" t="inlineStr">
        <is>
          <t>Kupferdreher Straße</t>
        </is>
      </c>
      <c r="D525" s="4" t="inlineStr">
        <is>
          <t>242</t>
        </is>
      </c>
      <c r="E525" s="13" t="n">
        <v>332.1</v>
      </c>
      <c r="F525" s="12" t="n">
        <v>0.03000259399414062</v>
      </c>
      <c r="G525" s="4" t="n">
        <v>0</v>
      </c>
      <c r="H525" s="4">
        <f>IF(OR(N(F525)&gt;=0.5,G525&gt;=4),3,IF(OR(N(F525)&gt;=0.3,G525=3),2,IF(OR(N(F525)&gt;=0.1,G525&gt;=1),1,0)))</f>
        <v/>
      </c>
      <c r="I525" s="4">
        <f>CHOOSE(H525+1,"Kein Risiko","Gering","Mittel","Hoch")</f>
        <v/>
      </c>
    </row>
    <row r="526">
      <c r="A526" s="4" t="n">
        <v>522</v>
      </c>
      <c r="B526" s="4" t="inlineStr">
        <is>
          <t>yes</t>
        </is>
      </c>
      <c r="C526" s="4" t="inlineStr">
        <is>
          <t>Kupferdreher Straße</t>
        </is>
      </c>
      <c r="D526" s="4" t="inlineStr">
        <is>
          <t>255</t>
        </is>
      </c>
      <c r="E526" s="13" t="n">
        <v>178.1</v>
      </c>
      <c r="F526" s="12" t="n">
        <v>0.02000045776367188</v>
      </c>
      <c r="G526" s="4" t="n">
        <v>1</v>
      </c>
      <c r="H526" s="4">
        <f>IF(OR(N(F526)&gt;=0.5,G526&gt;=4),3,IF(OR(N(F526)&gt;=0.3,G526=3),2,IF(OR(N(F526)&gt;=0.1,G526&gt;=1),1,0)))</f>
        <v/>
      </c>
      <c r="I526" s="4">
        <f>CHOOSE(H526+1,"Kein Risiko","Gering","Mittel","Hoch")</f>
        <v/>
      </c>
    </row>
    <row r="527">
      <c r="A527" s="4" t="n">
        <v>523</v>
      </c>
      <c r="B527" s="4" t="inlineStr">
        <is>
          <t>apartments</t>
        </is>
      </c>
      <c r="C527" s="4" t="inlineStr">
        <is>
          <t>Kupferdreher Straße</t>
        </is>
      </c>
      <c r="D527" s="4" t="inlineStr">
        <is>
          <t>231</t>
        </is>
      </c>
      <c r="E527" s="13" t="n">
        <v>91.5</v>
      </c>
      <c r="F527" s="12" t="n">
        <v>0</v>
      </c>
      <c r="G527" s="4" t="n">
        <v>0</v>
      </c>
      <c r="H527" s="4">
        <f>IF(OR(N(F527)&gt;=0.5,G527&gt;=4),3,IF(OR(N(F527)&gt;=0.3,G527=3),2,IF(OR(N(F527)&gt;=0.1,G527&gt;=1),1,0)))</f>
        <v/>
      </c>
      <c r="I527" s="4">
        <f>CHOOSE(H527+1,"Kein Risiko","Gering","Mittel","Hoch")</f>
        <v/>
      </c>
    </row>
    <row r="528">
      <c r="A528" s="4" t="n">
        <v>524</v>
      </c>
      <c r="B528" s="4" t="inlineStr">
        <is>
          <t>apartments</t>
        </is>
      </c>
      <c r="C528" s="4" t="inlineStr">
        <is>
          <t>Möllneyer Ufer</t>
        </is>
      </c>
      <c r="D528" s="4" t="inlineStr">
        <is>
          <t>5</t>
        </is>
      </c>
      <c r="E528" s="13" t="n">
        <v>176.5</v>
      </c>
      <c r="F528" s="12" t="n">
        <v>1.05999755859375</v>
      </c>
      <c r="G528" s="4" t="n">
        <v>0</v>
      </c>
      <c r="H528" s="4">
        <f>IF(OR(N(F528)&gt;=0.5,G528&gt;=4),3,IF(OR(N(F528)&gt;=0.3,G528=3),2,IF(OR(N(F528)&gt;=0.1,G528&gt;=1),1,0)))</f>
        <v/>
      </c>
      <c r="I528" s="4">
        <f>CHOOSE(H528+1,"Kein Risiko","Gering","Mittel","Hoch")</f>
        <v/>
      </c>
    </row>
    <row r="529">
      <c r="A529" s="4" t="n">
        <v>525</v>
      </c>
      <c r="B529" s="4" t="inlineStr">
        <is>
          <t>garages</t>
        </is>
      </c>
      <c r="C529" s="4" t="inlineStr"/>
      <c r="D529" s="4" t="inlineStr"/>
      <c r="E529" s="13" t="n">
        <v>139</v>
      </c>
      <c r="F529" s="12" t="n">
        <v>0</v>
      </c>
      <c r="G529" s="4" t="n">
        <v>5</v>
      </c>
      <c r="H529" s="4">
        <f>IF(OR(N(F529)&gt;=0.5,G529&gt;=4),3,IF(OR(N(F529)&gt;=0.3,G529=3),2,IF(OR(N(F529)&gt;=0.1,G529&gt;=1),1,0)))</f>
        <v/>
      </c>
      <c r="I529" s="4">
        <f>CHOOSE(H529+1,"Kein Risiko","Gering","Mittel","Hoch")</f>
        <v/>
      </c>
    </row>
    <row r="530">
      <c r="A530" s="4" t="n">
        <v>526</v>
      </c>
      <c r="B530" s="4" t="inlineStr">
        <is>
          <t>yes</t>
        </is>
      </c>
      <c r="C530" s="4" t="inlineStr">
        <is>
          <t>Möllneyer Ufer</t>
        </is>
      </c>
      <c r="D530" s="4" t="inlineStr">
        <is>
          <t>14</t>
        </is>
      </c>
      <c r="E530" s="13" t="n">
        <v>367.6</v>
      </c>
      <c r="F530" s="12" t="n">
        <v>0.01000213623046875</v>
      </c>
      <c r="G530" s="4" t="n">
        <v>0</v>
      </c>
      <c r="H530" s="4">
        <f>IF(OR(N(F530)&gt;=0.5,G530&gt;=4),3,IF(OR(N(F530)&gt;=0.3,G530=3),2,IF(OR(N(F530)&gt;=0.1,G530&gt;=1),1,0)))</f>
        <v/>
      </c>
      <c r="I530" s="4">
        <f>CHOOSE(H530+1,"Kein Risiko","Gering","Mittel","Hoch")</f>
        <v/>
      </c>
    </row>
    <row r="531">
      <c r="A531" s="4" t="n">
        <v>527</v>
      </c>
      <c r="B531" s="4" t="inlineStr">
        <is>
          <t>apartments</t>
        </is>
      </c>
      <c r="C531" s="4" t="inlineStr">
        <is>
          <t>Dilldorfer Straße</t>
        </is>
      </c>
      <c r="D531" s="4" t="inlineStr">
        <is>
          <t>16</t>
        </is>
      </c>
      <c r="E531" s="13" t="n">
        <v>230.9</v>
      </c>
      <c r="F531" s="12" t="n">
        <v>1.420001983642578</v>
      </c>
      <c r="G531" s="4" t="n">
        <v>2</v>
      </c>
      <c r="H531" s="4">
        <f>IF(OR(N(F531)&gt;=0.5,G531&gt;=4),3,IF(OR(N(F531)&gt;=0.3,G531=3),2,IF(OR(N(F531)&gt;=0.1,G531&gt;=1),1,0)))</f>
        <v/>
      </c>
      <c r="I531" s="4">
        <f>CHOOSE(H531+1,"Kein Risiko","Gering","Mittel","Hoch")</f>
        <v/>
      </c>
    </row>
    <row r="532">
      <c r="A532" s="4" t="n">
        <v>528</v>
      </c>
      <c r="B532" s="4" t="inlineStr">
        <is>
          <t>apartments</t>
        </is>
      </c>
      <c r="C532" s="4" t="inlineStr">
        <is>
          <t>Deilbachbrücke</t>
        </is>
      </c>
      <c r="D532" s="4" t="inlineStr">
        <is>
          <t>8</t>
        </is>
      </c>
      <c r="E532" s="13" t="n">
        <v>234.8</v>
      </c>
      <c r="F532" s="12" t="n">
        <v>0</v>
      </c>
      <c r="G532" s="4" t="n">
        <v>0</v>
      </c>
      <c r="H532" s="4">
        <f>IF(OR(N(F532)&gt;=0.5,G532&gt;=4),3,IF(OR(N(F532)&gt;=0.3,G532=3),2,IF(OR(N(F532)&gt;=0.1,G532&gt;=1),1,0)))</f>
        <v/>
      </c>
      <c r="I532" s="4">
        <f>CHOOSE(H532+1,"Kein Risiko","Gering","Mittel","Hoch")</f>
        <v/>
      </c>
    </row>
    <row r="533">
      <c r="A533" s="4" t="n">
        <v>529</v>
      </c>
      <c r="B533" s="4" t="inlineStr">
        <is>
          <t>apartments</t>
        </is>
      </c>
      <c r="C533" s="4" t="inlineStr">
        <is>
          <t>Kupferdreher Straße</t>
        </is>
      </c>
      <c r="D533" s="4" t="inlineStr">
        <is>
          <t>250</t>
        </is>
      </c>
      <c r="E533" s="13" t="n">
        <v>130.3</v>
      </c>
      <c r="F533" s="12" t="n">
        <v>0.09999847412109375</v>
      </c>
      <c r="G533" s="4" t="n">
        <v>4</v>
      </c>
      <c r="H533" s="4">
        <f>IF(OR(N(F533)&gt;=0.5,G533&gt;=4),3,IF(OR(N(F533)&gt;=0.3,G533=3),2,IF(OR(N(F533)&gt;=0.1,G533&gt;=1),1,0)))</f>
        <v/>
      </c>
      <c r="I533" s="4">
        <f>CHOOSE(H533+1,"Kein Risiko","Gering","Mittel","Hoch")</f>
        <v/>
      </c>
    </row>
    <row r="534">
      <c r="A534" s="4" t="n">
        <v>530</v>
      </c>
      <c r="B534" s="4" t="inlineStr">
        <is>
          <t>retail</t>
        </is>
      </c>
      <c r="C534" s="4" t="inlineStr"/>
      <c r="D534" s="4" t="inlineStr"/>
      <c r="E534" s="13" t="n">
        <v>223.3</v>
      </c>
      <c r="F534" s="12" t="n">
        <v>0</v>
      </c>
      <c r="G534" s="4" t="n">
        <v>0</v>
      </c>
      <c r="H534" s="4">
        <f>IF(OR(N(F534)&gt;=0.5,G534&gt;=4),3,IF(OR(N(F534)&gt;=0.3,G534=3),2,IF(OR(N(F534)&gt;=0.1,G534&gt;=1),1,0)))</f>
        <v/>
      </c>
      <c r="I534" s="4">
        <f>CHOOSE(H534+1,"Kein Risiko","Gering","Mittel","Hoch")</f>
        <v/>
      </c>
    </row>
    <row r="535">
      <c r="A535" s="4" t="n">
        <v>531</v>
      </c>
      <c r="B535" s="4" t="inlineStr">
        <is>
          <t>apartments</t>
        </is>
      </c>
      <c r="C535" s="4" t="inlineStr">
        <is>
          <t>Dilldorfer Straße</t>
        </is>
      </c>
      <c r="D535" s="4" t="inlineStr">
        <is>
          <t>30</t>
        </is>
      </c>
      <c r="E535" s="13" t="n">
        <v>143.6</v>
      </c>
      <c r="F535" s="12" t="n">
        <v>0.04999542236328125</v>
      </c>
      <c r="G535" s="4" t="n">
        <v>0</v>
      </c>
      <c r="H535" s="4">
        <f>IF(OR(N(F535)&gt;=0.5,G535&gt;=4),3,IF(OR(N(F535)&gt;=0.3,G535=3),2,IF(OR(N(F535)&gt;=0.1,G535&gt;=1),1,0)))</f>
        <v/>
      </c>
      <c r="I535" s="4">
        <f>CHOOSE(H535+1,"Kein Risiko","Gering","Mittel","Hoch")</f>
        <v/>
      </c>
    </row>
    <row r="536">
      <c r="A536" s="4" t="n">
        <v>532</v>
      </c>
      <c r="B536" s="4" t="inlineStr">
        <is>
          <t>apartments</t>
        </is>
      </c>
      <c r="C536" s="4" t="inlineStr">
        <is>
          <t>Dilldorfer Straße</t>
        </is>
      </c>
      <c r="D536" s="4" t="inlineStr">
        <is>
          <t>8</t>
        </is>
      </c>
      <c r="E536" s="13" t="n">
        <v>72.7</v>
      </c>
      <c r="F536" s="12" t="n">
        <v>0</v>
      </c>
      <c r="G536" s="4" t="n">
        <v>1</v>
      </c>
      <c r="H536" s="4">
        <f>IF(OR(N(F536)&gt;=0.5,G536&gt;=4),3,IF(OR(N(F536)&gt;=0.3,G536=3),2,IF(OR(N(F536)&gt;=0.1,G536&gt;=1),1,0)))</f>
        <v/>
      </c>
      <c r="I536" s="4">
        <f>CHOOSE(H536+1,"Kein Risiko","Gering","Mittel","Hoch")</f>
        <v/>
      </c>
    </row>
    <row r="537">
      <c r="A537" s="4" t="n">
        <v>533</v>
      </c>
      <c r="B537" s="4" t="inlineStr">
        <is>
          <t>yes</t>
        </is>
      </c>
      <c r="C537" s="4" t="inlineStr">
        <is>
          <t>Deilbachbrücke</t>
        </is>
      </c>
      <c r="D537" s="4" t="inlineStr">
        <is>
          <t>5</t>
        </is>
      </c>
      <c r="E537" s="13" t="n">
        <v>176.1</v>
      </c>
      <c r="F537" s="12" t="n">
        <v>0.9499969482421875</v>
      </c>
      <c r="G537" s="4" t="n">
        <v>0</v>
      </c>
      <c r="H537" s="4">
        <f>IF(OR(N(F537)&gt;=0.5,G537&gt;=4),3,IF(OR(N(F537)&gt;=0.3,G537=3),2,IF(OR(N(F537)&gt;=0.1,G537&gt;=1),1,0)))</f>
        <v/>
      </c>
      <c r="I537" s="4">
        <f>CHOOSE(H537+1,"Kein Risiko","Gering","Mittel","Hoch")</f>
        <v/>
      </c>
    </row>
    <row r="538">
      <c r="A538" s="4" t="n">
        <v>534</v>
      </c>
      <c r="B538" s="4" t="inlineStr">
        <is>
          <t>yes</t>
        </is>
      </c>
      <c r="C538" s="4" t="inlineStr">
        <is>
          <t>Kupferdreher Straße</t>
        </is>
      </c>
      <c r="D538" s="4" t="inlineStr">
        <is>
          <t>257</t>
        </is>
      </c>
      <c r="E538" s="13" t="n">
        <v>178</v>
      </c>
      <c r="F538" s="12" t="n">
        <v>0.04000091552734375</v>
      </c>
      <c r="G538" s="4" t="n">
        <v>0</v>
      </c>
      <c r="H538" s="4">
        <f>IF(OR(N(F538)&gt;=0.5,G538&gt;=4),3,IF(OR(N(F538)&gt;=0.3,G538=3),2,IF(OR(N(F538)&gt;=0.1,G538&gt;=1),1,0)))</f>
        <v/>
      </c>
      <c r="I538" s="4">
        <f>CHOOSE(H538+1,"Kein Risiko","Gering","Mittel","Hoch")</f>
        <v/>
      </c>
    </row>
    <row r="539">
      <c r="A539" s="4" t="n">
        <v>535</v>
      </c>
      <c r="B539" s="4" t="inlineStr">
        <is>
          <t>apartments</t>
        </is>
      </c>
      <c r="C539" s="4" t="inlineStr">
        <is>
          <t>Dilldorfer Straße</t>
        </is>
      </c>
      <c r="D539" s="4" t="inlineStr">
        <is>
          <t>28</t>
        </is>
      </c>
      <c r="E539" s="13" t="n">
        <v>140.9</v>
      </c>
      <c r="F539" s="12" t="n">
        <v>0</v>
      </c>
      <c r="G539" s="4" t="n">
        <v>0</v>
      </c>
      <c r="H539" s="4">
        <f>IF(OR(N(F539)&gt;=0.5,G539&gt;=4),3,IF(OR(N(F539)&gt;=0.3,G539=3),2,IF(OR(N(F539)&gt;=0.1,G539&gt;=1),1,0)))</f>
        <v/>
      </c>
      <c r="I539" s="4">
        <f>CHOOSE(H539+1,"Kein Risiko","Gering","Mittel","Hoch")</f>
        <v/>
      </c>
    </row>
    <row r="540">
      <c r="A540" s="4" t="n">
        <v>536</v>
      </c>
      <c r="B540" s="4" t="inlineStr">
        <is>
          <t>apartments</t>
        </is>
      </c>
      <c r="C540" s="4" t="inlineStr">
        <is>
          <t>Dilldorfer Straße</t>
        </is>
      </c>
      <c r="D540" s="4" t="inlineStr">
        <is>
          <t>24</t>
        </is>
      </c>
      <c r="E540" s="13" t="n">
        <v>119</v>
      </c>
      <c r="F540" s="12" t="n">
        <v>0</v>
      </c>
      <c r="G540" s="4" t="n">
        <v>0</v>
      </c>
      <c r="H540" s="4">
        <f>IF(OR(N(F540)&gt;=0.5,G540&gt;=4),3,IF(OR(N(F540)&gt;=0.3,G540=3),2,IF(OR(N(F540)&gt;=0.1,G540&gt;=1),1,0)))</f>
        <v/>
      </c>
      <c r="I540" s="4">
        <f>CHOOSE(H540+1,"Kein Risiko","Gering","Mittel","Hoch")</f>
        <v/>
      </c>
    </row>
    <row r="541">
      <c r="A541" s="4" t="n">
        <v>537</v>
      </c>
      <c r="B541" s="4" t="inlineStr">
        <is>
          <t>apartments</t>
        </is>
      </c>
      <c r="C541" s="4" t="inlineStr">
        <is>
          <t>Kupferdreher Straße</t>
        </is>
      </c>
      <c r="D541" s="4" t="inlineStr">
        <is>
          <t>229</t>
        </is>
      </c>
      <c r="E541" s="13" t="n">
        <v>82.09999999999999</v>
      </c>
      <c r="F541" s="12" t="n">
        <v>0</v>
      </c>
      <c r="G541" s="4" t="n">
        <v>0</v>
      </c>
      <c r="H541" s="4">
        <f>IF(OR(N(F541)&gt;=0.5,G541&gt;=4),3,IF(OR(N(F541)&gt;=0.3,G541=3),2,IF(OR(N(F541)&gt;=0.1,G541&gt;=1),1,0)))</f>
        <v/>
      </c>
      <c r="I541" s="4">
        <f>CHOOSE(H541+1,"Kein Risiko","Gering","Mittel","Hoch")</f>
        <v/>
      </c>
    </row>
    <row r="542">
      <c r="A542" s="4" t="n">
        <v>538</v>
      </c>
      <c r="B542" s="4" t="inlineStr">
        <is>
          <t>yes</t>
        </is>
      </c>
      <c r="C542" s="4" t="inlineStr">
        <is>
          <t>Deilbachbrücke</t>
        </is>
      </c>
      <c r="D542" s="4" t="inlineStr">
        <is>
          <t>2</t>
        </is>
      </c>
      <c r="E542" s="13" t="n">
        <v>199.9</v>
      </c>
      <c r="F542" s="12" t="n">
        <v>0.1300010681152344</v>
      </c>
      <c r="G542" s="4" t="n">
        <v>0</v>
      </c>
      <c r="H542" s="4">
        <f>IF(OR(N(F542)&gt;=0.5,G542&gt;=4),3,IF(OR(N(F542)&gt;=0.3,G542=3),2,IF(OR(N(F542)&gt;=0.1,G542&gt;=1),1,0)))</f>
        <v/>
      </c>
      <c r="I542" s="4">
        <f>CHOOSE(H542+1,"Kein Risiko","Gering","Mittel","Hoch")</f>
        <v/>
      </c>
    </row>
    <row r="543">
      <c r="A543" s="4" t="n">
        <v>539</v>
      </c>
      <c r="B543" s="4" t="inlineStr">
        <is>
          <t>apartments</t>
        </is>
      </c>
      <c r="C543" s="4" t="inlineStr">
        <is>
          <t>Möllneyer Ufer</t>
        </is>
      </c>
      <c r="D543" s="4" t="inlineStr">
        <is>
          <t>7</t>
        </is>
      </c>
      <c r="E543" s="13" t="n">
        <v>114.3</v>
      </c>
      <c r="F543" s="12" t="n">
        <v>0.5199966430664062</v>
      </c>
      <c r="G543" s="4" t="n">
        <v>0</v>
      </c>
      <c r="H543" s="4">
        <f>IF(OR(N(F543)&gt;=0.5,G543&gt;=4),3,IF(OR(N(F543)&gt;=0.3,G543=3),2,IF(OR(N(F543)&gt;=0.1,G543&gt;=1),1,0)))</f>
        <v/>
      </c>
      <c r="I543" s="4">
        <f>CHOOSE(H543+1,"Kein Risiko","Gering","Mittel","Hoch")</f>
        <v/>
      </c>
    </row>
    <row r="544">
      <c r="A544" s="4" t="n">
        <v>540</v>
      </c>
      <c r="B544" s="4" t="inlineStr">
        <is>
          <t>garages</t>
        </is>
      </c>
      <c r="C544" s="4" t="inlineStr"/>
      <c r="D544" s="4" t="inlineStr"/>
      <c r="E544" s="13" t="n">
        <v>199</v>
      </c>
      <c r="F544" s="12" t="n">
        <v>0.04000091552734375</v>
      </c>
      <c r="G544" s="4" t="n">
        <v>5</v>
      </c>
      <c r="H544" s="4">
        <f>IF(OR(N(F544)&gt;=0.5,G544&gt;=4),3,IF(OR(N(F544)&gt;=0.3,G544=3),2,IF(OR(N(F544)&gt;=0.1,G544&gt;=1),1,0)))</f>
        <v/>
      </c>
      <c r="I544" s="4">
        <f>CHOOSE(H544+1,"Kein Risiko","Gering","Mittel","Hoch")</f>
        <v/>
      </c>
    </row>
    <row r="545">
      <c r="A545" s="4" t="n">
        <v>541</v>
      </c>
      <c r="B545" s="4" t="inlineStr">
        <is>
          <t>yes</t>
        </is>
      </c>
      <c r="C545" s="4" t="inlineStr">
        <is>
          <t>Kupferdreher Straße</t>
        </is>
      </c>
      <c r="D545" s="4" t="inlineStr">
        <is>
          <t>254</t>
        </is>
      </c>
      <c r="E545" s="13" t="n">
        <v>112.7</v>
      </c>
      <c r="F545" s="12" t="n">
        <v>0.09000015258789062</v>
      </c>
      <c r="G545" s="4" t="n">
        <v>0</v>
      </c>
      <c r="H545" s="4">
        <f>IF(OR(N(F545)&gt;=0.5,G545&gt;=4),3,IF(OR(N(F545)&gt;=0.3,G545=3),2,IF(OR(N(F545)&gt;=0.1,G545&gt;=1),1,0)))</f>
        <v/>
      </c>
      <c r="I545" s="4">
        <f>CHOOSE(H545+1,"Kein Risiko","Gering","Mittel","Hoch")</f>
        <v/>
      </c>
    </row>
    <row r="546">
      <c r="A546" s="4" t="n">
        <v>542</v>
      </c>
      <c r="B546" s="4" t="inlineStr">
        <is>
          <t>apartments</t>
        </is>
      </c>
      <c r="C546" s="4" t="inlineStr">
        <is>
          <t>Asbachtal</t>
        </is>
      </c>
      <c r="D546" s="4" t="inlineStr">
        <is>
          <t>18</t>
        </is>
      </c>
      <c r="E546" s="13" t="n">
        <v>241.9</v>
      </c>
      <c r="F546" s="12" t="n">
        <v>0</v>
      </c>
      <c r="G546" s="4" t="n">
        <v>0</v>
      </c>
      <c r="H546" s="4">
        <f>IF(OR(N(F546)&gt;=0.5,G546&gt;=4),3,IF(OR(N(F546)&gt;=0.3,G546=3),2,IF(OR(N(F546)&gt;=0.1,G546&gt;=1),1,0)))</f>
        <v/>
      </c>
      <c r="I546" s="4">
        <f>CHOOSE(H546+1,"Kein Risiko","Gering","Mittel","Hoch")</f>
        <v/>
      </c>
    </row>
    <row r="547">
      <c r="A547" s="4" t="n">
        <v>543</v>
      </c>
      <c r="B547" s="4" t="inlineStr">
        <is>
          <t>apartments</t>
        </is>
      </c>
      <c r="C547" s="4" t="inlineStr">
        <is>
          <t>Dilldorfer Straße</t>
        </is>
      </c>
      <c r="D547" s="4" t="inlineStr">
        <is>
          <t>10</t>
        </is>
      </c>
      <c r="E547" s="13" t="n">
        <v>180.5</v>
      </c>
      <c r="F547" s="12" t="n">
        <v>0</v>
      </c>
      <c r="G547" s="4" t="n">
        <v>0</v>
      </c>
      <c r="H547" s="4">
        <f>IF(OR(N(F547)&gt;=0.5,G547&gt;=4),3,IF(OR(N(F547)&gt;=0.3,G547=3),2,IF(OR(N(F547)&gt;=0.1,G547&gt;=1),1,0)))</f>
        <v/>
      </c>
      <c r="I547" s="4">
        <f>CHOOSE(H547+1,"Kein Risiko","Gering","Mittel","Hoch")</f>
        <v/>
      </c>
    </row>
    <row r="548">
      <c r="A548" s="4" t="n">
        <v>544</v>
      </c>
      <c r="B548" s="4" t="inlineStr">
        <is>
          <t>yes</t>
        </is>
      </c>
      <c r="C548" s="4" t="inlineStr">
        <is>
          <t>Möllneyer Ufer</t>
        </is>
      </c>
      <c r="D548" s="4" t="inlineStr">
        <is>
          <t>17</t>
        </is>
      </c>
      <c r="E548" s="13" t="n">
        <v>274</v>
      </c>
      <c r="F548" s="12" t="n">
        <v>0.8600006103515625</v>
      </c>
      <c r="G548" s="4" t="n">
        <v>0</v>
      </c>
      <c r="H548" s="4">
        <f>IF(OR(N(F548)&gt;=0.5,G548&gt;=4),3,IF(OR(N(F548)&gt;=0.3,G548=3),2,IF(OR(N(F548)&gt;=0.1,G548&gt;=1),1,0)))</f>
        <v/>
      </c>
      <c r="I548" s="4">
        <f>CHOOSE(H548+1,"Kein Risiko","Gering","Mittel","Hoch")</f>
        <v/>
      </c>
    </row>
    <row r="549">
      <c r="A549" s="4" t="n">
        <v>545</v>
      </c>
      <c r="B549" s="4" t="inlineStr">
        <is>
          <t>yes</t>
        </is>
      </c>
      <c r="C549" s="4" t="inlineStr">
        <is>
          <t>Möllneyer Ufer</t>
        </is>
      </c>
      <c r="D549" s="4" t="inlineStr">
        <is>
          <t>9</t>
        </is>
      </c>
      <c r="E549" s="13" t="n">
        <v>264.8</v>
      </c>
      <c r="F549" s="12" t="n">
        <v>0.2999992370605469</v>
      </c>
      <c r="G549" s="4" t="n">
        <v>0</v>
      </c>
      <c r="H549" s="4">
        <f>IF(OR(N(F549)&gt;=0.5,G549&gt;=4),3,IF(OR(N(F549)&gt;=0.3,G549=3),2,IF(OR(N(F549)&gt;=0.1,G549&gt;=1),1,0)))</f>
        <v/>
      </c>
      <c r="I549" s="4">
        <f>CHOOSE(H549+1,"Kein Risiko","Gering","Mittel","Hoch")</f>
        <v/>
      </c>
    </row>
    <row r="550">
      <c r="A550" s="4" t="n">
        <v>546</v>
      </c>
      <c r="B550" s="4" t="inlineStr">
        <is>
          <t>yes</t>
        </is>
      </c>
      <c r="C550" s="4" t="inlineStr">
        <is>
          <t>Kupferdreher Straße</t>
        </is>
      </c>
      <c r="D550" s="4" t="inlineStr">
        <is>
          <t>255a</t>
        </is>
      </c>
      <c r="E550" s="13" t="n">
        <v>178.1</v>
      </c>
      <c r="F550" s="12" t="n">
        <v>0.04000091552734375</v>
      </c>
      <c r="G550" s="4" t="n">
        <v>1</v>
      </c>
      <c r="H550" s="4">
        <f>IF(OR(N(F550)&gt;=0.5,G550&gt;=4),3,IF(OR(N(F550)&gt;=0.3,G550=3),2,IF(OR(N(F550)&gt;=0.1,G550&gt;=1),1,0)))</f>
        <v/>
      </c>
      <c r="I550" s="4">
        <f>CHOOSE(H550+1,"Kein Risiko","Gering","Mittel","Hoch")</f>
        <v/>
      </c>
    </row>
    <row r="551">
      <c r="A551" s="4" t="n">
        <v>547</v>
      </c>
      <c r="B551" s="4" t="inlineStr">
        <is>
          <t>apartments</t>
        </is>
      </c>
      <c r="C551" s="4" t="inlineStr">
        <is>
          <t>Kupferdreher Straße</t>
        </is>
      </c>
      <c r="D551" s="4" t="inlineStr">
        <is>
          <t>235</t>
        </is>
      </c>
      <c r="E551" s="13" t="n">
        <v>145.5</v>
      </c>
      <c r="F551" s="12" t="n">
        <v>0.1100006103515625</v>
      </c>
      <c r="G551" s="4" t="n">
        <v>2</v>
      </c>
      <c r="H551" s="4">
        <f>IF(OR(N(F551)&gt;=0.5,G551&gt;=4),3,IF(OR(N(F551)&gt;=0.3,G551=3),2,IF(OR(N(F551)&gt;=0.1,G551&gt;=1),1,0)))</f>
        <v/>
      </c>
      <c r="I551" s="4">
        <f>CHOOSE(H551+1,"Kein Risiko","Gering","Mittel","Hoch")</f>
        <v/>
      </c>
    </row>
    <row r="552">
      <c r="A552" s="4" t="n">
        <v>548</v>
      </c>
      <c r="B552" s="4" t="inlineStr">
        <is>
          <t>apartments</t>
        </is>
      </c>
      <c r="C552" s="4" t="inlineStr">
        <is>
          <t>Dilldorfer Straße</t>
        </is>
      </c>
      <c r="D552" s="4" t="inlineStr">
        <is>
          <t>14</t>
        </is>
      </c>
      <c r="E552" s="13" t="n">
        <v>124.9</v>
      </c>
      <c r="F552" s="12" t="n">
        <v>0.06000137329101562</v>
      </c>
      <c r="G552" s="4" t="n">
        <v>0</v>
      </c>
      <c r="H552" s="4">
        <f>IF(OR(N(F552)&gt;=0.5,G552&gt;=4),3,IF(OR(N(F552)&gt;=0.3,G552=3),2,IF(OR(N(F552)&gt;=0.1,G552&gt;=1),1,0)))</f>
        <v/>
      </c>
      <c r="I552" s="4">
        <f>CHOOSE(H552+1,"Kein Risiko","Gering","Mittel","Hoch")</f>
        <v/>
      </c>
    </row>
    <row r="553">
      <c r="A553" s="4" t="n">
        <v>549</v>
      </c>
      <c r="B553" s="4" t="inlineStr">
        <is>
          <t>apartments</t>
        </is>
      </c>
      <c r="C553" s="4" t="inlineStr">
        <is>
          <t>Kupferdreher Straße</t>
        </is>
      </c>
      <c r="D553" s="4" t="inlineStr">
        <is>
          <t>217</t>
        </is>
      </c>
      <c r="E553" s="13" t="n">
        <v>140.3</v>
      </c>
      <c r="F553" s="12" t="n">
        <v>0</v>
      </c>
      <c r="G553" s="4" t="n">
        <v>0</v>
      </c>
      <c r="H553" s="4">
        <f>IF(OR(N(F553)&gt;=0.5,G553&gt;=4),3,IF(OR(N(F553)&gt;=0.3,G553=3),2,IF(OR(N(F553)&gt;=0.1,G553&gt;=1),1,0)))</f>
        <v/>
      </c>
      <c r="I553" s="4">
        <f>CHOOSE(H553+1,"Kein Risiko","Gering","Mittel","Hoch")</f>
        <v/>
      </c>
    </row>
    <row r="554">
      <c r="A554" s="4" t="n">
        <v>550</v>
      </c>
      <c r="B554" s="4" t="inlineStr">
        <is>
          <t>apartments</t>
        </is>
      </c>
      <c r="C554" s="4" t="inlineStr">
        <is>
          <t>Dilldorfer Straße</t>
        </is>
      </c>
      <c r="D554" s="4" t="inlineStr">
        <is>
          <t>21</t>
        </is>
      </c>
      <c r="E554" s="13" t="n">
        <v>271.8</v>
      </c>
      <c r="F554" s="12" t="n">
        <v>0.01999664306640625</v>
      </c>
      <c r="G554" s="4" t="n">
        <v>1</v>
      </c>
      <c r="H554" s="4">
        <f>IF(OR(N(F554)&gt;=0.5,G554&gt;=4),3,IF(OR(N(F554)&gt;=0.3,G554=3),2,IF(OR(N(F554)&gt;=0.1,G554&gt;=1),1,0)))</f>
        <v/>
      </c>
      <c r="I554" s="4">
        <f>CHOOSE(H554+1,"Kein Risiko","Gering","Mittel","Hoch")</f>
        <v/>
      </c>
    </row>
    <row r="555">
      <c r="A555" s="4" t="n">
        <v>551</v>
      </c>
      <c r="B555" s="4" t="inlineStr">
        <is>
          <t>apartments</t>
        </is>
      </c>
      <c r="C555" s="4" t="inlineStr">
        <is>
          <t>Asbachtal</t>
        </is>
      </c>
      <c r="D555" s="4" t="inlineStr">
        <is>
          <t>20</t>
        </is>
      </c>
      <c r="E555" s="13" t="n">
        <v>253.6</v>
      </c>
      <c r="F555" s="12" t="n">
        <v>0</v>
      </c>
      <c r="G555" s="4" t="n">
        <v>0</v>
      </c>
      <c r="H555" s="4">
        <f>IF(OR(N(F555)&gt;=0.5,G555&gt;=4),3,IF(OR(N(F555)&gt;=0.3,G555=3),2,IF(OR(N(F555)&gt;=0.1,G555&gt;=1),1,0)))</f>
        <v/>
      </c>
      <c r="I555" s="4">
        <f>CHOOSE(H555+1,"Kein Risiko","Gering","Mittel","Hoch")</f>
        <v/>
      </c>
    </row>
    <row r="556">
      <c r="A556" s="4" t="n">
        <v>552</v>
      </c>
      <c r="B556" s="4" t="inlineStr">
        <is>
          <t>apartments</t>
        </is>
      </c>
      <c r="C556" s="4" t="inlineStr">
        <is>
          <t>Dilldorfer Straße</t>
        </is>
      </c>
      <c r="D556" s="4" t="inlineStr">
        <is>
          <t>22a</t>
        </is>
      </c>
      <c r="E556" s="13" t="n">
        <v>147.9</v>
      </c>
      <c r="F556" s="12" t="n">
        <v>0</v>
      </c>
      <c r="G556" s="4" t="n">
        <v>0</v>
      </c>
      <c r="H556" s="4">
        <f>IF(OR(N(F556)&gt;=0.5,G556&gt;=4),3,IF(OR(N(F556)&gt;=0.3,G556=3),2,IF(OR(N(F556)&gt;=0.1,G556&gt;=1),1,0)))</f>
        <v/>
      </c>
      <c r="I556" s="4">
        <f>CHOOSE(H556+1,"Kein Risiko","Gering","Mittel","Hoch")</f>
        <v/>
      </c>
    </row>
    <row r="557">
      <c r="A557" s="4" t="n">
        <v>553</v>
      </c>
      <c r="B557" s="4" t="inlineStr">
        <is>
          <t>yes</t>
        </is>
      </c>
      <c r="C557" s="4" t="inlineStr">
        <is>
          <t>Kupferdreher Straße</t>
        </is>
      </c>
      <c r="D557" s="4" t="inlineStr">
        <is>
          <t>256</t>
        </is>
      </c>
      <c r="E557" s="13" t="n">
        <v>193</v>
      </c>
      <c r="F557" s="12" t="n">
        <v>0.5799980163574219</v>
      </c>
      <c r="G557" s="4" t="n">
        <v>0</v>
      </c>
      <c r="H557" s="4">
        <f>IF(OR(N(F557)&gt;=0.5,G557&gt;=4),3,IF(OR(N(F557)&gt;=0.3,G557=3),2,IF(OR(N(F557)&gt;=0.1,G557&gt;=1),1,0)))</f>
        <v/>
      </c>
      <c r="I557" s="4">
        <f>CHOOSE(H557+1,"Kein Risiko","Gering","Mittel","Hoch")</f>
        <v/>
      </c>
    </row>
    <row r="558">
      <c r="A558" s="4" t="n">
        <v>554</v>
      </c>
      <c r="B558" s="4" t="inlineStr">
        <is>
          <t>apartments</t>
        </is>
      </c>
      <c r="C558" s="4" t="inlineStr">
        <is>
          <t>Möllneyer Ufer</t>
        </is>
      </c>
      <c r="D558" s="4" t="inlineStr">
        <is>
          <t>1</t>
        </is>
      </c>
      <c r="E558" s="13" t="n">
        <v>88.2</v>
      </c>
      <c r="F558" s="12" t="n">
        <v>0.3199996948242188</v>
      </c>
      <c r="G558" s="4" t="n">
        <v>0</v>
      </c>
      <c r="H558" s="4">
        <f>IF(OR(N(F558)&gt;=0.5,G558&gt;=4),3,IF(OR(N(F558)&gt;=0.3,G558=3),2,IF(OR(N(F558)&gt;=0.1,G558&gt;=1),1,0)))</f>
        <v/>
      </c>
      <c r="I558" s="4">
        <f>CHOOSE(H558+1,"Kein Risiko","Gering","Mittel","Hoch")</f>
        <v/>
      </c>
    </row>
    <row r="559">
      <c r="A559" s="4" t="n">
        <v>555</v>
      </c>
      <c r="B559" s="4" t="inlineStr">
        <is>
          <t>yes</t>
        </is>
      </c>
      <c r="C559" s="4" t="inlineStr">
        <is>
          <t>Kupferdreher Straße</t>
        </is>
      </c>
      <c r="D559" s="4" t="inlineStr">
        <is>
          <t>259</t>
        </is>
      </c>
      <c r="E559" s="13" t="n">
        <v>109.3</v>
      </c>
      <c r="F559" s="12" t="n">
        <v>0</v>
      </c>
      <c r="G559" s="4" t="n">
        <v>0</v>
      </c>
      <c r="H559" s="4">
        <f>IF(OR(N(F559)&gt;=0.5,G559&gt;=4),3,IF(OR(N(F559)&gt;=0.3,G559=3),2,IF(OR(N(F559)&gt;=0.1,G559&gt;=1),1,0)))</f>
        <v/>
      </c>
      <c r="I559" s="4">
        <f>CHOOSE(H559+1,"Kein Risiko","Gering","Mittel","Hoch")</f>
        <v/>
      </c>
    </row>
    <row r="560">
      <c r="A560" s="4" t="n">
        <v>556</v>
      </c>
      <c r="B560" s="4" t="inlineStr">
        <is>
          <t>retail</t>
        </is>
      </c>
      <c r="C560" s="4" t="inlineStr">
        <is>
          <t>Deilbachtal</t>
        </is>
      </c>
      <c r="D560" s="4" t="inlineStr">
        <is>
          <t>1</t>
        </is>
      </c>
      <c r="E560" s="13" t="n">
        <v>1005.5</v>
      </c>
      <c r="F560" s="12" t="n">
        <v>0.7700004577636719</v>
      </c>
      <c r="G560" s="4" t="n">
        <v>1</v>
      </c>
      <c r="H560" s="4">
        <f>IF(OR(N(F560)&gt;=0.5,G560&gt;=4),3,IF(OR(N(F560)&gt;=0.3,G560=3),2,IF(OR(N(F560)&gt;=0.1,G560&gt;=1),1,0)))</f>
        <v/>
      </c>
      <c r="I560" s="4">
        <f>CHOOSE(H560+1,"Kein Risiko","Gering","Mittel","Hoch")</f>
        <v/>
      </c>
    </row>
    <row r="561">
      <c r="A561" s="4" t="n">
        <v>557</v>
      </c>
      <c r="B561" s="4" t="inlineStr">
        <is>
          <t>yes</t>
        </is>
      </c>
      <c r="C561" s="4" t="inlineStr">
        <is>
          <t>Kupferdreher Straße</t>
        </is>
      </c>
      <c r="D561" s="4" t="inlineStr">
        <is>
          <t>243</t>
        </is>
      </c>
      <c r="E561" s="13" t="n">
        <v>117.8</v>
      </c>
      <c r="F561" s="12" t="n">
        <v>0</v>
      </c>
      <c r="G561" s="4" t="n">
        <v>0</v>
      </c>
      <c r="H561" s="4">
        <f>IF(OR(N(F561)&gt;=0.5,G561&gt;=4),3,IF(OR(N(F561)&gt;=0.3,G561=3),2,IF(OR(N(F561)&gt;=0.1,G561&gt;=1),1,0)))</f>
        <v/>
      </c>
      <c r="I561" s="4">
        <f>CHOOSE(H561+1,"Kein Risiko","Gering","Mittel","Hoch")</f>
        <v/>
      </c>
    </row>
    <row r="562">
      <c r="A562" s="4" t="n">
        <v>558</v>
      </c>
      <c r="B562" s="4" t="inlineStr">
        <is>
          <t>apartments</t>
        </is>
      </c>
      <c r="C562" s="4" t="inlineStr">
        <is>
          <t>Kupferdreher Straße</t>
        </is>
      </c>
      <c r="D562" s="4" t="inlineStr">
        <is>
          <t>260</t>
        </is>
      </c>
      <c r="E562" s="13" t="n">
        <v>322.4</v>
      </c>
      <c r="F562" s="12" t="n">
        <v>0.09000015258789062</v>
      </c>
      <c r="G562" s="4" t="n">
        <v>3</v>
      </c>
      <c r="H562" s="4">
        <f>IF(OR(N(F562)&gt;=0.5,G562&gt;=4),3,IF(OR(N(F562)&gt;=0.3,G562=3),2,IF(OR(N(F562)&gt;=0.1,G562&gt;=1),1,0)))</f>
        <v/>
      </c>
      <c r="I562" s="4">
        <f>CHOOSE(H562+1,"Kein Risiko","Gering","Mittel","Hoch")</f>
        <v/>
      </c>
    </row>
    <row r="563">
      <c r="A563" s="4" t="n">
        <v>559</v>
      </c>
      <c r="B563" s="4" t="inlineStr">
        <is>
          <t>apartments</t>
        </is>
      </c>
      <c r="C563" s="4" t="inlineStr">
        <is>
          <t>Dilldorfer Straße</t>
        </is>
      </c>
      <c r="D563" s="4" t="inlineStr">
        <is>
          <t>22</t>
        </is>
      </c>
      <c r="E563" s="13" t="n">
        <v>122.5</v>
      </c>
      <c r="F563" s="12" t="n">
        <v>0</v>
      </c>
      <c r="G563" s="4" t="n">
        <v>0</v>
      </c>
      <c r="H563" s="4">
        <f>IF(OR(N(F563)&gt;=0.5,G563&gt;=4),3,IF(OR(N(F563)&gt;=0.3,G563=3),2,IF(OR(N(F563)&gt;=0.1,G563&gt;=1),1,0)))</f>
        <v/>
      </c>
      <c r="I563" s="4">
        <f>CHOOSE(H563+1,"Kein Risiko","Gering","Mittel","Hoch")</f>
        <v/>
      </c>
    </row>
    <row r="564">
      <c r="A564" s="4" t="n">
        <v>560</v>
      </c>
      <c r="B564" s="4" t="inlineStr">
        <is>
          <t>yes</t>
        </is>
      </c>
      <c r="C564" s="4" t="inlineStr">
        <is>
          <t>Kupferdreher Straße</t>
        </is>
      </c>
      <c r="D564" s="4" t="inlineStr">
        <is>
          <t>252</t>
        </is>
      </c>
      <c r="E564" s="13" t="n">
        <v>117.6</v>
      </c>
      <c r="F564" s="12" t="n">
        <v>0.01999664306640625</v>
      </c>
      <c r="G564" s="4" t="n">
        <v>0</v>
      </c>
      <c r="H564" s="4">
        <f>IF(OR(N(F564)&gt;=0.5,G564&gt;=4),3,IF(OR(N(F564)&gt;=0.3,G564=3),2,IF(OR(N(F564)&gt;=0.1,G564&gt;=1),1,0)))</f>
        <v/>
      </c>
      <c r="I564" s="4">
        <f>CHOOSE(H564+1,"Kein Risiko","Gering","Mittel","Hoch")</f>
        <v/>
      </c>
    </row>
    <row r="565">
      <c r="A565" s="4" t="n">
        <v>561</v>
      </c>
      <c r="B565" s="4" t="inlineStr">
        <is>
          <t>yes</t>
        </is>
      </c>
      <c r="C565" s="4" t="inlineStr">
        <is>
          <t>Kupferdreher Straße</t>
        </is>
      </c>
      <c r="D565" s="4" t="inlineStr">
        <is>
          <t>251</t>
        </is>
      </c>
      <c r="E565" s="13" t="n">
        <v>233.2</v>
      </c>
      <c r="F565" s="12" t="n">
        <v>0</v>
      </c>
      <c r="G565" s="4" t="n">
        <v>3</v>
      </c>
      <c r="H565" s="4">
        <f>IF(OR(N(F565)&gt;=0.5,G565&gt;=4),3,IF(OR(N(F565)&gt;=0.3,G565=3),2,IF(OR(N(F565)&gt;=0.1,G565&gt;=1),1,0)))</f>
        <v/>
      </c>
      <c r="I565" s="4">
        <f>CHOOSE(H565+1,"Kein Risiko","Gering","Mittel","Hoch")</f>
        <v/>
      </c>
    </row>
    <row r="566">
      <c r="A566" s="4" t="n">
        <v>562</v>
      </c>
      <c r="B566" s="4" t="inlineStr">
        <is>
          <t>yes</t>
        </is>
      </c>
      <c r="C566" s="4" t="inlineStr">
        <is>
          <t>Kupferdreher Straße</t>
        </is>
      </c>
      <c r="D566" s="4" t="inlineStr">
        <is>
          <t>263</t>
        </is>
      </c>
      <c r="E566" s="13" t="n">
        <v>186.8</v>
      </c>
      <c r="F566" s="12" t="n">
        <v>0.01000213623046875</v>
      </c>
      <c r="G566" s="4" t="n">
        <v>4</v>
      </c>
      <c r="H566" s="4">
        <f>IF(OR(N(F566)&gt;=0.5,G566&gt;=4),3,IF(OR(N(F566)&gt;=0.3,G566=3),2,IF(OR(N(F566)&gt;=0.1,G566&gt;=1),1,0)))</f>
        <v/>
      </c>
      <c r="I566" s="4">
        <f>CHOOSE(H566+1,"Kein Risiko","Gering","Mittel","Hoch")</f>
        <v/>
      </c>
    </row>
    <row r="567">
      <c r="A567" s="4" t="n">
        <v>563</v>
      </c>
      <c r="B567" s="4" t="inlineStr">
        <is>
          <t>yes</t>
        </is>
      </c>
      <c r="C567" s="4" t="inlineStr">
        <is>
          <t>Kupferdreher Straße</t>
        </is>
      </c>
      <c r="D567" s="4" t="inlineStr">
        <is>
          <t>265</t>
        </is>
      </c>
      <c r="E567" s="13" t="n">
        <v>186.9</v>
      </c>
      <c r="F567" s="12" t="n">
        <v>0.02000045776367188</v>
      </c>
      <c r="G567" s="4" t="n">
        <v>4</v>
      </c>
      <c r="H567" s="4">
        <f>IF(OR(N(F567)&gt;=0.5,G567&gt;=4),3,IF(OR(N(F567)&gt;=0.3,G567=3),2,IF(OR(N(F567)&gt;=0.1,G567&gt;=1),1,0)))</f>
        <v/>
      </c>
      <c r="I567" s="4">
        <f>CHOOSE(H567+1,"Kein Risiko","Gering","Mittel","Hoch")</f>
        <v/>
      </c>
    </row>
    <row r="568">
      <c r="A568" s="4" t="n">
        <v>564</v>
      </c>
      <c r="B568" s="4" t="inlineStr">
        <is>
          <t>yes</t>
        </is>
      </c>
      <c r="C568" s="4" t="inlineStr">
        <is>
          <t>Kupferdreher Straße</t>
        </is>
      </c>
      <c r="D568" s="4" t="inlineStr">
        <is>
          <t>270</t>
        </is>
      </c>
      <c r="E568" s="13" t="n">
        <v>148.3</v>
      </c>
      <c r="F568" s="12" t="n">
        <v>0.2800025939941406</v>
      </c>
      <c r="G568" s="4" t="n">
        <v>0</v>
      </c>
      <c r="H568" s="4">
        <f>IF(OR(N(F568)&gt;=0.5,G568&gt;=4),3,IF(OR(N(F568)&gt;=0.3,G568=3),2,IF(OR(N(F568)&gt;=0.1,G568&gt;=1),1,0)))</f>
        <v/>
      </c>
      <c r="I568" s="4">
        <f>CHOOSE(H568+1,"Kein Risiko","Gering","Mittel","Hoch")</f>
        <v/>
      </c>
    </row>
    <row r="569">
      <c r="A569" s="4" t="n">
        <v>565</v>
      </c>
      <c r="B569" s="4" t="inlineStr">
        <is>
          <t>yes</t>
        </is>
      </c>
      <c r="C569" s="4" t="inlineStr">
        <is>
          <t>Kupferdreher Straße</t>
        </is>
      </c>
      <c r="D569" s="4" t="inlineStr">
        <is>
          <t>271a</t>
        </is>
      </c>
      <c r="E569" s="13" t="n">
        <v>70.7</v>
      </c>
      <c r="F569" s="12" t="n">
        <v>0</v>
      </c>
      <c r="G569" s="4" t="n">
        <v>0</v>
      </c>
      <c r="H569" s="4">
        <f>IF(OR(N(F569)&gt;=0.5,G569&gt;=4),3,IF(OR(N(F569)&gt;=0.3,G569=3),2,IF(OR(N(F569)&gt;=0.1,G569&gt;=1),1,0)))</f>
        <v/>
      </c>
      <c r="I569" s="4">
        <f>CHOOSE(H569+1,"Kein Risiko","Gering","Mittel","Hoch")</f>
        <v/>
      </c>
    </row>
    <row r="570">
      <c r="A570" s="4" t="n">
        <v>566</v>
      </c>
      <c r="B570" s="4" t="inlineStr">
        <is>
          <t>yes</t>
        </is>
      </c>
      <c r="C570" s="4" t="inlineStr">
        <is>
          <t>Kupferdreher Straße</t>
        </is>
      </c>
      <c r="D570" s="4" t="inlineStr">
        <is>
          <t>272</t>
        </is>
      </c>
      <c r="E570" s="13" t="n">
        <v>148.2</v>
      </c>
      <c r="F570" s="12" t="n">
        <v>0.029998779296875</v>
      </c>
      <c r="G570" s="4" t="n">
        <v>0</v>
      </c>
      <c r="H570" s="4">
        <f>IF(OR(N(F570)&gt;=0.5,G570&gt;=4),3,IF(OR(N(F570)&gt;=0.3,G570=3),2,IF(OR(N(F570)&gt;=0.1,G570&gt;=1),1,0)))</f>
        <v/>
      </c>
      <c r="I570" s="4">
        <f>CHOOSE(H570+1,"Kein Risiko","Gering","Mittel","Hoch")</f>
        <v/>
      </c>
    </row>
    <row r="571">
      <c r="A571" s="4" t="n">
        <v>567</v>
      </c>
      <c r="B571" s="4" t="inlineStr">
        <is>
          <t>yes</t>
        </is>
      </c>
      <c r="C571" s="4" t="inlineStr">
        <is>
          <t>Kupferdreher Straße</t>
        </is>
      </c>
      <c r="D571" s="4" t="inlineStr">
        <is>
          <t>273</t>
        </is>
      </c>
      <c r="E571" s="13" t="n">
        <v>90.8</v>
      </c>
      <c r="F571" s="12" t="n">
        <v>0</v>
      </c>
      <c r="G571" s="4" t="n">
        <v>0</v>
      </c>
      <c r="H571" s="4">
        <f>IF(OR(N(F571)&gt;=0.5,G571&gt;=4),3,IF(OR(N(F571)&gt;=0.3,G571=3),2,IF(OR(N(F571)&gt;=0.1,G571&gt;=1),1,0)))</f>
        <v/>
      </c>
      <c r="I571" s="4">
        <f>CHOOSE(H571+1,"Kein Risiko","Gering","Mittel","Hoch")</f>
        <v/>
      </c>
    </row>
    <row r="572">
      <c r="A572" s="4" t="n">
        <v>568</v>
      </c>
      <c r="B572" s="4" t="inlineStr">
        <is>
          <t>yes</t>
        </is>
      </c>
      <c r="C572" s="4" t="inlineStr">
        <is>
          <t>Kupferdreher Straße</t>
        </is>
      </c>
      <c r="D572" s="4" t="inlineStr">
        <is>
          <t>275</t>
        </is>
      </c>
      <c r="E572" s="13" t="n">
        <v>90.90000000000001</v>
      </c>
      <c r="F572" s="12" t="n">
        <v>0</v>
      </c>
      <c r="G572" s="4" t="n">
        <v>0</v>
      </c>
      <c r="H572" s="4">
        <f>IF(OR(N(F572)&gt;=0.5,G572&gt;=4),3,IF(OR(N(F572)&gt;=0.3,G572=3),2,IF(OR(N(F572)&gt;=0.1,G572&gt;=1),1,0)))</f>
        <v/>
      </c>
      <c r="I572" s="4">
        <f>CHOOSE(H572+1,"Kein Risiko","Gering","Mittel","Hoch")</f>
        <v/>
      </c>
    </row>
    <row r="573">
      <c r="A573" s="4" t="n">
        <v>569</v>
      </c>
      <c r="B573" s="4" t="inlineStr">
        <is>
          <t>yes</t>
        </is>
      </c>
      <c r="C573" s="4" t="inlineStr">
        <is>
          <t>Kupferdreher Straße</t>
        </is>
      </c>
      <c r="D573" s="4" t="inlineStr">
        <is>
          <t>277</t>
        </is>
      </c>
      <c r="E573" s="13" t="n">
        <v>122.7</v>
      </c>
      <c r="F573" s="12" t="n">
        <v>0.009998321533203125</v>
      </c>
      <c r="G573" s="4" t="n">
        <v>0</v>
      </c>
      <c r="H573" s="4">
        <f>IF(OR(N(F573)&gt;=0.5,G573&gt;=4),3,IF(OR(N(F573)&gt;=0.3,G573=3),2,IF(OR(N(F573)&gt;=0.1,G573&gt;=1),1,0)))</f>
        <v/>
      </c>
      <c r="I573" s="4">
        <f>CHOOSE(H573+1,"Kein Risiko","Gering","Mittel","Hoch")</f>
        <v/>
      </c>
    </row>
    <row r="574">
      <c r="A574" s="4" t="n">
        <v>570</v>
      </c>
      <c r="B574" s="4" t="inlineStr">
        <is>
          <t>yes</t>
        </is>
      </c>
      <c r="C574" s="4" t="inlineStr">
        <is>
          <t>Kupferdreher Straße</t>
        </is>
      </c>
      <c r="D574" s="4" t="inlineStr">
        <is>
          <t>279</t>
        </is>
      </c>
      <c r="E574" s="13" t="n">
        <v>135.9</v>
      </c>
      <c r="F574" s="12" t="n">
        <v>0.02000045776367188</v>
      </c>
      <c r="G574" s="4" t="n">
        <v>0</v>
      </c>
      <c r="H574" s="4">
        <f>IF(OR(N(F574)&gt;=0.5,G574&gt;=4),3,IF(OR(N(F574)&gt;=0.3,G574=3),2,IF(OR(N(F574)&gt;=0.1,G574&gt;=1),1,0)))</f>
        <v/>
      </c>
      <c r="I574" s="4">
        <f>CHOOSE(H574+1,"Kein Risiko","Gering","Mittel","Hoch")</f>
        <v/>
      </c>
    </row>
    <row r="575">
      <c r="A575" s="4" t="n">
        <v>571</v>
      </c>
      <c r="B575" s="4" t="inlineStr">
        <is>
          <t>yes</t>
        </is>
      </c>
      <c r="C575" s="4" t="inlineStr">
        <is>
          <t>Kupferdreher Straße</t>
        </is>
      </c>
      <c r="D575" s="4" t="inlineStr">
        <is>
          <t>281</t>
        </is>
      </c>
      <c r="E575" s="13" t="n">
        <v>98.59999999999999</v>
      </c>
      <c r="F575" s="12" t="n">
        <v>0</v>
      </c>
      <c r="G575" s="4" t="n">
        <v>0</v>
      </c>
      <c r="H575" s="4">
        <f>IF(OR(N(F575)&gt;=0.5,G575&gt;=4),3,IF(OR(N(F575)&gt;=0.3,G575=3),2,IF(OR(N(F575)&gt;=0.1,G575&gt;=1),1,0)))</f>
        <v/>
      </c>
      <c r="I575" s="4">
        <f>CHOOSE(H575+1,"Kein Risiko","Gering","Mittel","Hoch")</f>
        <v/>
      </c>
    </row>
    <row r="576">
      <c r="A576" s="4" t="n">
        <v>572</v>
      </c>
      <c r="B576" s="4" t="inlineStr">
        <is>
          <t>yes</t>
        </is>
      </c>
      <c r="C576" s="4" t="inlineStr">
        <is>
          <t>Kupferdreher Straße</t>
        </is>
      </c>
      <c r="D576" s="4" t="inlineStr">
        <is>
          <t>283</t>
        </is>
      </c>
      <c r="E576" s="13" t="n">
        <v>117</v>
      </c>
      <c r="F576" s="12" t="n">
        <v>0</v>
      </c>
      <c r="G576" s="4" t="n">
        <v>4</v>
      </c>
      <c r="H576" s="4">
        <f>IF(OR(N(F576)&gt;=0.5,G576&gt;=4),3,IF(OR(N(F576)&gt;=0.3,G576=3),2,IF(OR(N(F576)&gt;=0.1,G576&gt;=1),1,0)))</f>
        <v/>
      </c>
      <c r="I576" s="4">
        <f>CHOOSE(H576+1,"Kein Risiko","Gering","Mittel","Hoch")</f>
        <v/>
      </c>
    </row>
    <row r="577">
      <c r="A577" s="4" t="n">
        <v>573</v>
      </c>
      <c r="B577" s="4" t="inlineStr">
        <is>
          <t>yes</t>
        </is>
      </c>
      <c r="C577" s="4" t="inlineStr">
        <is>
          <t>Kupferdreher Straße</t>
        </is>
      </c>
      <c r="D577" s="4" t="inlineStr">
        <is>
          <t>285</t>
        </is>
      </c>
      <c r="E577" s="13" t="n">
        <v>132.3</v>
      </c>
      <c r="F577" s="12" t="n">
        <v>0.3300018310546875</v>
      </c>
      <c r="G577" s="4" t="n">
        <v>4</v>
      </c>
      <c r="H577" s="4">
        <f>IF(OR(N(F577)&gt;=0.5,G577&gt;=4),3,IF(OR(N(F577)&gt;=0.3,G577=3),2,IF(OR(N(F577)&gt;=0.1,G577&gt;=1),1,0)))</f>
        <v/>
      </c>
      <c r="I577" s="4">
        <f>CHOOSE(H577+1,"Kein Risiko","Gering","Mittel","Hoch")</f>
        <v/>
      </c>
    </row>
    <row r="578">
      <c r="A578" s="4" t="n">
        <v>574</v>
      </c>
      <c r="B578" s="4" t="inlineStr">
        <is>
          <t>yes</t>
        </is>
      </c>
      <c r="C578" s="4" t="inlineStr">
        <is>
          <t>Kupferdreher Straße</t>
        </is>
      </c>
      <c r="D578" s="4" t="inlineStr">
        <is>
          <t>288</t>
        </is>
      </c>
      <c r="E578" s="13" t="n">
        <v>123</v>
      </c>
      <c r="F578" s="12" t="n">
        <v>0.06999969482421875</v>
      </c>
      <c r="G578" s="4" t="n">
        <v>0</v>
      </c>
      <c r="H578" s="4">
        <f>IF(OR(N(F578)&gt;=0.5,G578&gt;=4),3,IF(OR(N(F578)&gt;=0.3,G578=3),2,IF(OR(N(F578)&gt;=0.1,G578&gt;=1),1,0)))</f>
        <v/>
      </c>
      <c r="I578" s="4">
        <f>CHOOSE(H578+1,"Kein Risiko","Gering","Mittel","Hoch")</f>
        <v/>
      </c>
    </row>
    <row r="579">
      <c r="A579" s="4" t="n">
        <v>575</v>
      </c>
      <c r="B579" s="4" t="inlineStr">
        <is>
          <t>yes</t>
        </is>
      </c>
      <c r="C579" s="4" t="inlineStr">
        <is>
          <t>Kupferdreher Straße</t>
        </is>
      </c>
      <c r="D579" s="4" t="inlineStr">
        <is>
          <t>289a</t>
        </is>
      </c>
      <c r="E579" s="13" t="n">
        <v>100.8</v>
      </c>
      <c r="F579" s="12" t="n">
        <v>0.04000091552734375</v>
      </c>
      <c r="G579" s="4" t="n">
        <v>1</v>
      </c>
      <c r="H579" s="4">
        <f>IF(OR(N(F579)&gt;=0.5,G579&gt;=4),3,IF(OR(N(F579)&gt;=0.3,G579=3),2,IF(OR(N(F579)&gt;=0.1,G579&gt;=1),1,0)))</f>
        <v/>
      </c>
      <c r="I579" s="4">
        <f>CHOOSE(H579+1,"Kein Risiko","Gering","Mittel","Hoch")</f>
        <v/>
      </c>
    </row>
    <row r="580">
      <c r="A580" s="4" t="n">
        <v>576</v>
      </c>
      <c r="B580" s="4" t="inlineStr">
        <is>
          <t>yes</t>
        </is>
      </c>
      <c r="C580" s="4" t="inlineStr">
        <is>
          <t>Kupferdreher Straße</t>
        </is>
      </c>
      <c r="D580" s="4" t="inlineStr">
        <is>
          <t>290</t>
        </is>
      </c>
      <c r="E580" s="13" t="n">
        <v>123</v>
      </c>
      <c r="F580" s="12" t="n">
        <v>0</v>
      </c>
      <c r="G580" s="4" t="n">
        <v>0</v>
      </c>
      <c r="H580" s="4">
        <f>IF(OR(N(F580)&gt;=0.5,G580&gt;=4),3,IF(OR(N(F580)&gt;=0.3,G580=3),2,IF(OR(N(F580)&gt;=0.1,G580&gt;=1),1,0)))</f>
        <v/>
      </c>
      <c r="I580" s="4">
        <f>CHOOSE(H580+1,"Kein Risiko","Gering","Mittel","Hoch")</f>
        <v/>
      </c>
    </row>
    <row r="581">
      <c r="A581" s="4" t="n">
        <v>577</v>
      </c>
      <c r="B581" s="4" t="inlineStr">
        <is>
          <t>yes</t>
        </is>
      </c>
      <c r="C581" s="4" t="inlineStr"/>
      <c r="D581" s="4" t="inlineStr"/>
      <c r="E581" s="13" t="n">
        <v>181.2</v>
      </c>
      <c r="F581" s="12" t="n">
        <v>0.0800018310546875</v>
      </c>
      <c r="G581" s="4" t="n">
        <v>0</v>
      </c>
      <c r="H581" s="4">
        <f>IF(OR(N(F581)&gt;=0.5,G581&gt;=4),3,IF(OR(N(F581)&gt;=0.3,G581=3),2,IF(OR(N(F581)&gt;=0.1,G581&gt;=1),1,0)))</f>
        <v/>
      </c>
      <c r="I581" s="4">
        <f>CHOOSE(H581+1,"Kein Risiko","Gering","Mittel","Hoch")</f>
        <v/>
      </c>
    </row>
    <row r="582">
      <c r="A582" s="4" t="n">
        <v>578</v>
      </c>
      <c r="B582" s="4" t="inlineStr">
        <is>
          <t>yes</t>
        </is>
      </c>
      <c r="C582" s="4" t="inlineStr"/>
      <c r="D582" s="4" t="inlineStr"/>
      <c r="E582" s="13" t="n">
        <v>168.8</v>
      </c>
      <c r="F582" s="12" t="n">
        <v>0</v>
      </c>
      <c r="G582" s="4" t="n">
        <v>0</v>
      </c>
      <c r="H582" s="4">
        <f>IF(OR(N(F582)&gt;=0.5,G582&gt;=4),3,IF(OR(N(F582)&gt;=0.3,G582=3),2,IF(OR(N(F582)&gt;=0.1,G582&gt;=1),1,0)))</f>
        <v/>
      </c>
      <c r="I582" s="4">
        <f>CHOOSE(H582+1,"Kein Risiko","Gering","Mittel","Hoch")</f>
        <v/>
      </c>
    </row>
    <row r="583">
      <c r="A583" s="4" t="n">
        <v>579</v>
      </c>
      <c r="B583" s="4" t="inlineStr">
        <is>
          <t>yes</t>
        </is>
      </c>
      <c r="C583" s="4" t="inlineStr"/>
      <c r="D583" s="4" t="inlineStr"/>
      <c r="E583" s="13" t="n">
        <v>163.4</v>
      </c>
      <c r="F583" s="12" t="n">
        <v>0.1000022888183594</v>
      </c>
      <c r="G583" s="4" t="n">
        <v>0</v>
      </c>
      <c r="H583" s="4">
        <f>IF(OR(N(F583)&gt;=0.5,G583&gt;=4),3,IF(OR(N(F583)&gt;=0.3,G583=3),2,IF(OR(N(F583)&gt;=0.1,G583&gt;=1),1,0)))</f>
        <v/>
      </c>
      <c r="I583" s="4">
        <f>CHOOSE(H583+1,"Kein Risiko","Gering","Mittel","Hoch")</f>
        <v/>
      </c>
    </row>
    <row r="584">
      <c r="A584" s="4" t="n">
        <v>580</v>
      </c>
      <c r="B584" s="4" t="inlineStr">
        <is>
          <t>yes</t>
        </is>
      </c>
      <c r="C584" s="4" t="inlineStr"/>
      <c r="D584" s="4" t="inlineStr"/>
      <c r="E584" s="13" t="n">
        <v>90</v>
      </c>
      <c r="F584" s="12" t="n">
        <v>0</v>
      </c>
      <c r="G584" s="4" t="n">
        <v>0</v>
      </c>
      <c r="H584" s="4">
        <f>IF(OR(N(F584)&gt;=0.5,G584&gt;=4),3,IF(OR(N(F584)&gt;=0.3,G584=3),2,IF(OR(N(F584)&gt;=0.1,G584&gt;=1),1,0)))</f>
        <v/>
      </c>
      <c r="I584" s="4">
        <f>CHOOSE(H584+1,"Kein Risiko","Gering","Mittel","Hoch")</f>
        <v/>
      </c>
    </row>
    <row r="585">
      <c r="A585" s="4" t="n">
        <v>581</v>
      </c>
      <c r="B585" s="4" t="inlineStr">
        <is>
          <t>yes</t>
        </is>
      </c>
      <c r="C585" s="4" t="inlineStr"/>
      <c r="D585" s="4" t="inlineStr"/>
      <c r="E585" s="13" t="n">
        <v>228.4</v>
      </c>
      <c r="F585" s="12" t="n">
        <v>0.01000213623046875</v>
      </c>
      <c r="G585" s="4" t="n">
        <v>0</v>
      </c>
      <c r="H585" s="4">
        <f>IF(OR(N(F585)&gt;=0.5,G585&gt;=4),3,IF(OR(N(F585)&gt;=0.3,G585=3),2,IF(OR(N(F585)&gt;=0.1,G585&gt;=1),1,0)))</f>
        <v/>
      </c>
      <c r="I585" s="4">
        <f>CHOOSE(H585+1,"Kein Risiko","Gering","Mittel","Hoch")</f>
        <v/>
      </c>
    </row>
    <row r="586">
      <c r="A586" s="4" t="n">
        <v>582</v>
      </c>
      <c r="B586" s="4" t="inlineStr">
        <is>
          <t>yes</t>
        </is>
      </c>
      <c r="C586" s="4" t="inlineStr"/>
      <c r="D586" s="4" t="inlineStr"/>
      <c r="E586" s="13" t="n">
        <v>272.4</v>
      </c>
      <c r="F586" s="12" t="n">
        <v>0</v>
      </c>
      <c r="G586" s="4" t="n">
        <v>0</v>
      </c>
      <c r="H586" s="4">
        <f>IF(OR(N(F586)&gt;=0.5,G586&gt;=4),3,IF(OR(N(F586)&gt;=0.3,G586=3),2,IF(OR(N(F586)&gt;=0.1,G586&gt;=1),1,0)))</f>
        <v/>
      </c>
      <c r="I586" s="4">
        <f>CHOOSE(H586+1,"Kein Risiko","Gering","Mittel","Hoch")</f>
        <v/>
      </c>
    </row>
    <row r="587">
      <c r="A587" s="4" t="n">
        <v>583</v>
      </c>
      <c r="B587" s="4" t="inlineStr">
        <is>
          <t>apartments</t>
        </is>
      </c>
      <c r="C587" s="4" t="inlineStr">
        <is>
          <t>Byfanger Straße</t>
        </is>
      </c>
      <c r="D587" s="4" t="inlineStr">
        <is>
          <t>16</t>
        </is>
      </c>
      <c r="E587" s="13" t="n">
        <v>155</v>
      </c>
      <c r="F587" s="12" t="n">
        <v>0</v>
      </c>
      <c r="G587" s="4" t="n">
        <v>5</v>
      </c>
      <c r="H587" s="4">
        <f>IF(OR(N(F587)&gt;=0.5,G587&gt;=4),3,IF(OR(N(F587)&gt;=0.3,G587=3),2,IF(OR(N(F587)&gt;=0.1,G587&gt;=1),1,0)))</f>
        <v/>
      </c>
      <c r="I587" s="4">
        <f>CHOOSE(H587+1,"Kein Risiko","Gering","Mittel","Hoch")</f>
        <v/>
      </c>
    </row>
    <row r="588">
      <c r="A588" s="4" t="n">
        <v>584</v>
      </c>
      <c r="B588" s="4" t="inlineStr">
        <is>
          <t>yes</t>
        </is>
      </c>
      <c r="C588" s="4" t="inlineStr"/>
      <c r="D588" s="4" t="inlineStr"/>
      <c r="E588" s="13" t="n">
        <v>157.6</v>
      </c>
      <c r="F588" s="12" t="n">
        <v>0</v>
      </c>
      <c r="G588" s="4" t="n">
        <v>0</v>
      </c>
      <c r="H588" s="4">
        <f>IF(OR(N(F588)&gt;=0.5,G588&gt;=4),3,IF(OR(N(F588)&gt;=0.3,G588=3),2,IF(OR(N(F588)&gt;=0.1,G588&gt;=1),1,0)))</f>
        <v/>
      </c>
      <c r="I588" s="4">
        <f>CHOOSE(H588+1,"Kein Risiko","Gering","Mittel","Hoch")</f>
        <v/>
      </c>
    </row>
    <row r="589">
      <c r="A589" s="4" t="n">
        <v>585</v>
      </c>
      <c r="B589" s="4" t="inlineStr">
        <is>
          <t>school</t>
        </is>
      </c>
      <c r="C589" s="4" t="inlineStr"/>
      <c r="D589" s="4" t="inlineStr"/>
      <c r="E589" s="13" t="n">
        <v>202.6</v>
      </c>
      <c r="F589" s="12" t="n">
        <v>0.029998779296875</v>
      </c>
      <c r="G589" s="4" t="n">
        <v>0</v>
      </c>
      <c r="H589" s="4">
        <f>IF(OR(N(F589)&gt;=0.5,G589&gt;=4),3,IF(OR(N(F589)&gt;=0.3,G589=3),2,IF(OR(N(F589)&gt;=0.1,G589&gt;=1),1,0)))</f>
        <v/>
      </c>
      <c r="I589" s="4">
        <f>CHOOSE(H589+1,"Kein Risiko","Gering","Mittel","Hoch")</f>
        <v/>
      </c>
    </row>
    <row r="590">
      <c r="A590" s="4" t="n">
        <v>586</v>
      </c>
      <c r="B590" s="4" t="inlineStr">
        <is>
          <t>yes</t>
        </is>
      </c>
      <c r="C590" s="4" t="inlineStr">
        <is>
          <t>Byfanger Straße</t>
        </is>
      </c>
      <c r="D590" s="4" t="inlineStr">
        <is>
          <t>18</t>
        </is>
      </c>
      <c r="E590" s="13" t="n">
        <v>109.6</v>
      </c>
      <c r="F590" s="12" t="n">
        <v>0</v>
      </c>
      <c r="G590" s="4" t="n">
        <v>5</v>
      </c>
      <c r="H590" s="4">
        <f>IF(OR(N(F590)&gt;=0.5,G590&gt;=4),3,IF(OR(N(F590)&gt;=0.3,G590=3),2,IF(OR(N(F590)&gt;=0.1,G590&gt;=1),1,0)))</f>
        <v/>
      </c>
      <c r="I590" s="4">
        <f>CHOOSE(H590+1,"Kein Risiko","Gering","Mittel","Hoch")</f>
        <v/>
      </c>
    </row>
    <row r="591">
      <c r="A591" s="4" t="n">
        <v>587</v>
      </c>
      <c r="B591" s="4" t="inlineStr">
        <is>
          <t>apartments</t>
        </is>
      </c>
      <c r="C591" s="4" t="inlineStr">
        <is>
          <t>Byfanger Straße</t>
        </is>
      </c>
      <c r="D591" s="4" t="inlineStr">
        <is>
          <t>10</t>
        </is>
      </c>
      <c r="E591" s="13" t="n">
        <v>143</v>
      </c>
      <c r="F591" s="12" t="n">
        <v>0</v>
      </c>
      <c r="G591" s="4" t="n">
        <v>5</v>
      </c>
      <c r="H591" s="4">
        <f>IF(OR(N(F591)&gt;=0.5,G591&gt;=4),3,IF(OR(N(F591)&gt;=0.3,G591=3),2,IF(OR(N(F591)&gt;=0.1,G591&gt;=1),1,0)))</f>
        <v/>
      </c>
      <c r="I591" s="4">
        <f>CHOOSE(H591+1,"Kein Risiko","Gering","Mittel","Hoch")</f>
        <v/>
      </c>
    </row>
    <row r="592">
      <c r="A592" s="4" t="n">
        <v>588</v>
      </c>
      <c r="B592" s="4" t="inlineStr">
        <is>
          <t>apartments</t>
        </is>
      </c>
      <c r="C592" s="4" t="inlineStr">
        <is>
          <t>Byfanger Straße</t>
        </is>
      </c>
      <c r="D592" s="4" t="inlineStr">
        <is>
          <t>12</t>
        </is>
      </c>
      <c r="E592" s="13" t="n">
        <v>210.3</v>
      </c>
      <c r="F592" s="12" t="n">
        <v>0</v>
      </c>
      <c r="G592" s="4" t="n">
        <v>5</v>
      </c>
      <c r="H592" s="4">
        <f>IF(OR(N(F592)&gt;=0.5,G592&gt;=4),3,IF(OR(N(F592)&gt;=0.3,G592=3),2,IF(OR(N(F592)&gt;=0.1,G592&gt;=1),1,0)))</f>
        <v/>
      </c>
      <c r="I592" s="4">
        <f>CHOOSE(H592+1,"Kein Risiko","Gering","Mittel","Hoch")</f>
        <v/>
      </c>
    </row>
    <row r="593">
      <c r="A593" s="4" t="n">
        <v>589</v>
      </c>
      <c r="B593" s="4" t="inlineStr">
        <is>
          <t>apartments</t>
        </is>
      </c>
      <c r="C593" s="4" t="inlineStr">
        <is>
          <t>Benderstraße</t>
        </is>
      </c>
      <c r="D593" s="4" t="inlineStr">
        <is>
          <t>1</t>
        </is>
      </c>
      <c r="E593" s="13" t="n">
        <v>165.4</v>
      </c>
      <c r="F593" s="12" t="n">
        <v>0</v>
      </c>
      <c r="G593" s="4" t="n">
        <v>1</v>
      </c>
      <c r="H593" s="4">
        <f>IF(OR(N(F593)&gt;=0.5,G593&gt;=4),3,IF(OR(N(F593)&gt;=0.3,G593=3),2,IF(OR(N(F593)&gt;=0.1,G593&gt;=1),1,0)))</f>
        <v/>
      </c>
      <c r="I593" s="4">
        <f>CHOOSE(H593+1,"Kein Risiko","Gering","Mittel","Hoch")</f>
        <v/>
      </c>
    </row>
    <row r="594">
      <c r="A594" s="4" t="n">
        <v>590</v>
      </c>
      <c r="B594" s="4" t="inlineStr">
        <is>
          <t>apartments</t>
        </is>
      </c>
      <c r="C594" s="4" t="inlineStr">
        <is>
          <t>Kupferdreher Straße</t>
        </is>
      </c>
      <c r="D594" s="4" t="inlineStr">
        <is>
          <t>190</t>
        </is>
      </c>
      <c r="E594" s="13" t="n">
        <v>229.2</v>
      </c>
      <c r="F594" s="12" t="n">
        <v>0.04000091552734375</v>
      </c>
      <c r="G594" s="4" t="n">
        <v>0</v>
      </c>
      <c r="H594" s="4">
        <f>IF(OR(N(F594)&gt;=0.5,G594&gt;=4),3,IF(OR(N(F594)&gt;=0.3,G594=3),2,IF(OR(N(F594)&gt;=0.1,G594&gt;=1),1,0)))</f>
        <v/>
      </c>
      <c r="I594" s="4">
        <f>CHOOSE(H594+1,"Kein Risiko","Gering","Mittel","Hoch")</f>
        <v/>
      </c>
    </row>
    <row r="595">
      <c r="A595" s="4" t="n">
        <v>591</v>
      </c>
      <c r="B595" s="4" t="inlineStr">
        <is>
          <t>apartments</t>
        </is>
      </c>
      <c r="C595" s="4" t="inlineStr">
        <is>
          <t>Byfanger Straße</t>
        </is>
      </c>
      <c r="D595" s="4" t="inlineStr">
        <is>
          <t>14</t>
        </is>
      </c>
      <c r="E595" s="13" t="n">
        <v>133.3</v>
      </c>
      <c r="F595" s="12" t="n">
        <v>0</v>
      </c>
      <c r="G595" s="4" t="n">
        <v>5</v>
      </c>
      <c r="H595" s="4">
        <f>IF(OR(N(F595)&gt;=0.5,G595&gt;=4),3,IF(OR(N(F595)&gt;=0.3,G595=3),2,IF(OR(N(F595)&gt;=0.1,G595&gt;=1),1,0)))</f>
        <v/>
      </c>
      <c r="I595" s="4">
        <f>CHOOSE(H595+1,"Kein Risiko","Gering","Mittel","Hoch")</f>
        <v/>
      </c>
    </row>
    <row r="596">
      <c r="A596" s="4" t="n">
        <v>592</v>
      </c>
      <c r="B596" s="4" t="inlineStr">
        <is>
          <t>apartments</t>
        </is>
      </c>
      <c r="C596" s="4" t="inlineStr"/>
      <c r="D596" s="4" t="inlineStr"/>
      <c r="E596" s="13" t="n">
        <v>569.2</v>
      </c>
      <c r="F596" s="12" t="n">
        <v>0</v>
      </c>
      <c r="G596" s="4" t="n">
        <v>2</v>
      </c>
      <c r="H596" s="4">
        <f>IF(OR(N(F596)&gt;=0.5,G596&gt;=4),3,IF(OR(N(F596)&gt;=0.3,G596=3),2,IF(OR(N(F596)&gt;=0.1,G596&gt;=1),1,0)))</f>
        <v/>
      </c>
      <c r="I596" s="4">
        <f>CHOOSE(H596+1,"Kein Risiko","Gering","Mittel","Hoch")</f>
        <v/>
      </c>
    </row>
    <row r="597">
      <c r="A597" s="4" t="n">
        <v>593</v>
      </c>
      <c r="B597" s="4" t="inlineStr">
        <is>
          <t>yes</t>
        </is>
      </c>
      <c r="C597" s="4" t="inlineStr"/>
      <c r="D597" s="4" t="inlineStr"/>
      <c r="E597" s="13" t="n">
        <v>249.3</v>
      </c>
      <c r="F597" s="12" t="n">
        <v>0</v>
      </c>
      <c r="G597" s="4" t="n">
        <v>0</v>
      </c>
      <c r="H597" s="4">
        <f>IF(OR(N(F597)&gt;=0.5,G597&gt;=4),3,IF(OR(N(F597)&gt;=0.3,G597=3),2,IF(OR(N(F597)&gt;=0.1,G597&gt;=1),1,0)))</f>
        <v/>
      </c>
      <c r="I597" s="4">
        <f>CHOOSE(H597+1,"Kein Risiko","Gering","Mittel","Hoch")</f>
        <v/>
      </c>
    </row>
    <row r="598">
      <c r="A598" s="4" t="n">
        <v>594</v>
      </c>
      <c r="B598" s="4" t="inlineStr">
        <is>
          <t>apartments</t>
        </is>
      </c>
      <c r="C598" s="4" t="inlineStr">
        <is>
          <t>Kupferdreher Straße</t>
        </is>
      </c>
      <c r="D598" s="4" t="inlineStr">
        <is>
          <t>176</t>
        </is>
      </c>
      <c r="E598" s="13" t="n">
        <v>198.2</v>
      </c>
      <c r="F598" s="12" t="n">
        <v>0</v>
      </c>
      <c r="G598" s="4" t="n">
        <v>0</v>
      </c>
      <c r="H598" s="4">
        <f>IF(OR(N(F598)&gt;=0.5,G598&gt;=4),3,IF(OR(N(F598)&gt;=0.3,G598=3),2,IF(OR(N(F598)&gt;=0.1,G598&gt;=1),1,0)))</f>
        <v/>
      </c>
      <c r="I598" s="4">
        <f>CHOOSE(H598+1,"Kein Risiko","Gering","Mittel","Hoch")</f>
        <v/>
      </c>
    </row>
    <row r="599">
      <c r="A599" s="4" t="n">
        <v>595</v>
      </c>
      <c r="B599" s="4" t="inlineStr">
        <is>
          <t>school</t>
        </is>
      </c>
      <c r="C599" s="4" t="inlineStr">
        <is>
          <t>Byfanger Straße</t>
        </is>
      </c>
      <c r="D599" s="4" t="inlineStr">
        <is>
          <t>20</t>
        </is>
      </c>
      <c r="E599" s="13" t="n">
        <v>765.6</v>
      </c>
      <c r="F599" s="12" t="n">
        <v>0.03000640869140625</v>
      </c>
      <c r="G599" s="4" t="n">
        <v>0</v>
      </c>
      <c r="H599" s="4">
        <f>IF(OR(N(F599)&gt;=0.5,G599&gt;=4),3,IF(OR(N(F599)&gt;=0.3,G599=3),2,IF(OR(N(F599)&gt;=0.1,G599&gt;=1),1,0)))</f>
        <v/>
      </c>
      <c r="I599" s="4">
        <f>CHOOSE(H599+1,"Kein Risiko","Gering","Mittel","Hoch")</f>
        <v/>
      </c>
    </row>
    <row r="600">
      <c r="A600" s="4" t="n">
        <v>596</v>
      </c>
      <c r="B600" s="4" t="inlineStr">
        <is>
          <t>industrial</t>
        </is>
      </c>
      <c r="C600" s="4" t="inlineStr"/>
      <c r="D600" s="4" t="inlineStr"/>
      <c r="E600" s="13" t="n">
        <v>87.2</v>
      </c>
      <c r="F600" s="12" t="n">
        <v>0.1899986267089844</v>
      </c>
      <c r="G600" s="4" t="n">
        <v>0</v>
      </c>
      <c r="H600" s="4">
        <f>IF(OR(N(F600)&gt;=0.5,G600&gt;=4),3,IF(OR(N(F600)&gt;=0.3,G600=3),2,IF(OR(N(F600)&gt;=0.1,G600&gt;=1),1,0)))</f>
        <v/>
      </c>
      <c r="I600" s="4">
        <f>CHOOSE(H600+1,"Kein Risiko","Gering","Mittel","Hoch")</f>
        <v/>
      </c>
    </row>
    <row r="601">
      <c r="A601" s="4" t="n">
        <v>597</v>
      </c>
      <c r="B601" s="4" t="inlineStr">
        <is>
          <t>yes</t>
        </is>
      </c>
      <c r="C601" s="4" t="inlineStr">
        <is>
          <t>Kupferdreher Straße</t>
        </is>
      </c>
      <c r="D601" s="4" t="inlineStr">
        <is>
          <t>136</t>
        </is>
      </c>
      <c r="E601" s="13" t="n">
        <v>123.1</v>
      </c>
      <c r="F601" s="12" t="n">
        <v>0.05999755859375</v>
      </c>
      <c r="G601" s="4" t="n">
        <v>0</v>
      </c>
      <c r="H601" s="4">
        <f>IF(OR(N(F601)&gt;=0.5,G601&gt;=4),3,IF(OR(N(F601)&gt;=0.3,G601=3),2,IF(OR(N(F601)&gt;=0.1,G601&gt;=1),1,0)))</f>
        <v/>
      </c>
      <c r="I601" s="4">
        <f>CHOOSE(H601+1,"Kein Risiko","Gering","Mittel","Hoch")</f>
        <v/>
      </c>
    </row>
    <row r="602">
      <c r="A602" s="4" t="n">
        <v>598</v>
      </c>
      <c r="B602" s="4" t="inlineStr">
        <is>
          <t>apartments</t>
        </is>
      </c>
      <c r="C602" s="4" t="inlineStr">
        <is>
          <t>Kupferdreher Straße</t>
        </is>
      </c>
      <c r="D602" s="4" t="inlineStr">
        <is>
          <t>108</t>
        </is>
      </c>
      <c r="E602" s="13" t="n">
        <v>158.8</v>
      </c>
      <c r="F602" s="12" t="n">
        <v>0</v>
      </c>
      <c r="G602" s="4" t="n">
        <v>0</v>
      </c>
      <c r="H602" s="4">
        <f>IF(OR(N(F602)&gt;=0.5,G602&gt;=4),3,IF(OR(N(F602)&gt;=0.3,G602=3),2,IF(OR(N(F602)&gt;=0.1,G602&gt;=1),1,0)))</f>
        <v/>
      </c>
      <c r="I602" s="4">
        <f>CHOOSE(H602+1,"Kein Risiko","Gering","Mittel","Hoch")</f>
        <v/>
      </c>
    </row>
    <row r="603">
      <c r="A603" s="4" t="n">
        <v>599</v>
      </c>
      <c r="B603" s="4" t="inlineStr">
        <is>
          <t>apartments</t>
        </is>
      </c>
      <c r="C603" s="4" t="inlineStr">
        <is>
          <t>Kupferdreher Straße</t>
        </is>
      </c>
      <c r="D603" s="4" t="inlineStr">
        <is>
          <t>106</t>
        </is>
      </c>
      <c r="E603" s="13" t="n">
        <v>111.3</v>
      </c>
      <c r="F603" s="12" t="n">
        <v>0.1299972534179688</v>
      </c>
      <c r="G603" s="4" t="n">
        <v>1</v>
      </c>
      <c r="H603" s="4">
        <f>IF(OR(N(F603)&gt;=0.5,G603&gt;=4),3,IF(OR(N(F603)&gt;=0.3,G603=3),2,IF(OR(N(F603)&gt;=0.1,G603&gt;=1),1,0)))</f>
        <v/>
      </c>
      <c r="I603" s="4">
        <f>CHOOSE(H603+1,"Kein Risiko","Gering","Mittel","Hoch")</f>
        <v/>
      </c>
    </row>
    <row r="604">
      <c r="A604" s="4" t="n">
        <v>600</v>
      </c>
      <c r="B604" s="4" t="inlineStr">
        <is>
          <t>apartments</t>
        </is>
      </c>
      <c r="C604" s="4" t="inlineStr">
        <is>
          <t>Kupferdreher Straße</t>
        </is>
      </c>
      <c r="D604" s="4" t="inlineStr">
        <is>
          <t>110</t>
        </is>
      </c>
      <c r="E604" s="13" t="n">
        <v>140.7</v>
      </c>
      <c r="F604" s="12" t="n">
        <v>0</v>
      </c>
      <c r="G604" s="4" t="n">
        <v>0</v>
      </c>
      <c r="H604" s="4">
        <f>IF(OR(N(F604)&gt;=0.5,G604&gt;=4),3,IF(OR(N(F604)&gt;=0.3,G604=3),2,IF(OR(N(F604)&gt;=0.1,G604&gt;=1),1,0)))</f>
        <v/>
      </c>
      <c r="I604" s="4">
        <f>CHOOSE(H604+1,"Kein Risiko","Gering","Mittel","Hoch")</f>
        <v/>
      </c>
    </row>
    <row r="605">
      <c r="A605" s="4" t="n">
        <v>601</v>
      </c>
      <c r="B605" s="4" t="inlineStr">
        <is>
          <t>apartments</t>
        </is>
      </c>
      <c r="C605" s="4" t="inlineStr">
        <is>
          <t>Kupferdreher Straße</t>
        </is>
      </c>
      <c r="D605" s="4" t="inlineStr">
        <is>
          <t>134</t>
        </is>
      </c>
      <c r="E605" s="13" t="n">
        <v>116.9</v>
      </c>
      <c r="F605" s="12" t="n">
        <v>0</v>
      </c>
      <c r="G605" s="4" t="n">
        <v>0</v>
      </c>
      <c r="H605" s="4">
        <f>IF(OR(N(F605)&gt;=0.5,G605&gt;=4),3,IF(OR(N(F605)&gt;=0.3,G605=3),2,IF(OR(N(F605)&gt;=0.1,G605&gt;=1),1,0)))</f>
        <v/>
      </c>
      <c r="I605" s="4">
        <f>CHOOSE(H605+1,"Kein Risiko","Gering","Mittel","Hoch")</f>
        <v/>
      </c>
    </row>
    <row r="606">
      <c r="A606" s="4" t="n">
        <v>602</v>
      </c>
      <c r="B606" s="4" t="inlineStr">
        <is>
          <t>apartments</t>
        </is>
      </c>
      <c r="C606" s="4" t="inlineStr">
        <is>
          <t>Kupferdreher Straße</t>
        </is>
      </c>
      <c r="D606" s="4" t="inlineStr">
        <is>
          <t>138</t>
        </is>
      </c>
      <c r="E606" s="13" t="n">
        <v>206.8</v>
      </c>
      <c r="F606" s="12" t="n">
        <v>0</v>
      </c>
      <c r="G606" s="4" t="n">
        <v>0</v>
      </c>
      <c r="H606" s="4">
        <f>IF(OR(N(F606)&gt;=0.5,G606&gt;=4),3,IF(OR(N(F606)&gt;=0.3,G606=3),2,IF(OR(N(F606)&gt;=0.1,G606&gt;=1),1,0)))</f>
        <v/>
      </c>
      <c r="I606" s="4">
        <f>CHOOSE(H606+1,"Kein Risiko","Gering","Mittel","Hoch")</f>
        <v/>
      </c>
    </row>
    <row r="607">
      <c r="A607" s="4" t="n">
        <v>603</v>
      </c>
      <c r="B607" s="4" t="inlineStr">
        <is>
          <t>apartments</t>
        </is>
      </c>
      <c r="C607" s="4" t="inlineStr">
        <is>
          <t>Kupferdreher Straße</t>
        </is>
      </c>
      <c r="D607" s="4" t="inlineStr">
        <is>
          <t>114</t>
        </is>
      </c>
      <c r="E607" s="13" t="n">
        <v>91.90000000000001</v>
      </c>
      <c r="F607" s="12" t="n">
        <v>0.6200027465820312</v>
      </c>
      <c r="G607" s="4" t="n">
        <v>0</v>
      </c>
      <c r="H607" s="4">
        <f>IF(OR(N(F607)&gt;=0.5,G607&gt;=4),3,IF(OR(N(F607)&gt;=0.3,G607=3),2,IF(OR(N(F607)&gt;=0.1,G607&gt;=1),1,0)))</f>
        <v/>
      </c>
      <c r="I607" s="4">
        <f>CHOOSE(H607+1,"Kein Risiko","Gering","Mittel","Hoch")</f>
        <v/>
      </c>
    </row>
    <row r="608">
      <c r="A608" s="4" t="n">
        <v>604</v>
      </c>
      <c r="B608" s="4" t="inlineStr">
        <is>
          <t>apartments</t>
        </is>
      </c>
      <c r="C608" s="4" t="inlineStr">
        <is>
          <t>Kupferdreher Straße</t>
        </is>
      </c>
      <c r="D608" s="4" t="inlineStr">
        <is>
          <t>130</t>
        </is>
      </c>
      <c r="E608" s="13" t="n">
        <v>191.2</v>
      </c>
      <c r="F608" s="12" t="n">
        <v>0.05999755859375</v>
      </c>
      <c r="G608" s="4" t="n">
        <v>0</v>
      </c>
      <c r="H608" s="4">
        <f>IF(OR(N(F608)&gt;=0.5,G608&gt;=4),3,IF(OR(N(F608)&gt;=0.3,G608=3),2,IF(OR(N(F608)&gt;=0.1,G608&gt;=1),1,0)))</f>
        <v/>
      </c>
      <c r="I608" s="4">
        <f>CHOOSE(H608+1,"Kein Risiko","Gering","Mittel","Hoch")</f>
        <v/>
      </c>
    </row>
    <row r="609">
      <c r="A609" s="4" t="n">
        <v>605</v>
      </c>
      <c r="B609" s="4" t="inlineStr">
        <is>
          <t>industrial</t>
        </is>
      </c>
      <c r="C609" s="4" t="inlineStr">
        <is>
          <t>Kupferdreher Straße</t>
        </is>
      </c>
      <c r="D609" s="4" t="inlineStr">
        <is>
          <t>114</t>
        </is>
      </c>
      <c r="E609" s="13" t="n">
        <v>462.9</v>
      </c>
      <c r="F609" s="12" t="n">
        <v>0.2000007629394531</v>
      </c>
      <c r="G609" s="4" t="n">
        <v>0</v>
      </c>
      <c r="H609" s="4">
        <f>IF(OR(N(F609)&gt;=0.5,G609&gt;=4),3,IF(OR(N(F609)&gt;=0.3,G609=3),2,IF(OR(N(F609)&gt;=0.1,G609&gt;=1),1,0)))</f>
        <v/>
      </c>
      <c r="I609" s="4">
        <f>CHOOSE(H609+1,"Kein Risiko","Gering","Mittel","Hoch")</f>
        <v/>
      </c>
    </row>
    <row r="610">
      <c r="A610" s="4" t="n">
        <v>606</v>
      </c>
      <c r="B610" s="4" t="inlineStr">
        <is>
          <t>apartments</t>
        </is>
      </c>
      <c r="C610" s="4" t="inlineStr">
        <is>
          <t>Kupferdreher Straße</t>
        </is>
      </c>
      <c r="D610" s="4" t="inlineStr">
        <is>
          <t>132</t>
        </is>
      </c>
      <c r="E610" s="13" t="n">
        <v>267.1</v>
      </c>
      <c r="F610" s="12" t="n">
        <v>0.1100006103515625</v>
      </c>
      <c r="G610" s="4" t="n">
        <v>0</v>
      </c>
      <c r="H610" s="4">
        <f>IF(OR(N(F610)&gt;=0.5,G610&gt;=4),3,IF(OR(N(F610)&gt;=0.3,G610=3),2,IF(OR(N(F610)&gt;=0.1,G610&gt;=1),1,0)))</f>
        <v/>
      </c>
      <c r="I610" s="4">
        <f>CHOOSE(H610+1,"Kein Risiko","Gering","Mittel","Hoch")</f>
        <v/>
      </c>
    </row>
    <row r="611">
      <c r="A611" s="4" t="n">
        <v>607</v>
      </c>
      <c r="B611" s="4" t="inlineStr">
        <is>
          <t>yes</t>
        </is>
      </c>
      <c r="C611" s="4" t="inlineStr"/>
      <c r="D611" s="4" t="inlineStr"/>
      <c r="E611" s="13" t="n">
        <v>112.7</v>
      </c>
      <c r="F611" s="12" t="n">
        <v>0.9199981689453125</v>
      </c>
      <c r="G611" s="4" t="n">
        <v>0</v>
      </c>
      <c r="H611" s="4">
        <f>IF(OR(N(F611)&gt;=0.5,G611&gt;=4),3,IF(OR(N(F611)&gt;=0.3,G611=3),2,IF(OR(N(F611)&gt;=0.1,G611&gt;=1),1,0)))</f>
        <v/>
      </c>
      <c r="I611" s="4">
        <f>CHOOSE(H611+1,"Kein Risiko","Gering","Mittel","Hoch")</f>
        <v/>
      </c>
    </row>
    <row r="612">
      <c r="A612" s="4" t="n">
        <v>608</v>
      </c>
      <c r="B612" s="4" t="inlineStr">
        <is>
          <t>apartments</t>
        </is>
      </c>
      <c r="C612" s="4" t="inlineStr">
        <is>
          <t>Kupferdreher Straße</t>
        </is>
      </c>
      <c r="D612" s="4" t="inlineStr">
        <is>
          <t>104</t>
        </is>
      </c>
      <c r="E612" s="13" t="n">
        <v>79.2</v>
      </c>
      <c r="F612" s="12" t="n">
        <v>1.329998016357422</v>
      </c>
      <c r="G612" s="4" t="n">
        <v>1</v>
      </c>
      <c r="H612" s="4">
        <f>IF(OR(N(F612)&gt;=0.5,G612&gt;=4),3,IF(OR(N(F612)&gt;=0.3,G612=3),2,IF(OR(N(F612)&gt;=0.1,G612&gt;=1),1,0)))</f>
        <v/>
      </c>
      <c r="I612" s="4">
        <f>CHOOSE(H612+1,"Kein Risiko","Gering","Mittel","Hoch")</f>
        <v/>
      </c>
    </row>
    <row r="613">
      <c r="A613" s="4" t="n">
        <v>609</v>
      </c>
      <c r="B613" s="4" t="inlineStr">
        <is>
          <t>apartments</t>
        </is>
      </c>
      <c r="C613" s="4" t="inlineStr">
        <is>
          <t>Kupferdreher Straße</t>
        </is>
      </c>
      <c r="D613" s="4" t="inlineStr">
        <is>
          <t>112</t>
        </is>
      </c>
      <c r="E613" s="13" t="n">
        <v>186.9</v>
      </c>
      <c r="F613" s="12" t="n">
        <v>0.0500030517578125</v>
      </c>
      <c r="G613" s="4" t="n">
        <v>0</v>
      </c>
      <c r="H613" s="4">
        <f>IF(OR(N(F613)&gt;=0.5,G613&gt;=4),3,IF(OR(N(F613)&gt;=0.3,G613=3),2,IF(OR(N(F613)&gt;=0.1,G613&gt;=1),1,0)))</f>
        <v/>
      </c>
      <c r="I613" s="4">
        <f>CHOOSE(H613+1,"Kein Risiko","Gering","Mittel","Hoch")</f>
        <v/>
      </c>
    </row>
    <row r="614">
      <c r="A614" s="4" t="n">
        <v>610</v>
      </c>
      <c r="B614" s="4" t="inlineStr">
        <is>
          <t>apartments</t>
        </is>
      </c>
      <c r="C614" s="4" t="inlineStr">
        <is>
          <t>Kupferdreher Straße</t>
        </is>
      </c>
      <c r="D614" s="4" t="inlineStr">
        <is>
          <t>114</t>
        </is>
      </c>
      <c r="E614" s="13" t="n">
        <v>214.1</v>
      </c>
      <c r="F614" s="12" t="n">
        <v>0.7000007629394531</v>
      </c>
      <c r="G614" s="4" t="n">
        <v>0</v>
      </c>
      <c r="H614" s="4">
        <f>IF(OR(N(F614)&gt;=0.5,G614&gt;=4),3,IF(OR(N(F614)&gt;=0.3,G614=3),2,IF(OR(N(F614)&gt;=0.1,G614&gt;=1),1,0)))</f>
        <v/>
      </c>
      <c r="I614" s="4">
        <f>CHOOSE(H614+1,"Kein Risiko","Gering","Mittel","Hoch")</f>
        <v/>
      </c>
    </row>
    <row r="615">
      <c r="A615" s="4" t="n">
        <v>611</v>
      </c>
      <c r="B615" s="4" t="inlineStr">
        <is>
          <t>apartments</t>
        </is>
      </c>
      <c r="C615" s="4" t="inlineStr">
        <is>
          <t>Kupferdreher Straße</t>
        </is>
      </c>
      <c r="D615" s="4" t="inlineStr">
        <is>
          <t>116</t>
        </is>
      </c>
      <c r="E615" s="13" t="n">
        <v>448.5</v>
      </c>
      <c r="F615" s="12" t="n">
        <v>0.03000259399414062</v>
      </c>
      <c r="G615" s="4" t="n">
        <v>0</v>
      </c>
      <c r="H615" s="4">
        <f>IF(OR(N(F615)&gt;=0.5,G615&gt;=4),3,IF(OR(N(F615)&gt;=0.3,G615=3),2,IF(OR(N(F615)&gt;=0.1,G615&gt;=1),1,0)))</f>
        <v/>
      </c>
      <c r="I615" s="4">
        <f>CHOOSE(H615+1,"Kein Risiko","Gering","Mittel","Hoch")</f>
        <v/>
      </c>
    </row>
    <row r="616">
      <c r="A616" s="4" t="n">
        <v>612</v>
      </c>
      <c r="B616" s="4" t="inlineStr">
        <is>
          <t>yes</t>
        </is>
      </c>
      <c r="C616" s="4" t="inlineStr">
        <is>
          <t>Reulsbergweg</t>
        </is>
      </c>
      <c r="D616" s="4" t="inlineStr">
        <is>
          <t>134</t>
        </is>
      </c>
      <c r="E616" s="13" t="n">
        <v>115.1</v>
      </c>
      <c r="F616" s="12" t="n">
        <v>0</v>
      </c>
      <c r="G616" s="4" t="n">
        <v>0</v>
      </c>
      <c r="H616" s="4">
        <f>IF(OR(N(F616)&gt;=0.5,G616&gt;=4),3,IF(OR(N(F616)&gt;=0.3,G616=3),2,IF(OR(N(F616)&gt;=0.1,G616&gt;=1),1,0)))</f>
        <v/>
      </c>
      <c r="I616" s="4">
        <f>CHOOSE(H616+1,"Kein Risiko","Gering","Mittel","Hoch")</f>
        <v/>
      </c>
    </row>
    <row r="617">
      <c r="A617" s="4" t="n">
        <v>613</v>
      </c>
      <c r="B617" s="4" t="inlineStr">
        <is>
          <t>yes</t>
        </is>
      </c>
      <c r="C617" s="4" t="inlineStr">
        <is>
          <t>Reulsbergweg</t>
        </is>
      </c>
      <c r="D617" s="4" t="inlineStr">
        <is>
          <t>140</t>
        </is>
      </c>
      <c r="E617" s="13" t="n">
        <v>827.8</v>
      </c>
      <c r="F617" s="12" t="n">
        <v>0.05999755859375</v>
      </c>
      <c r="G617" s="4" t="n">
        <v>2</v>
      </c>
      <c r="H617" s="4">
        <f>IF(OR(N(F617)&gt;=0.5,G617&gt;=4),3,IF(OR(N(F617)&gt;=0.3,G617=3),2,IF(OR(N(F617)&gt;=0.1,G617&gt;=1),1,0)))</f>
        <v/>
      </c>
      <c r="I617" s="4">
        <f>CHOOSE(H617+1,"Kein Risiko","Gering","Mittel","Hoch")</f>
        <v/>
      </c>
    </row>
    <row r="618">
      <c r="A618" s="4" t="n">
        <v>614</v>
      </c>
      <c r="B618" s="4" t="inlineStr">
        <is>
          <t>yes</t>
        </is>
      </c>
      <c r="C618" s="4" t="inlineStr"/>
      <c r="D618" s="4" t="inlineStr"/>
      <c r="E618" s="13" t="n">
        <v>22.7</v>
      </c>
      <c r="F618" s="12" t="n">
        <v>0</v>
      </c>
      <c r="G618" s="4" t="n">
        <v>0</v>
      </c>
      <c r="H618" s="4">
        <f>IF(OR(N(F618)&gt;=0.5,G618&gt;=4),3,IF(OR(N(F618)&gt;=0.3,G618=3),2,IF(OR(N(F618)&gt;=0.1,G618&gt;=1),1,0)))</f>
        <v/>
      </c>
      <c r="I618" s="4">
        <f>CHOOSE(H618+1,"Kein Risiko","Gering","Mittel","Hoch")</f>
        <v/>
      </c>
    </row>
    <row r="619">
      <c r="A619" s="4" t="n">
        <v>615</v>
      </c>
      <c r="B619" s="4" t="inlineStr">
        <is>
          <t>yes</t>
        </is>
      </c>
      <c r="C619" s="4" t="inlineStr"/>
      <c r="D619" s="4" t="inlineStr"/>
      <c r="E619" s="13" t="n">
        <v>43.5</v>
      </c>
      <c r="F619" s="12" t="n">
        <v>0</v>
      </c>
      <c r="G619" s="4" t="n">
        <v>0</v>
      </c>
      <c r="H619" s="4">
        <f>IF(OR(N(F619)&gt;=0.5,G619&gt;=4),3,IF(OR(N(F619)&gt;=0.3,G619=3),2,IF(OR(N(F619)&gt;=0.1,G619&gt;=1),1,0)))</f>
        <v/>
      </c>
      <c r="I619" s="4">
        <f>CHOOSE(H619+1,"Kein Risiko","Gering","Mittel","Hoch")</f>
        <v/>
      </c>
    </row>
    <row r="620">
      <c r="A620" s="4" t="n">
        <v>616</v>
      </c>
      <c r="B620" s="4" t="inlineStr">
        <is>
          <t>yes</t>
        </is>
      </c>
      <c r="C620" s="4" t="inlineStr"/>
      <c r="D620" s="4" t="inlineStr"/>
      <c r="E620" s="13" t="n">
        <v>27.7</v>
      </c>
      <c r="F620" s="12" t="n">
        <v>0.0200042724609375</v>
      </c>
      <c r="G620" s="4" t="n">
        <v>0</v>
      </c>
      <c r="H620" s="4">
        <f>IF(OR(N(F620)&gt;=0.5,G620&gt;=4),3,IF(OR(N(F620)&gt;=0.3,G620=3),2,IF(OR(N(F620)&gt;=0.1,G620&gt;=1),1,0)))</f>
        <v/>
      </c>
      <c r="I620" s="4">
        <f>CHOOSE(H620+1,"Kein Risiko","Gering","Mittel","Hoch")</f>
        <v/>
      </c>
    </row>
    <row r="621">
      <c r="A621" s="4" t="n">
        <v>617</v>
      </c>
      <c r="B621" s="4" t="inlineStr">
        <is>
          <t>yes</t>
        </is>
      </c>
      <c r="C621" s="4" t="inlineStr"/>
      <c r="D621" s="4" t="inlineStr"/>
      <c r="E621" s="13" t="n">
        <v>30.8</v>
      </c>
      <c r="F621" s="12" t="n">
        <v>0</v>
      </c>
      <c r="G621" s="4" t="n">
        <v>1</v>
      </c>
      <c r="H621" s="4">
        <f>IF(OR(N(F621)&gt;=0.5,G621&gt;=4),3,IF(OR(N(F621)&gt;=0.3,G621=3),2,IF(OR(N(F621)&gt;=0.1,G621&gt;=1),1,0)))</f>
        <v/>
      </c>
      <c r="I621" s="4">
        <f>CHOOSE(H621+1,"Kein Risiko","Gering","Mittel","Hoch")</f>
        <v/>
      </c>
    </row>
    <row r="622">
      <c r="A622" s="4" t="n">
        <v>618</v>
      </c>
      <c r="B622" s="4" t="inlineStr">
        <is>
          <t>yes</t>
        </is>
      </c>
      <c r="C622" s="4" t="inlineStr"/>
      <c r="D622" s="4" t="inlineStr"/>
      <c r="E622" s="13" t="n">
        <v>39.8</v>
      </c>
      <c r="F622" s="12" t="n">
        <v>0.0300140380859375</v>
      </c>
      <c r="G622" s="4" t="n">
        <v>1</v>
      </c>
      <c r="H622" s="4">
        <f>IF(OR(N(F622)&gt;=0.5,G622&gt;=4),3,IF(OR(N(F622)&gt;=0.3,G622=3),2,IF(OR(N(F622)&gt;=0.1,G622&gt;=1),1,0)))</f>
        <v/>
      </c>
      <c r="I622" s="4">
        <f>CHOOSE(H622+1,"Kein Risiko","Gering","Mittel","Hoch")</f>
        <v/>
      </c>
    </row>
    <row r="623">
      <c r="A623" s="4" t="n">
        <v>619</v>
      </c>
      <c r="B623" s="4" t="inlineStr">
        <is>
          <t>yes</t>
        </is>
      </c>
      <c r="C623" s="4" t="inlineStr"/>
      <c r="D623" s="4" t="inlineStr"/>
      <c r="E623" s="13" t="n">
        <v>15.1</v>
      </c>
      <c r="F623" s="12" t="n">
        <v>0</v>
      </c>
      <c r="G623" s="4" t="n">
        <v>0</v>
      </c>
      <c r="H623" s="4">
        <f>IF(OR(N(F623)&gt;=0.5,G623&gt;=4),3,IF(OR(N(F623)&gt;=0.3,G623=3),2,IF(OR(N(F623)&gt;=0.1,G623&gt;=1),1,0)))</f>
        <v/>
      </c>
      <c r="I623" s="4">
        <f>CHOOSE(H623+1,"Kein Risiko","Gering","Mittel","Hoch")</f>
        <v/>
      </c>
    </row>
    <row r="624">
      <c r="A624" s="4" t="n">
        <v>620</v>
      </c>
      <c r="B624" s="4" t="inlineStr">
        <is>
          <t>yes</t>
        </is>
      </c>
      <c r="C624" s="4" t="inlineStr"/>
      <c r="D624" s="4" t="inlineStr"/>
      <c r="E624" s="13" t="n">
        <v>85.90000000000001</v>
      </c>
      <c r="F624" s="12" t="n">
        <v>0</v>
      </c>
      <c r="G624" s="4" t="n">
        <v>0</v>
      </c>
      <c r="H624" s="4">
        <f>IF(OR(N(F624)&gt;=0.5,G624&gt;=4),3,IF(OR(N(F624)&gt;=0.3,G624=3),2,IF(OR(N(F624)&gt;=0.1,G624&gt;=1),1,0)))</f>
        <v/>
      </c>
      <c r="I624" s="4">
        <f>CHOOSE(H624+1,"Kein Risiko","Gering","Mittel","Hoch")</f>
        <v/>
      </c>
    </row>
    <row r="625">
      <c r="A625" s="4" t="n">
        <v>621</v>
      </c>
      <c r="B625" s="4" t="inlineStr">
        <is>
          <t>yes</t>
        </is>
      </c>
      <c r="C625" s="4" t="inlineStr"/>
      <c r="D625" s="4" t="inlineStr"/>
      <c r="E625" s="13" t="n">
        <v>12.1</v>
      </c>
      <c r="F625" s="12" t="n">
        <v>0</v>
      </c>
      <c r="G625" s="4" t="n">
        <v>0</v>
      </c>
      <c r="H625" s="4">
        <f>IF(OR(N(F625)&gt;=0.5,G625&gt;=4),3,IF(OR(N(F625)&gt;=0.3,G625=3),2,IF(OR(N(F625)&gt;=0.1,G625&gt;=1),1,0)))</f>
        <v/>
      </c>
      <c r="I625" s="4">
        <f>CHOOSE(H625+1,"Kein Risiko","Gering","Mittel","Hoch")</f>
        <v/>
      </c>
    </row>
    <row r="626">
      <c r="A626" s="4" t="n">
        <v>622</v>
      </c>
      <c r="B626" s="4" t="inlineStr">
        <is>
          <t>yes</t>
        </is>
      </c>
      <c r="C626" s="4" t="inlineStr"/>
      <c r="D626" s="4" t="inlineStr"/>
      <c r="E626" s="13" t="n">
        <v>25.3</v>
      </c>
      <c r="F626" s="12" t="n">
        <v>0.0399932861328125</v>
      </c>
      <c r="G626" s="4" t="n">
        <v>0</v>
      </c>
      <c r="H626" s="4">
        <f>IF(OR(N(F626)&gt;=0.5,G626&gt;=4),3,IF(OR(N(F626)&gt;=0.3,G626=3),2,IF(OR(N(F626)&gt;=0.1,G626&gt;=1),1,0)))</f>
        <v/>
      </c>
      <c r="I626" s="4">
        <f>CHOOSE(H626+1,"Kein Risiko","Gering","Mittel","Hoch")</f>
        <v/>
      </c>
    </row>
    <row r="627">
      <c r="A627" s="4" t="n">
        <v>623</v>
      </c>
      <c r="B627" s="4" t="inlineStr">
        <is>
          <t>yes</t>
        </is>
      </c>
      <c r="C627" s="4" t="inlineStr"/>
      <c r="D627" s="4" t="inlineStr"/>
      <c r="E627" s="13" t="n">
        <v>34.4</v>
      </c>
      <c r="F627" s="12" t="n">
        <v>0</v>
      </c>
      <c r="G627" s="4" t="n">
        <v>0</v>
      </c>
      <c r="H627" s="4">
        <f>IF(OR(N(F627)&gt;=0.5,G627&gt;=4),3,IF(OR(N(F627)&gt;=0.3,G627=3),2,IF(OR(N(F627)&gt;=0.1,G627&gt;=1),1,0)))</f>
        <v/>
      </c>
      <c r="I627" s="4">
        <f>CHOOSE(H627+1,"Kein Risiko","Gering","Mittel","Hoch")</f>
        <v/>
      </c>
    </row>
    <row r="628">
      <c r="A628" s="4" t="n">
        <v>624</v>
      </c>
      <c r="B628" s="4" t="inlineStr">
        <is>
          <t>yes</t>
        </is>
      </c>
      <c r="C628" s="4" t="inlineStr">
        <is>
          <t>Reulsbergweg</t>
        </is>
      </c>
      <c r="D628" s="4" t="inlineStr">
        <is>
          <t>130</t>
        </is>
      </c>
      <c r="E628" s="13" t="n">
        <v>94.7</v>
      </c>
      <c r="F628" s="12" t="n">
        <v>0</v>
      </c>
      <c r="G628" s="4" t="n">
        <v>0</v>
      </c>
      <c r="H628" s="4">
        <f>IF(OR(N(F628)&gt;=0.5,G628&gt;=4),3,IF(OR(N(F628)&gt;=0.3,G628=3),2,IF(OR(N(F628)&gt;=0.1,G628&gt;=1),1,0)))</f>
        <v/>
      </c>
      <c r="I628" s="4">
        <f>CHOOSE(H628+1,"Kein Risiko","Gering","Mittel","Hoch")</f>
        <v/>
      </c>
    </row>
    <row r="629">
      <c r="A629" s="4" t="n">
        <v>625</v>
      </c>
      <c r="B629" s="4" t="inlineStr">
        <is>
          <t>yes</t>
        </is>
      </c>
      <c r="C629" s="4" t="inlineStr">
        <is>
          <t>Reulsbergweg</t>
        </is>
      </c>
      <c r="D629" s="4" t="inlineStr">
        <is>
          <t>126</t>
        </is>
      </c>
      <c r="E629" s="13" t="n">
        <v>132.8</v>
      </c>
      <c r="F629" s="12" t="n">
        <v>0</v>
      </c>
      <c r="G629" s="4" t="n">
        <v>2</v>
      </c>
      <c r="H629" s="4">
        <f>IF(OR(N(F629)&gt;=0.5,G629&gt;=4),3,IF(OR(N(F629)&gt;=0.3,G629=3),2,IF(OR(N(F629)&gt;=0.1,G629&gt;=1),1,0)))</f>
        <v/>
      </c>
      <c r="I629" s="4">
        <f>CHOOSE(H629+1,"Kein Risiko","Gering","Mittel","Hoch")</f>
        <v/>
      </c>
    </row>
    <row r="630">
      <c r="A630" s="4" t="n">
        <v>626</v>
      </c>
      <c r="B630" s="4" t="inlineStr">
        <is>
          <t>yes</t>
        </is>
      </c>
      <c r="C630" s="4" t="inlineStr"/>
      <c r="D630" s="4" t="inlineStr"/>
      <c r="E630" s="13" t="n">
        <v>186.7</v>
      </c>
      <c r="F630" s="12" t="n">
        <v>0</v>
      </c>
      <c r="G630" s="4" t="n">
        <v>1</v>
      </c>
      <c r="H630" s="4">
        <f>IF(OR(N(F630)&gt;=0.5,G630&gt;=4),3,IF(OR(N(F630)&gt;=0.3,G630=3),2,IF(OR(N(F630)&gt;=0.1,G630&gt;=1),1,0)))</f>
        <v/>
      </c>
      <c r="I630" s="4">
        <f>CHOOSE(H630+1,"Kein Risiko","Gering","Mittel","Hoch")</f>
        <v/>
      </c>
    </row>
    <row r="631">
      <c r="A631" s="4" t="n">
        <v>627</v>
      </c>
      <c r="B631" s="4" t="inlineStr">
        <is>
          <t>yes</t>
        </is>
      </c>
      <c r="C631" s="4" t="inlineStr">
        <is>
          <t>Reulsbergweg</t>
        </is>
      </c>
      <c r="D631" s="4" t="inlineStr">
        <is>
          <t>124</t>
        </is>
      </c>
      <c r="E631" s="13" t="n">
        <v>77.90000000000001</v>
      </c>
      <c r="F631" s="12" t="n">
        <v>0</v>
      </c>
      <c r="G631" s="4" t="n">
        <v>0</v>
      </c>
      <c r="H631" s="4">
        <f>IF(OR(N(F631)&gt;=0.5,G631&gt;=4),3,IF(OR(N(F631)&gt;=0.3,G631=3),2,IF(OR(N(F631)&gt;=0.1,G631&gt;=1),1,0)))</f>
        <v/>
      </c>
      <c r="I631" s="4">
        <f>CHOOSE(H631+1,"Kein Risiko","Gering","Mittel","Hoch")</f>
        <v/>
      </c>
    </row>
    <row r="632">
      <c r="A632" s="4" t="n">
        <v>628</v>
      </c>
      <c r="B632" s="4" t="inlineStr">
        <is>
          <t>yes</t>
        </is>
      </c>
      <c r="C632" s="4" t="inlineStr">
        <is>
          <t>Grotestraße</t>
        </is>
      </c>
      <c r="D632" s="4" t="inlineStr">
        <is>
          <t>2a</t>
        </is>
      </c>
      <c r="E632" s="13" t="n">
        <v>72.90000000000001</v>
      </c>
      <c r="F632" s="12" t="n">
        <v>0</v>
      </c>
      <c r="G632" s="4" t="n">
        <v>0</v>
      </c>
      <c r="H632" s="4">
        <f>IF(OR(N(F632)&gt;=0.5,G632&gt;=4),3,IF(OR(N(F632)&gt;=0.3,G632=3),2,IF(OR(N(F632)&gt;=0.1,G632&gt;=1),1,0)))</f>
        <v/>
      </c>
      <c r="I632" s="4">
        <f>CHOOSE(H632+1,"Kein Risiko","Gering","Mittel","Hoch")</f>
        <v/>
      </c>
    </row>
    <row r="633">
      <c r="A633" s="4" t="n">
        <v>629</v>
      </c>
      <c r="B633" s="4" t="inlineStr">
        <is>
          <t>yes</t>
        </is>
      </c>
      <c r="C633" s="4" t="inlineStr">
        <is>
          <t>Grotestraße</t>
        </is>
      </c>
      <c r="D633" s="4" t="inlineStr">
        <is>
          <t>2b</t>
        </is>
      </c>
      <c r="E633" s="13" t="n">
        <v>68.7</v>
      </c>
      <c r="F633" s="12" t="n">
        <v>0</v>
      </c>
      <c r="G633" s="4" t="n">
        <v>3</v>
      </c>
      <c r="H633" s="4">
        <f>IF(OR(N(F633)&gt;=0.5,G633&gt;=4),3,IF(OR(N(F633)&gt;=0.3,G633=3),2,IF(OR(N(F633)&gt;=0.1,G633&gt;=1),1,0)))</f>
        <v/>
      </c>
      <c r="I633" s="4">
        <f>CHOOSE(H633+1,"Kein Risiko","Gering","Mittel","Hoch")</f>
        <v/>
      </c>
    </row>
    <row r="634">
      <c r="A634" s="4" t="n">
        <v>630</v>
      </c>
      <c r="B634" s="4" t="inlineStr">
        <is>
          <t>yes</t>
        </is>
      </c>
      <c r="C634" s="4" t="inlineStr">
        <is>
          <t>Byfanger Straße</t>
        </is>
      </c>
      <c r="D634" s="4" t="inlineStr">
        <is>
          <t>6</t>
        </is>
      </c>
      <c r="E634" s="13" t="n">
        <v>253.1</v>
      </c>
      <c r="F634" s="12" t="n">
        <v>0.09000015258789062</v>
      </c>
      <c r="G634" s="4" t="n">
        <v>0</v>
      </c>
      <c r="H634" s="4">
        <f>IF(OR(N(F634)&gt;=0.5,G634&gt;=4),3,IF(OR(N(F634)&gt;=0.3,G634=3),2,IF(OR(N(F634)&gt;=0.1,G634&gt;=1),1,0)))</f>
        <v/>
      </c>
      <c r="I634" s="4">
        <f>CHOOSE(H634+1,"Kein Risiko","Gering","Mittel","Hoch")</f>
        <v/>
      </c>
    </row>
    <row r="635">
      <c r="A635" s="4" t="n">
        <v>631</v>
      </c>
      <c r="B635" s="4" t="inlineStr">
        <is>
          <t>apartments</t>
        </is>
      </c>
      <c r="C635" s="4" t="inlineStr">
        <is>
          <t>Niederweniger Straße</t>
        </is>
      </c>
      <c r="D635" s="4" t="inlineStr">
        <is>
          <t>7</t>
        </is>
      </c>
      <c r="E635" s="13" t="n">
        <v>84.7</v>
      </c>
      <c r="F635" s="12" t="n">
        <v>0.06000518798828125</v>
      </c>
      <c r="G635" s="4" t="n">
        <v>0</v>
      </c>
      <c r="H635" s="4">
        <f>IF(OR(N(F635)&gt;=0.5,G635&gt;=4),3,IF(OR(N(F635)&gt;=0.3,G635=3),2,IF(OR(N(F635)&gt;=0.1,G635&gt;=1),1,0)))</f>
        <v/>
      </c>
      <c r="I635" s="4">
        <f>CHOOSE(H635+1,"Kein Risiko","Gering","Mittel","Hoch")</f>
        <v/>
      </c>
    </row>
    <row r="636">
      <c r="A636" s="4" t="n">
        <v>632</v>
      </c>
      <c r="B636" s="4" t="inlineStr">
        <is>
          <t>yes</t>
        </is>
      </c>
      <c r="C636" s="4" t="inlineStr">
        <is>
          <t>Kampmannbrücke</t>
        </is>
      </c>
      <c r="D636" s="4" t="inlineStr">
        <is>
          <t>36</t>
        </is>
      </c>
      <c r="E636" s="13" t="n">
        <v>309.4</v>
      </c>
      <c r="F636" s="12" t="n">
        <v>0.1700019836425781</v>
      </c>
      <c r="G636" s="4" t="n">
        <v>0</v>
      </c>
      <c r="H636" s="4">
        <f>IF(OR(N(F636)&gt;=0.5,G636&gt;=4),3,IF(OR(N(F636)&gt;=0.3,G636=3),2,IF(OR(N(F636)&gt;=0.1,G636&gt;=1),1,0)))</f>
        <v/>
      </c>
      <c r="I636" s="4">
        <f>CHOOSE(H636+1,"Kein Risiko","Gering","Mittel","Hoch")</f>
        <v/>
      </c>
    </row>
    <row r="637">
      <c r="A637" s="4" t="n">
        <v>633</v>
      </c>
      <c r="B637" s="4" t="inlineStr">
        <is>
          <t>apartments</t>
        </is>
      </c>
      <c r="C637" s="4" t="inlineStr">
        <is>
          <t>Kupferdreher Straße</t>
        </is>
      </c>
      <c r="D637" s="4" t="inlineStr">
        <is>
          <t>248</t>
        </is>
      </c>
      <c r="E637" s="13" t="n">
        <v>127.8</v>
      </c>
      <c r="F637" s="12" t="n">
        <v>0.04000091552734375</v>
      </c>
      <c r="G637" s="4" t="n">
        <v>0</v>
      </c>
      <c r="H637" s="4">
        <f>IF(OR(N(F637)&gt;=0.5,G637&gt;=4),3,IF(OR(N(F637)&gt;=0.3,G637=3),2,IF(OR(N(F637)&gt;=0.1,G637&gt;=1),1,0)))</f>
        <v/>
      </c>
      <c r="I637" s="4">
        <f>CHOOSE(H637+1,"Kein Risiko","Gering","Mittel","Hoch")</f>
        <v/>
      </c>
    </row>
    <row r="638">
      <c r="A638" s="4" t="n">
        <v>634</v>
      </c>
      <c r="B638" s="4" t="inlineStr">
        <is>
          <t>yes</t>
        </is>
      </c>
      <c r="C638" s="4" t="inlineStr"/>
      <c r="D638" s="4" t="inlineStr"/>
      <c r="E638" s="13" t="n">
        <v>214.8</v>
      </c>
      <c r="F638" s="12" t="n">
        <v>0.1100006103515625</v>
      </c>
      <c r="G638" s="4" t="n">
        <v>0</v>
      </c>
      <c r="H638" s="4">
        <f>IF(OR(N(F638)&gt;=0.5,G638&gt;=4),3,IF(OR(N(F638)&gt;=0.3,G638=3),2,IF(OR(N(F638)&gt;=0.1,G638&gt;=1),1,0)))</f>
        <v/>
      </c>
      <c r="I638" s="4">
        <f>CHOOSE(H638+1,"Kein Risiko","Gering","Mittel","Hoch")</f>
        <v/>
      </c>
    </row>
    <row r="639">
      <c r="A639" s="4" t="n">
        <v>635</v>
      </c>
      <c r="B639" s="4" t="inlineStr">
        <is>
          <t>yes</t>
        </is>
      </c>
      <c r="C639" s="4" t="inlineStr"/>
      <c r="D639" s="4" t="inlineStr"/>
      <c r="E639" s="13" t="n">
        <v>43.8</v>
      </c>
      <c r="F639" s="12" t="n">
        <v>0.04000091552734375</v>
      </c>
      <c r="G639" s="4" t="n">
        <v>0</v>
      </c>
      <c r="H639" s="4">
        <f>IF(OR(N(F639)&gt;=0.5,G639&gt;=4),3,IF(OR(N(F639)&gt;=0.3,G639=3),2,IF(OR(N(F639)&gt;=0.1,G639&gt;=1),1,0)))</f>
        <v/>
      </c>
      <c r="I639" s="4">
        <f>CHOOSE(H639+1,"Kein Risiko","Gering","Mittel","Hoch")</f>
        <v/>
      </c>
    </row>
    <row r="640">
      <c r="A640" s="4" t="n">
        <v>636</v>
      </c>
      <c r="B640" s="4" t="inlineStr">
        <is>
          <t>yes</t>
        </is>
      </c>
      <c r="C640" s="4" t="inlineStr">
        <is>
          <t>Prinz-Friedrich-Straße</t>
        </is>
      </c>
      <c r="D640" s="4" t="inlineStr">
        <is>
          <t>1</t>
        </is>
      </c>
      <c r="E640" s="13" t="n">
        <v>167.4</v>
      </c>
      <c r="F640" s="12" t="n">
        <v>0.029998779296875</v>
      </c>
      <c r="G640" s="4" t="n">
        <v>1</v>
      </c>
      <c r="H640" s="4">
        <f>IF(OR(N(F640)&gt;=0.5,G640&gt;=4),3,IF(OR(N(F640)&gt;=0.3,G640=3),2,IF(OR(N(F640)&gt;=0.1,G640&gt;=1),1,0)))</f>
        <v/>
      </c>
      <c r="I640" s="4">
        <f>CHOOSE(H640+1,"Kein Risiko","Gering","Mittel","Hoch")</f>
        <v/>
      </c>
    </row>
    <row r="641">
      <c r="A641" s="4" t="n">
        <v>637</v>
      </c>
      <c r="B641" s="4" t="inlineStr">
        <is>
          <t>apartments</t>
        </is>
      </c>
      <c r="C641" s="4" t="inlineStr">
        <is>
          <t>Kupferdreher Straße</t>
        </is>
      </c>
      <c r="D641" s="4" t="inlineStr">
        <is>
          <t>103</t>
        </is>
      </c>
      <c r="E641" s="13" t="n">
        <v>146.9</v>
      </c>
      <c r="F641" s="12" t="n">
        <v>0.1199989318847656</v>
      </c>
      <c r="G641" s="4" t="n">
        <v>1</v>
      </c>
      <c r="H641" s="4">
        <f>IF(OR(N(F641)&gt;=0.5,G641&gt;=4),3,IF(OR(N(F641)&gt;=0.3,G641=3),2,IF(OR(N(F641)&gt;=0.1,G641&gt;=1),1,0)))</f>
        <v/>
      </c>
      <c r="I641" s="4">
        <f>CHOOSE(H641+1,"Kein Risiko","Gering","Mittel","Hoch")</f>
        <v/>
      </c>
    </row>
    <row r="642">
      <c r="A642" s="4" t="n">
        <v>638</v>
      </c>
      <c r="B642" s="4" t="inlineStr">
        <is>
          <t>apartments</t>
        </is>
      </c>
      <c r="C642" s="4" t="inlineStr">
        <is>
          <t>Kupferdreher Straße</t>
        </is>
      </c>
      <c r="D642" s="4" t="inlineStr">
        <is>
          <t>105</t>
        </is>
      </c>
      <c r="E642" s="13" t="n">
        <v>139</v>
      </c>
      <c r="F642" s="12" t="n">
        <v>0</v>
      </c>
      <c r="G642" s="4" t="n">
        <v>0</v>
      </c>
      <c r="H642" s="4">
        <f>IF(OR(N(F642)&gt;=0.5,G642&gt;=4),3,IF(OR(N(F642)&gt;=0.3,G642=3),2,IF(OR(N(F642)&gt;=0.1,G642&gt;=1),1,0)))</f>
        <v/>
      </c>
      <c r="I642" s="4">
        <f>CHOOSE(H642+1,"Kein Risiko","Gering","Mittel","Hoch")</f>
        <v/>
      </c>
    </row>
    <row r="643">
      <c r="A643" s="4" t="n">
        <v>639</v>
      </c>
      <c r="B643" s="4" t="inlineStr">
        <is>
          <t>yes</t>
        </is>
      </c>
      <c r="C643" s="4" t="inlineStr">
        <is>
          <t>Kupferdreher Straße</t>
        </is>
      </c>
      <c r="D643" s="4" t="inlineStr">
        <is>
          <t>196</t>
        </is>
      </c>
      <c r="E643" s="13" t="n">
        <v>102.2</v>
      </c>
      <c r="F643" s="12" t="n">
        <v>0</v>
      </c>
      <c r="G643" s="4" t="n">
        <v>1</v>
      </c>
      <c r="H643" s="4">
        <f>IF(OR(N(F643)&gt;=0.5,G643&gt;=4),3,IF(OR(N(F643)&gt;=0.3,G643=3),2,IF(OR(N(F643)&gt;=0.1,G643&gt;=1),1,0)))</f>
        <v/>
      </c>
      <c r="I643" s="4">
        <f>CHOOSE(H643+1,"Kein Risiko","Gering","Mittel","Hoch")</f>
        <v/>
      </c>
    </row>
    <row r="644">
      <c r="A644" s="4" t="n">
        <v>640</v>
      </c>
      <c r="B644" s="4" t="inlineStr">
        <is>
          <t>yes</t>
        </is>
      </c>
      <c r="C644" s="4" t="inlineStr"/>
      <c r="D644" s="4" t="inlineStr"/>
      <c r="E644" s="13" t="n">
        <v>110.2</v>
      </c>
      <c r="F644" s="12" t="n">
        <v>1.329998016357422</v>
      </c>
      <c r="G644" s="4" t="n">
        <v>0</v>
      </c>
      <c r="H644" s="4">
        <f>IF(OR(N(F644)&gt;=0.5,G644&gt;=4),3,IF(OR(N(F644)&gt;=0.3,G644=3),2,IF(OR(N(F644)&gt;=0.1,G644&gt;=1),1,0)))</f>
        <v/>
      </c>
      <c r="I644" s="4">
        <f>CHOOSE(H644+1,"Kein Risiko","Gering","Mittel","Hoch")</f>
        <v/>
      </c>
    </row>
    <row r="645">
      <c r="A645" s="4" t="n">
        <v>641</v>
      </c>
      <c r="B645" s="4" t="inlineStr">
        <is>
          <t>apartments</t>
        </is>
      </c>
      <c r="C645" s="4" t="inlineStr">
        <is>
          <t>Colsmanstraße</t>
        </is>
      </c>
      <c r="D645" s="4" t="inlineStr">
        <is>
          <t>14</t>
        </is>
      </c>
      <c r="E645" s="13" t="n">
        <v>154.1</v>
      </c>
      <c r="F645" s="12" t="n">
        <v>0.06000137329101562</v>
      </c>
      <c r="G645" s="4" t="n">
        <v>1</v>
      </c>
      <c r="H645" s="4">
        <f>IF(OR(N(F645)&gt;=0.5,G645&gt;=4),3,IF(OR(N(F645)&gt;=0.3,G645=3),2,IF(OR(N(F645)&gt;=0.1,G645&gt;=1),1,0)))</f>
        <v/>
      </c>
      <c r="I645" s="4">
        <f>CHOOSE(H645+1,"Kein Risiko","Gering","Mittel","Hoch")</f>
        <v/>
      </c>
    </row>
    <row r="646">
      <c r="A646" s="4" t="n">
        <v>642</v>
      </c>
      <c r="B646" s="4" t="inlineStr">
        <is>
          <t>yes</t>
        </is>
      </c>
      <c r="C646" s="4" t="inlineStr">
        <is>
          <t>Kupferdreher Straße</t>
        </is>
      </c>
      <c r="D646" s="4" t="inlineStr">
        <is>
          <t>196b</t>
        </is>
      </c>
      <c r="E646" s="13" t="n">
        <v>158.3</v>
      </c>
      <c r="F646" s="12" t="n">
        <v>0</v>
      </c>
      <c r="G646" s="4" t="n">
        <v>1</v>
      </c>
      <c r="H646" s="4">
        <f>IF(OR(N(F646)&gt;=0.5,G646&gt;=4),3,IF(OR(N(F646)&gt;=0.3,G646=3),2,IF(OR(N(F646)&gt;=0.1,G646&gt;=1),1,0)))</f>
        <v/>
      </c>
      <c r="I646" s="4">
        <f>CHOOSE(H646+1,"Kein Risiko","Gering","Mittel","Hoch")</f>
        <v/>
      </c>
    </row>
    <row r="647">
      <c r="A647" s="4" t="n">
        <v>643</v>
      </c>
      <c r="B647" s="4" t="inlineStr">
        <is>
          <t>yes</t>
        </is>
      </c>
      <c r="C647" s="4" t="inlineStr"/>
      <c r="D647" s="4" t="inlineStr"/>
      <c r="E647" s="13" t="n">
        <v>171.2</v>
      </c>
      <c r="F647" s="12" t="n">
        <v>0.06000137329101562</v>
      </c>
      <c r="G647" s="4" t="n">
        <v>0</v>
      </c>
      <c r="H647" s="4">
        <f>IF(OR(N(F647)&gt;=0.5,G647&gt;=4),3,IF(OR(N(F647)&gt;=0.3,G647=3),2,IF(OR(N(F647)&gt;=0.1,G647&gt;=1),1,0)))</f>
        <v/>
      </c>
      <c r="I647" s="4">
        <f>CHOOSE(H647+1,"Kein Risiko","Gering","Mittel","Hoch")</f>
        <v/>
      </c>
    </row>
    <row r="648">
      <c r="A648" s="4" t="n">
        <v>644</v>
      </c>
      <c r="B648" s="4" t="inlineStr">
        <is>
          <t>yes</t>
        </is>
      </c>
      <c r="C648" s="4" t="inlineStr">
        <is>
          <t>Kupferdreher Straße</t>
        </is>
      </c>
      <c r="D648" s="4" t="inlineStr">
        <is>
          <t>107</t>
        </is>
      </c>
      <c r="E648" s="13" t="n">
        <v>55.9</v>
      </c>
      <c r="F648" s="12" t="n">
        <v>0</v>
      </c>
      <c r="G648" s="4" t="n">
        <v>0</v>
      </c>
      <c r="H648" s="4">
        <f>IF(OR(N(F648)&gt;=0.5,G648&gt;=4),3,IF(OR(N(F648)&gt;=0.3,G648=3),2,IF(OR(N(F648)&gt;=0.1,G648&gt;=1),1,0)))</f>
        <v/>
      </c>
      <c r="I648" s="4">
        <f>CHOOSE(H648+1,"Kein Risiko","Gering","Mittel","Hoch")</f>
        <v/>
      </c>
    </row>
    <row r="649">
      <c r="A649" s="4" t="n">
        <v>645</v>
      </c>
      <c r="B649" s="4" t="inlineStr">
        <is>
          <t>yes</t>
        </is>
      </c>
      <c r="C649" s="4" t="inlineStr">
        <is>
          <t>Poststraße</t>
        </is>
      </c>
      <c r="D649" s="4" t="inlineStr">
        <is>
          <t>5</t>
        </is>
      </c>
      <c r="E649" s="13" t="n">
        <v>149.2</v>
      </c>
      <c r="F649" s="12" t="n">
        <v>0.970001220703125</v>
      </c>
      <c r="G649" s="4" t="n">
        <v>0</v>
      </c>
      <c r="H649" s="4">
        <f>IF(OR(N(F649)&gt;=0.5,G649&gt;=4),3,IF(OR(N(F649)&gt;=0.3,G649=3),2,IF(OR(N(F649)&gt;=0.1,G649&gt;=1),1,0)))</f>
        <v/>
      </c>
      <c r="I649" s="4">
        <f>CHOOSE(H649+1,"Kein Risiko","Gering","Mittel","Hoch")</f>
        <v/>
      </c>
    </row>
    <row r="650">
      <c r="A650" s="4" t="n">
        <v>646</v>
      </c>
      <c r="B650" s="4" t="inlineStr">
        <is>
          <t>apartments</t>
        </is>
      </c>
      <c r="C650" s="4" t="inlineStr">
        <is>
          <t>Kupferdreher Straße</t>
        </is>
      </c>
      <c r="D650" s="4" t="inlineStr">
        <is>
          <t>142</t>
        </is>
      </c>
      <c r="E650" s="13" t="n">
        <v>152.3</v>
      </c>
      <c r="F650" s="12" t="n">
        <v>0</v>
      </c>
      <c r="G650" s="4" t="n">
        <v>0</v>
      </c>
      <c r="H650" s="4">
        <f>IF(OR(N(F650)&gt;=0.5,G650&gt;=4),3,IF(OR(N(F650)&gt;=0.3,G650=3),2,IF(OR(N(F650)&gt;=0.1,G650&gt;=1),1,0)))</f>
        <v/>
      </c>
      <c r="I650" s="4">
        <f>CHOOSE(H650+1,"Kein Risiko","Gering","Mittel","Hoch")</f>
        <v/>
      </c>
    </row>
    <row r="651">
      <c r="A651" s="4" t="n">
        <v>647</v>
      </c>
      <c r="B651" s="4" t="inlineStr">
        <is>
          <t>apartments</t>
        </is>
      </c>
      <c r="C651" s="4" t="inlineStr">
        <is>
          <t>Kupferdreher Straße</t>
        </is>
      </c>
      <c r="D651" s="4" t="inlineStr">
        <is>
          <t>144</t>
        </is>
      </c>
      <c r="E651" s="13" t="n">
        <v>223.4</v>
      </c>
      <c r="F651" s="12" t="n">
        <v>0.009998321533203125</v>
      </c>
      <c r="G651" s="4" t="n">
        <v>0</v>
      </c>
      <c r="H651" s="4">
        <f>IF(OR(N(F651)&gt;=0.5,G651&gt;=4),3,IF(OR(N(F651)&gt;=0.3,G651=3),2,IF(OR(N(F651)&gt;=0.1,G651&gt;=1),1,0)))</f>
        <v/>
      </c>
      <c r="I651" s="4">
        <f>CHOOSE(H651+1,"Kein Risiko","Gering","Mittel","Hoch")</f>
        <v/>
      </c>
    </row>
    <row r="652">
      <c r="A652" s="4" t="n">
        <v>648</v>
      </c>
      <c r="B652" s="4" t="inlineStr">
        <is>
          <t>apartments</t>
        </is>
      </c>
      <c r="C652" s="4" t="inlineStr">
        <is>
          <t>Colsmanstraße</t>
        </is>
      </c>
      <c r="D652" s="4" t="inlineStr">
        <is>
          <t>16</t>
        </is>
      </c>
      <c r="E652" s="13" t="n">
        <v>163.9</v>
      </c>
      <c r="F652" s="12" t="n">
        <v>1.169998168945312</v>
      </c>
      <c r="G652" s="4" t="n">
        <v>1</v>
      </c>
      <c r="H652" s="4">
        <f>IF(OR(N(F652)&gt;=0.5,G652&gt;=4),3,IF(OR(N(F652)&gt;=0.3,G652=3),2,IF(OR(N(F652)&gt;=0.1,G652&gt;=1),1,0)))</f>
        <v/>
      </c>
      <c r="I652" s="4">
        <f>CHOOSE(H652+1,"Kein Risiko","Gering","Mittel","Hoch")</f>
        <v/>
      </c>
    </row>
    <row r="653">
      <c r="A653" s="4" t="n">
        <v>649</v>
      </c>
      <c r="B653" s="4" t="inlineStr">
        <is>
          <t>apartments</t>
        </is>
      </c>
      <c r="C653" s="4" t="inlineStr">
        <is>
          <t>Colsmanstraße</t>
        </is>
      </c>
      <c r="D653" s="4" t="inlineStr">
        <is>
          <t>19</t>
        </is>
      </c>
      <c r="E653" s="13" t="n">
        <v>183.6</v>
      </c>
      <c r="F653" s="12" t="n">
        <v>1.149997711181641</v>
      </c>
      <c r="G653" s="4" t="n">
        <v>5</v>
      </c>
      <c r="H653" s="4">
        <f>IF(OR(N(F653)&gt;=0.5,G653&gt;=4),3,IF(OR(N(F653)&gt;=0.3,G653=3),2,IF(OR(N(F653)&gt;=0.1,G653&gt;=1),1,0)))</f>
        <v/>
      </c>
      <c r="I653" s="4">
        <f>CHOOSE(H653+1,"Kein Risiko","Gering","Mittel","Hoch")</f>
        <v/>
      </c>
    </row>
    <row r="654">
      <c r="A654" s="4" t="n">
        <v>650</v>
      </c>
      <c r="B654" s="4" t="inlineStr">
        <is>
          <t>apartments</t>
        </is>
      </c>
      <c r="C654" s="4" t="inlineStr">
        <is>
          <t>Colsmanstraße</t>
        </is>
      </c>
      <c r="D654" s="4" t="inlineStr">
        <is>
          <t>20</t>
        </is>
      </c>
      <c r="E654" s="13" t="n">
        <v>106</v>
      </c>
      <c r="F654" s="12" t="n">
        <v>1.369998931884766</v>
      </c>
      <c r="G654" s="4" t="n">
        <v>0</v>
      </c>
      <c r="H654" s="4">
        <f>IF(OR(N(F654)&gt;=0.5,G654&gt;=4),3,IF(OR(N(F654)&gt;=0.3,G654=3),2,IF(OR(N(F654)&gt;=0.1,G654&gt;=1),1,0)))</f>
        <v/>
      </c>
      <c r="I654" s="4">
        <f>CHOOSE(H654+1,"Kein Risiko","Gering","Mittel","Hoch")</f>
        <v/>
      </c>
    </row>
    <row r="655">
      <c r="A655" s="4" t="n">
        <v>651</v>
      </c>
      <c r="B655" s="4" t="inlineStr">
        <is>
          <t>office</t>
        </is>
      </c>
      <c r="C655" s="4" t="inlineStr">
        <is>
          <t>Prinz-Friedrich-Straße</t>
        </is>
      </c>
      <c r="D655" s="4" t="inlineStr">
        <is>
          <t>28c</t>
        </is>
      </c>
      <c r="E655" s="13" t="n">
        <v>258.9</v>
      </c>
      <c r="F655" s="12" t="n">
        <v>0.01000213623046875</v>
      </c>
      <c r="G655" s="4" t="n">
        <v>0</v>
      </c>
      <c r="H655" s="4">
        <f>IF(OR(N(F655)&gt;=0.5,G655&gt;=4),3,IF(OR(N(F655)&gt;=0.3,G655=3),2,IF(OR(N(F655)&gt;=0.1,G655&gt;=1),1,0)))</f>
        <v/>
      </c>
      <c r="I655" s="4">
        <f>CHOOSE(H655+1,"Kein Risiko","Gering","Mittel","Hoch")</f>
        <v/>
      </c>
    </row>
    <row r="656">
      <c r="A656" s="4" t="n">
        <v>652</v>
      </c>
      <c r="B656" s="4" t="inlineStr">
        <is>
          <t>apartments</t>
        </is>
      </c>
      <c r="C656" s="4" t="inlineStr">
        <is>
          <t>Poststraße</t>
        </is>
      </c>
      <c r="D656" s="4" t="inlineStr">
        <is>
          <t>7</t>
        </is>
      </c>
      <c r="E656" s="13" t="n">
        <v>140.5</v>
      </c>
      <c r="F656" s="12" t="n">
        <v>0.720001220703125</v>
      </c>
      <c r="G656" s="4" t="n">
        <v>0</v>
      </c>
      <c r="H656" s="4">
        <f>IF(OR(N(F656)&gt;=0.5,G656&gt;=4),3,IF(OR(N(F656)&gt;=0.3,G656=3),2,IF(OR(N(F656)&gt;=0.1,G656&gt;=1),1,0)))</f>
        <v/>
      </c>
      <c r="I656" s="4">
        <f>CHOOSE(H656+1,"Kein Risiko","Gering","Mittel","Hoch")</f>
        <v/>
      </c>
    </row>
    <row r="657">
      <c r="A657" s="4" t="n">
        <v>653</v>
      </c>
      <c r="B657" s="4" t="inlineStr">
        <is>
          <t>yes</t>
        </is>
      </c>
      <c r="C657" s="4" t="inlineStr">
        <is>
          <t>Prinz-Friedrich-Straße</t>
        </is>
      </c>
      <c r="D657" s="4" t="inlineStr">
        <is>
          <t>28b</t>
        </is>
      </c>
      <c r="E657" s="13" t="n">
        <v>103.7</v>
      </c>
      <c r="F657" s="12" t="n">
        <v>0.009998321533203125</v>
      </c>
      <c r="G657" s="4" t="n">
        <v>0</v>
      </c>
      <c r="H657" s="4">
        <f>IF(OR(N(F657)&gt;=0.5,G657&gt;=4),3,IF(OR(N(F657)&gt;=0.3,G657=3),2,IF(OR(N(F657)&gt;=0.1,G657&gt;=1),1,0)))</f>
        <v/>
      </c>
      <c r="I657" s="4">
        <f>CHOOSE(H657+1,"Kein Risiko","Gering","Mittel","Hoch")</f>
        <v/>
      </c>
    </row>
    <row r="658">
      <c r="A658" s="4" t="n">
        <v>654</v>
      </c>
      <c r="B658" s="4" t="inlineStr">
        <is>
          <t>yes</t>
        </is>
      </c>
      <c r="C658" s="4" t="inlineStr">
        <is>
          <t>Kupferdreher Straße</t>
        </is>
      </c>
      <c r="D658" s="4" t="inlineStr">
        <is>
          <t>196a</t>
        </is>
      </c>
      <c r="E658" s="13" t="n">
        <v>407</v>
      </c>
      <c r="F658" s="12" t="n">
        <v>1.310001373291016</v>
      </c>
      <c r="G658" s="4" t="n">
        <v>1</v>
      </c>
      <c r="H658" s="4">
        <f>IF(OR(N(F658)&gt;=0.5,G658&gt;=4),3,IF(OR(N(F658)&gt;=0.3,G658=3),2,IF(OR(N(F658)&gt;=0.1,G658&gt;=1),1,0)))</f>
        <v/>
      </c>
      <c r="I658" s="4">
        <f>CHOOSE(H658+1,"Kein Risiko","Gering","Mittel","Hoch")</f>
        <v/>
      </c>
    </row>
    <row r="659">
      <c r="A659" s="4" t="n">
        <v>655</v>
      </c>
      <c r="B659" s="4" t="inlineStr">
        <is>
          <t>retail</t>
        </is>
      </c>
      <c r="C659" s="4" t="inlineStr">
        <is>
          <t>Kupferdreher Straße</t>
        </is>
      </c>
      <c r="D659" s="4" t="inlineStr">
        <is>
          <t>202</t>
        </is>
      </c>
      <c r="E659" s="13" t="n">
        <v>219.1</v>
      </c>
      <c r="F659" s="12" t="n">
        <v>0</v>
      </c>
      <c r="G659" s="4" t="n">
        <v>0</v>
      </c>
      <c r="H659" s="4">
        <f>IF(OR(N(F659)&gt;=0.5,G659&gt;=4),3,IF(OR(N(F659)&gt;=0.3,G659=3),2,IF(OR(N(F659)&gt;=0.1,G659&gt;=1),1,0)))</f>
        <v/>
      </c>
      <c r="I659" s="4">
        <f>CHOOSE(H659+1,"Kein Risiko","Gering","Mittel","Hoch")</f>
        <v/>
      </c>
    </row>
    <row r="660">
      <c r="A660" s="4" t="n">
        <v>656</v>
      </c>
      <c r="B660" s="4" t="inlineStr">
        <is>
          <t>apartments</t>
        </is>
      </c>
      <c r="C660" s="4" t="inlineStr">
        <is>
          <t>Oslenderstraße</t>
        </is>
      </c>
      <c r="D660" s="4" t="inlineStr">
        <is>
          <t>22</t>
        </is>
      </c>
      <c r="E660" s="13" t="n">
        <v>277.3</v>
      </c>
      <c r="F660" s="12" t="n">
        <v>0.05999755859375</v>
      </c>
      <c r="G660" s="4" t="n">
        <v>0</v>
      </c>
      <c r="H660" s="4">
        <f>IF(OR(N(F660)&gt;=0.5,G660&gt;=4),3,IF(OR(N(F660)&gt;=0.3,G660=3),2,IF(OR(N(F660)&gt;=0.1,G660&gt;=1),1,0)))</f>
        <v/>
      </c>
      <c r="I660" s="4">
        <f>CHOOSE(H660+1,"Kein Risiko","Gering","Mittel","Hoch")</f>
        <v/>
      </c>
    </row>
    <row r="661">
      <c r="A661" s="4" t="n">
        <v>657</v>
      </c>
      <c r="B661" s="4" t="inlineStr">
        <is>
          <t>apartments</t>
        </is>
      </c>
      <c r="C661" s="4" t="inlineStr">
        <is>
          <t>Oslenderstraße</t>
        </is>
      </c>
      <c r="D661" s="4" t="inlineStr">
        <is>
          <t>18</t>
        </is>
      </c>
      <c r="E661" s="13" t="n">
        <v>260.1</v>
      </c>
      <c r="F661" s="12" t="n">
        <v>0.0800018310546875</v>
      </c>
      <c r="G661" s="4" t="n">
        <v>0</v>
      </c>
      <c r="H661" s="4">
        <f>IF(OR(N(F661)&gt;=0.5,G661&gt;=4),3,IF(OR(N(F661)&gt;=0.3,G661=3),2,IF(OR(N(F661)&gt;=0.1,G661&gt;=1),1,0)))</f>
        <v/>
      </c>
      <c r="I661" s="4">
        <f>CHOOSE(H661+1,"Kein Risiko","Gering","Mittel","Hoch")</f>
        <v/>
      </c>
    </row>
    <row r="662">
      <c r="A662" s="4" t="n">
        <v>658</v>
      </c>
      <c r="B662" s="4" t="inlineStr">
        <is>
          <t>yes</t>
        </is>
      </c>
      <c r="C662" s="4" t="inlineStr">
        <is>
          <t>Oslenderstraße</t>
        </is>
      </c>
      <c r="D662" s="4" t="inlineStr">
        <is>
          <t>14</t>
        </is>
      </c>
      <c r="E662" s="13" t="n">
        <v>148.3</v>
      </c>
      <c r="F662" s="12" t="n">
        <v>0</v>
      </c>
      <c r="G662" s="4" t="n">
        <v>0</v>
      </c>
      <c r="H662" s="4">
        <f>IF(OR(N(F662)&gt;=0.5,G662&gt;=4),3,IF(OR(N(F662)&gt;=0.3,G662=3),2,IF(OR(N(F662)&gt;=0.1,G662&gt;=1),1,0)))</f>
        <v/>
      </c>
      <c r="I662" s="4">
        <f>CHOOSE(H662+1,"Kein Risiko","Gering","Mittel","Hoch")</f>
        <v/>
      </c>
    </row>
    <row r="663">
      <c r="A663" s="4" t="n">
        <v>659</v>
      </c>
      <c r="B663" s="4" t="inlineStr">
        <is>
          <t>yes</t>
        </is>
      </c>
      <c r="C663" s="4" t="inlineStr">
        <is>
          <t>Oslenderstraße</t>
        </is>
      </c>
      <c r="D663" s="4" t="inlineStr">
        <is>
          <t>12</t>
        </is>
      </c>
      <c r="E663" s="13" t="n">
        <v>140.5</v>
      </c>
      <c r="F663" s="12" t="n">
        <v>0</v>
      </c>
      <c r="G663" s="4" t="n">
        <v>0</v>
      </c>
      <c r="H663" s="4">
        <f>IF(OR(N(F663)&gt;=0.5,G663&gt;=4),3,IF(OR(N(F663)&gt;=0.3,G663=3),2,IF(OR(N(F663)&gt;=0.1,G663&gt;=1),1,0)))</f>
        <v/>
      </c>
      <c r="I663" s="4">
        <f>CHOOSE(H663+1,"Kein Risiko","Gering","Mittel","Hoch")</f>
        <v/>
      </c>
    </row>
    <row r="664">
      <c r="A664" s="4" t="n">
        <v>660</v>
      </c>
      <c r="B664" s="4" t="inlineStr">
        <is>
          <t>apartments</t>
        </is>
      </c>
      <c r="C664" s="4" t="inlineStr">
        <is>
          <t>Oslenderstraße</t>
        </is>
      </c>
      <c r="D664" s="4" t="inlineStr">
        <is>
          <t>16</t>
        </is>
      </c>
      <c r="E664" s="13" t="n">
        <v>271.4</v>
      </c>
      <c r="F664" s="12" t="n">
        <v>0.1500015258789062</v>
      </c>
      <c r="G664" s="4" t="n">
        <v>0</v>
      </c>
      <c r="H664" s="4">
        <f>IF(OR(N(F664)&gt;=0.5,G664&gt;=4),3,IF(OR(N(F664)&gt;=0.3,G664=3),2,IF(OR(N(F664)&gt;=0.1,G664&gt;=1),1,0)))</f>
        <v/>
      </c>
      <c r="I664" s="4">
        <f>CHOOSE(H664+1,"Kein Risiko","Gering","Mittel","Hoch")</f>
        <v/>
      </c>
    </row>
    <row r="665">
      <c r="A665" s="4" t="n">
        <v>661</v>
      </c>
      <c r="B665" s="4" t="inlineStr">
        <is>
          <t>yes</t>
        </is>
      </c>
      <c r="C665" s="4" t="inlineStr">
        <is>
          <t>Phönixhütte</t>
        </is>
      </c>
      <c r="D665" s="4" t="inlineStr">
        <is>
          <t>9</t>
        </is>
      </c>
      <c r="E665" s="13" t="n">
        <v>130.5</v>
      </c>
      <c r="F665" s="12" t="n">
        <v>1.379997253417969</v>
      </c>
      <c r="G665" s="4" t="n">
        <v>0</v>
      </c>
      <c r="H665" s="4">
        <f>IF(OR(N(F665)&gt;=0.5,G665&gt;=4),3,IF(OR(N(F665)&gt;=0.3,G665=3),2,IF(OR(N(F665)&gt;=0.1,G665&gt;=1),1,0)))</f>
        <v/>
      </c>
      <c r="I665" s="4">
        <f>CHOOSE(H665+1,"Kein Risiko","Gering","Mittel","Hoch")</f>
        <v/>
      </c>
    </row>
    <row r="666">
      <c r="A666" s="4" t="n">
        <v>662</v>
      </c>
      <c r="B666" s="4" t="inlineStr">
        <is>
          <t>school</t>
        </is>
      </c>
      <c r="C666" s="4" t="inlineStr">
        <is>
          <t>Schwermannstraße</t>
        </is>
      </c>
      <c r="D666" s="4" t="inlineStr">
        <is>
          <t>9</t>
        </is>
      </c>
      <c r="E666" s="13" t="n">
        <v>574.9</v>
      </c>
      <c r="F666" s="12" t="n">
        <v>0.04999542236328125</v>
      </c>
      <c r="G666" s="4" t="n">
        <v>1</v>
      </c>
      <c r="H666" s="4">
        <f>IF(OR(N(F666)&gt;=0.5,G666&gt;=4),3,IF(OR(N(F666)&gt;=0.3,G666=3),2,IF(OR(N(F666)&gt;=0.1,G666&gt;=1),1,0)))</f>
        <v/>
      </c>
      <c r="I666" s="4">
        <f>CHOOSE(H666+1,"Kein Risiko","Gering","Mittel","Hoch")</f>
        <v/>
      </c>
    </row>
    <row r="667">
      <c r="A667" s="4" t="n">
        <v>663</v>
      </c>
      <c r="B667" s="4" t="inlineStr">
        <is>
          <t>apartments</t>
        </is>
      </c>
      <c r="C667" s="4" t="inlineStr">
        <is>
          <t>Kupferdreher Straße</t>
        </is>
      </c>
      <c r="D667" s="4" t="inlineStr">
        <is>
          <t>238</t>
        </is>
      </c>
      <c r="E667" s="13" t="n">
        <v>130.9</v>
      </c>
      <c r="F667" s="12" t="n">
        <v>0</v>
      </c>
      <c r="G667" s="4" t="n">
        <v>0</v>
      </c>
      <c r="H667" s="4">
        <f>IF(OR(N(F667)&gt;=0.5,G667&gt;=4),3,IF(OR(N(F667)&gt;=0.3,G667=3),2,IF(OR(N(F667)&gt;=0.1,G667&gt;=1),1,0)))</f>
        <v/>
      </c>
      <c r="I667" s="4">
        <f>CHOOSE(H667+1,"Kein Risiko","Gering","Mittel","Hoch")</f>
        <v/>
      </c>
    </row>
    <row r="668">
      <c r="A668" s="4" t="n">
        <v>664</v>
      </c>
      <c r="B668" s="4" t="inlineStr">
        <is>
          <t>yes</t>
        </is>
      </c>
      <c r="C668" s="4" t="inlineStr"/>
      <c r="D668" s="4" t="inlineStr"/>
      <c r="E668" s="13" t="n">
        <v>42.3</v>
      </c>
      <c r="F668" s="12" t="n">
        <v>0.0099945068359375</v>
      </c>
      <c r="G668" s="4" t="n">
        <v>0</v>
      </c>
      <c r="H668" s="4">
        <f>IF(OR(N(F668)&gt;=0.5,G668&gt;=4),3,IF(OR(N(F668)&gt;=0.3,G668=3),2,IF(OR(N(F668)&gt;=0.1,G668&gt;=1),1,0)))</f>
        <v/>
      </c>
      <c r="I668" s="4">
        <f>CHOOSE(H668+1,"Kein Risiko","Gering","Mittel","Hoch")</f>
        <v/>
      </c>
    </row>
    <row r="669">
      <c r="A669" s="4" t="n">
        <v>665</v>
      </c>
      <c r="B669" s="4" t="inlineStr">
        <is>
          <t>apartments</t>
        </is>
      </c>
      <c r="C669" s="4" t="inlineStr">
        <is>
          <t>Kupferdreher Straße</t>
        </is>
      </c>
      <c r="D669" s="4" t="inlineStr">
        <is>
          <t>234</t>
        </is>
      </c>
      <c r="E669" s="13" t="n">
        <v>228.8</v>
      </c>
      <c r="F669" s="12" t="n">
        <v>0.01000213623046875</v>
      </c>
      <c r="G669" s="4" t="n">
        <v>5</v>
      </c>
      <c r="H669" s="4">
        <f>IF(OR(N(F669)&gt;=0.5,G669&gt;=4),3,IF(OR(N(F669)&gt;=0.3,G669=3),2,IF(OR(N(F669)&gt;=0.1,G669&gt;=1),1,0)))</f>
        <v/>
      </c>
      <c r="I669" s="4">
        <f>CHOOSE(H669+1,"Kein Risiko","Gering","Mittel","Hoch")</f>
        <v/>
      </c>
    </row>
    <row r="670">
      <c r="A670" s="4" t="n">
        <v>666</v>
      </c>
      <c r="B670" s="4" t="inlineStr">
        <is>
          <t>apartments</t>
        </is>
      </c>
      <c r="C670" s="4" t="inlineStr">
        <is>
          <t>Kupferdreher Straße</t>
        </is>
      </c>
      <c r="D670" s="4" t="inlineStr">
        <is>
          <t>236</t>
        </is>
      </c>
      <c r="E670" s="13" t="n">
        <v>247</v>
      </c>
      <c r="F670" s="12" t="n">
        <v>0</v>
      </c>
      <c r="G670" s="4" t="n">
        <v>0</v>
      </c>
      <c r="H670" s="4">
        <f>IF(OR(N(F670)&gt;=0.5,G670&gt;=4),3,IF(OR(N(F670)&gt;=0.3,G670=3),2,IF(OR(N(F670)&gt;=0.1,G670&gt;=1),1,0)))</f>
        <v/>
      </c>
      <c r="I670" s="4">
        <f>CHOOSE(H670+1,"Kein Risiko","Gering","Mittel","Hoch")</f>
        <v/>
      </c>
    </row>
    <row r="671">
      <c r="A671" s="4" t="n">
        <v>667</v>
      </c>
      <c r="B671" s="4" t="inlineStr">
        <is>
          <t>chapel</t>
        </is>
      </c>
      <c r="C671" s="4" t="inlineStr"/>
      <c r="D671" s="4" t="inlineStr"/>
      <c r="E671" s="13" t="n">
        <v>65.90000000000001</v>
      </c>
      <c r="F671" s="12" t="n">
        <v>0</v>
      </c>
      <c r="G671" s="4" t="n">
        <v>0</v>
      </c>
      <c r="H671" s="4">
        <f>IF(OR(N(F671)&gt;=0.5,G671&gt;=4),3,IF(OR(N(F671)&gt;=0.3,G671=3),2,IF(OR(N(F671)&gt;=0.1,G671&gt;=1),1,0)))</f>
        <v/>
      </c>
      <c r="I671" s="4">
        <f>CHOOSE(H671+1,"Kein Risiko","Gering","Mittel","Hoch")</f>
        <v/>
      </c>
    </row>
    <row r="672">
      <c r="A672" s="4" t="n">
        <v>668</v>
      </c>
      <c r="B672" s="4" t="inlineStr">
        <is>
          <t>house</t>
        </is>
      </c>
      <c r="C672" s="4" t="inlineStr">
        <is>
          <t>Eisenhammerweg</t>
        </is>
      </c>
      <c r="D672" s="4" t="inlineStr">
        <is>
          <t>1</t>
        </is>
      </c>
      <c r="E672" s="13" t="n">
        <v>62.3</v>
      </c>
      <c r="F672" s="12" t="n">
        <v>0</v>
      </c>
      <c r="G672" s="4" t="n">
        <v>0</v>
      </c>
      <c r="H672" s="4">
        <f>IF(OR(N(F672)&gt;=0.5,G672&gt;=4),3,IF(OR(N(F672)&gt;=0.3,G672=3),2,IF(OR(N(F672)&gt;=0.1,G672&gt;=1),1,0)))</f>
        <v/>
      </c>
      <c r="I672" s="4">
        <f>CHOOSE(H672+1,"Kein Risiko","Gering","Mittel","Hoch")</f>
        <v/>
      </c>
    </row>
    <row r="673">
      <c r="A673" s="4" t="n">
        <v>669</v>
      </c>
      <c r="B673" s="4" t="inlineStr">
        <is>
          <t>semidetached_house</t>
        </is>
      </c>
      <c r="C673" s="4" t="inlineStr">
        <is>
          <t>Eisenhammerweg</t>
        </is>
      </c>
      <c r="D673" s="4" t="inlineStr">
        <is>
          <t>11</t>
        </is>
      </c>
      <c r="E673" s="13" t="n">
        <v>68</v>
      </c>
      <c r="F673" s="12" t="n">
        <v>0</v>
      </c>
      <c r="G673" s="4" t="n">
        <v>0</v>
      </c>
      <c r="H673" s="4">
        <f>IF(OR(N(F673)&gt;=0.5,G673&gt;=4),3,IF(OR(N(F673)&gt;=0.3,G673=3),2,IF(OR(N(F673)&gt;=0.1,G673&gt;=1),1,0)))</f>
        <v/>
      </c>
      <c r="I673" s="4">
        <f>CHOOSE(H673+1,"Kein Risiko","Gering","Mittel","Hoch")</f>
        <v/>
      </c>
    </row>
    <row r="674">
      <c r="A674" s="4" t="n">
        <v>670</v>
      </c>
      <c r="B674" s="4" t="inlineStr">
        <is>
          <t>semidetached_house</t>
        </is>
      </c>
      <c r="C674" s="4" t="inlineStr">
        <is>
          <t>Eisenhammerweg</t>
        </is>
      </c>
      <c r="D674" s="4" t="inlineStr">
        <is>
          <t>13</t>
        </is>
      </c>
      <c r="E674" s="13" t="n">
        <v>65.8</v>
      </c>
      <c r="F674" s="12" t="n">
        <v>0.0099945068359375</v>
      </c>
      <c r="G674" s="4" t="n">
        <v>0</v>
      </c>
      <c r="H674" s="4">
        <f>IF(OR(N(F674)&gt;=0.5,G674&gt;=4),3,IF(OR(N(F674)&gt;=0.3,G674=3),2,IF(OR(N(F674)&gt;=0.1,G674&gt;=1),1,0)))</f>
        <v/>
      </c>
      <c r="I674" s="4">
        <f>CHOOSE(H674+1,"Kein Risiko","Gering","Mittel","Hoch")</f>
        <v/>
      </c>
    </row>
    <row r="675">
      <c r="A675" s="4" t="n">
        <v>671</v>
      </c>
      <c r="B675" s="4" t="inlineStr">
        <is>
          <t>semidetached_house</t>
        </is>
      </c>
      <c r="C675" s="4" t="inlineStr">
        <is>
          <t>Eisenhammerweg</t>
        </is>
      </c>
      <c r="D675" s="4" t="inlineStr">
        <is>
          <t>15</t>
        </is>
      </c>
      <c r="E675" s="13" t="n">
        <v>63.7</v>
      </c>
      <c r="F675" s="12" t="n">
        <v>0.01999664306640625</v>
      </c>
      <c r="G675" s="4" t="n">
        <v>0</v>
      </c>
      <c r="H675" s="4">
        <f>IF(OR(N(F675)&gt;=0.5,G675&gt;=4),3,IF(OR(N(F675)&gt;=0.3,G675=3),2,IF(OR(N(F675)&gt;=0.1,G675&gt;=1),1,0)))</f>
        <v/>
      </c>
      <c r="I675" s="4">
        <f>CHOOSE(H675+1,"Kein Risiko","Gering","Mittel","Hoch")</f>
        <v/>
      </c>
    </row>
    <row r="676">
      <c r="A676" s="4" t="n">
        <v>672</v>
      </c>
      <c r="B676" s="4" t="inlineStr">
        <is>
          <t>semidetached_house</t>
        </is>
      </c>
      <c r="C676" s="4" t="inlineStr">
        <is>
          <t>Eisenhammerweg</t>
        </is>
      </c>
      <c r="D676" s="4" t="inlineStr">
        <is>
          <t>17</t>
        </is>
      </c>
      <c r="E676" s="13" t="n">
        <v>70.09999999999999</v>
      </c>
      <c r="F676" s="12" t="n">
        <v>0.0200042724609375</v>
      </c>
      <c r="G676" s="4" t="n">
        <v>0</v>
      </c>
      <c r="H676" s="4">
        <f>IF(OR(N(F676)&gt;=0.5,G676&gt;=4),3,IF(OR(N(F676)&gt;=0.3,G676=3),2,IF(OR(N(F676)&gt;=0.1,G676&gt;=1),1,0)))</f>
        <v/>
      </c>
      <c r="I676" s="4">
        <f>CHOOSE(H676+1,"Kein Risiko","Gering","Mittel","Hoch")</f>
        <v/>
      </c>
    </row>
    <row r="677">
      <c r="A677" s="4" t="n">
        <v>673</v>
      </c>
      <c r="B677" s="4" t="inlineStr">
        <is>
          <t>house</t>
        </is>
      </c>
      <c r="C677" s="4" t="inlineStr">
        <is>
          <t>Eisenhammerweg</t>
        </is>
      </c>
      <c r="D677" s="4" t="inlineStr">
        <is>
          <t>3</t>
        </is>
      </c>
      <c r="E677" s="13" t="n">
        <v>84.7</v>
      </c>
      <c r="F677" s="12" t="n">
        <v>0</v>
      </c>
      <c r="G677" s="4" t="n">
        <v>0</v>
      </c>
      <c r="H677" s="4">
        <f>IF(OR(N(F677)&gt;=0.5,G677&gt;=4),3,IF(OR(N(F677)&gt;=0.3,G677=3),2,IF(OR(N(F677)&gt;=0.1,G677&gt;=1),1,0)))</f>
        <v/>
      </c>
      <c r="I677" s="4">
        <f>CHOOSE(H677+1,"Kein Risiko","Gering","Mittel","Hoch")</f>
        <v/>
      </c>
    </row>
    <row r="678">
      <c r="A678" s="4" t="n">
        <v>674</v>
      </c>
      <c r="B678" s="4" t="inlineStr">
        <is>
          <t>house</t>
        </is>
      </c>
      <c r="C678" s="4" t="inlineStr">
        <is>
          <t>Eisenhammerweg</t>
        </is>
      </c>
      <c r="D678" s="4" t="inlineStr">
        <is>
          <t>5</t>
        </is>
      </c>
      <c r="E678" s="13" t="n">
        <v>91.59999999999999</v>
      </c>
      <c r="F678" s="12" t="n">
        <v>0.03000640869140625</v>
      </c>
      <c r="G678" s="4" t="n">
        <v>0</v>
      </c>
      <c r="H678" s="4">
        <f>IF(OR(N(F678)&gt;=0.5,G678&gt;=4),3,IF(OR(N(F678)&gt;=0.3,G678=3),2,IF(OR(N(F678)&gt;=0.1,G678&gt;=1),1,0)))</f>
        <v/>
      </c>
      <c r="I678" s="4">
        <f>CHOOSE(H678+1,"Kein Risiko","Gering","Mittel","Hoch")</f>
        <v/>
      </c>
    </row>
    <row r="679">
      <c r="A679" s="4" t="n">
        <v>675</v>
      </c>
      <c r="B679" s="4" t="inlineStr">
        <is>
          <t>semidetached_house</t>
        </is>
      </c>
      <c r="C679" s="4" t="inlineStr">
        <is>
          <t>Eisenhammerweg</t>
        </is>
      </c>
      <c r="D679" s="4" t="inlineStr">
        <is>
          <t>7</t>
        </is>
      </c>
      <c r="E679" s="13" t="n">
        <v>78.3</v>
      </c>
      <c r="F679" s="12" t="n">
        <v>0.01999664306640625</v>
      </c>
      <c r="G679" s="4" t="n">
        <v>0</v>
      </c>
      <c r="H679" s="4">
        <f>IF(OR(N(F679)&gt;=0.5,G679&gt;=4),3,IF(OR(N(F679)&gt;=0.3,G679=3),2,IF(OR(N(F679)&gt;=0.1,G679&gt;=1),1,0)))</f>
        <v/>
      </c>
      <c r="I679" s="4">
        <f>CHOOSE(H679+1,"Kein Risiko","Gering","Mittel","Hoch")</f>
        <v/>
      </c>
    </row>
    <row r="680">
      <c r="A680" s="4" t="n">
        <v>676</v>
      </c>
      <c r="B680" s="4" t="inlineStr">
        <is>
          <t>semidetached_house</t>
        </is>
      </c>
      <c r="C680" s="4" t="inlineStr">
        <is>
          <t>Eisenhammerweg</t>
        </is>
      </c>
      <c r="D680" s="4" t="inlineStr">
        <is>
          <t>9</t>
        </is>
      </c>
      <c r="E680" s="13" t="n">
        <v>65.59999999999999</v>
      </c>
      <c r="F680" s="12" t="n">
        <v>0.06999969482421875</v>
      </c>
      <c r="G680" s="4" t="n">
        <v>0</v>
      </c>
      <c r="H680" s="4">
        <f>IF(OR(N(F680)&gt;=0.5,G680&gt;=4),3,IF(OR(N(F680)&gt;=0.3,G680=3),2,IF(OR(N(F680)&gt;=0.1,G680&gt;=1),1,0)))</f>
        <v/>
      </c>
      <c r="I680" s="4">
        <f>CHOOSE(H680+1,"Kein Risiko","Gering","Mittel","Hoch")</f>
        <v/>
      </c>
    </row>
    <row r="681">
      <c r="A681" s="4" t="n">
        <v>677</v>
      </c>
      <c r="B681" s="4" t="inlineStr">
        <is>
          <t>detached</t>
        </is>
      </c>
      <c r="C681" s="4" t="inlineStr">
        <is>
          <t>Reulsbergweg</t>
        </is>
      </c>
      <c r="D681" s="4" t="inlineStr">
        <is>
          <t>11d</t>
        </is>
      </c>
      <c r="E681" s="13" t="n">
        <v>221.8</v>
      </c>
      <c r="F681" s="12" t="n">
        <v>0</v>
      </c>
      <c r="G681" s="4" t="n">
        <v>1</v>
      </c>
      <c r="H681" s="4">
        <f>IF(OR(N(F681)&gt;=0.5,G681&gt;=4),3,IF(OR(N(F681)&gt;=0.3,G681=3),2,IF(OR(N(F681)&gt;=0.1,G681&gt;=1),1,0)))</f>
        <v/>
      </c>
      <c r="I681" s="4">
        <f>CHOOSE(H681+1,"Kein Risiko","Gering","Mittel","Hoch")</f>
        <v/>
      </c>
    </row>
    <row r="682">
      <c r="A682" s="4" t="n">
        <v>678</v>
      </c>
      <c r="B682" s="4" t="inlineStr">
        <is>
          <t>yes</t>
        </is>
      </c>
      <c r="C682" s="4" t="inlineStr">
        <is>
          <t>Schliepersberg</t>
        </is>
      </c>
      <c r="D682" s="4" t="inlineStr">
        <is>
          <t>113</t>
        </is>
      </c>
      <c r="E682" s="13" t="n">
        <v>270.8</v>
      </c>
      <c r="F682" s="12" t="n">
        <v>0</v>
      </c>
      <c r="G682" s="4" t="n">
        <v>0</v>
      </c>
      <c r="H682" s="4">
        <f>IF(OR(N(F682)&gt;=0.5,G682&gt;=4),3,IF(OR(N(F682)&gt;=0.3,G682=3),2,IF(OR(N(F682)&gt;=0.1,G682&gt;=1),1,0)))</f>
        <v/>
      </c>
      <c r="I682" s="4">
        <f>CHOOSE(H682+1,"Kein Risiko","Gering","Mittel","Hoch")</f>
        <v/>
      </c>
    </row>
    <row r="683">
      <c r="A683" s="4" t="n">
        <v>679</v>
      </c>
      <c r="B683" s="4" t="inlineStr">
        <is>
          <t>yes</t>
        </is>
      </c>
      <c r="C683" s="4" t="inlineStr">
        <is>
          <t>Reulsbergweg</t>
        </is>
      </c>
      <c r="D683" s="4" t="inlineStr">
        <is>
          <t>11c</t>
        </is>
      </c>
      <c r="E683" s="13" t="n">
        <v>77</v>
      </c>
      <c r="F683" s="12" t="n">
        <v>0</v>
      </c>
      <c r="G683" s="4" t="n">
        <v>3</v>
      </c>
      <c r="H683" s="4">
        <f>IF(OR(N(F683)&gt;=0.5,G683&gt;=4),3,IF(OR(N(F683)&gt;=0.3,G683=3),2,IF(OR(N(F683)&gt;=0.1,G683&gt;=1),1,0)))</f>
        <v/>
      </c>
      <c r="I683" s="4">
        <f>CHOOSE(H683+1,"Kein Risiko","Gering","Mittel","Hoch")</f>
        <v/>
      </c>
    </row>
    <row r="684">
      <c r="A684" s="4" t="n">
        <v>680</v>
      </c>
      <c r="B684" s="4" t="inlineStr">
        <is>
          <t>yes</t>
        </is>
      </c>
      <c r="C684" s="4" t="inlineStr">
        <is>
          <t>Schliepersberg</t>
        </is>
      </c>
      <c r="D684" s="4" t="inlineStr">
        <is>
          <t>115</t>
        </is>
      </c>
      <c r="E684" s="13" t="n">
        <v>125.8</v>
      </c>
      <c r="F684" s="12" t="n">
        <v>0</v>
      </c>
      <c r="G684" s="4" t="n">
        <v>0</v>
      </c>
      <c r="H684" s="4">
        <f>IF(OR(N(F684)&gt;=0.5,G684&gt;=4),3,IF(OR(N(F684)&gt;=0.3,G684=3),2,IF(OR(N(F684)&gt;=0.1,G684&gt;=1),1,0)))</f>
        <v/>
      </c>
      <c r="I684" s="4">
        <f>CHOOSE(H684+1,"Kein Risiko","Gering","Mittel","Hoch")</f>
        <v/>
      </c>
    </row>
    <row r="685">
      <c r="A685" s="4" t="n">
        <v>681</v>
      </c>
      <c r="B685" s="4" t="inlineStr">
        <is>
          <t>yes</t>
        </is>
      </c>
      <c r="C685" s="4" t="inlineStr">
        <is>
          <t>Schliepersberg</t>
        </is>
      </c>
      <c r="D685" s="4" t="inlineStr">
        <is>
          <t>117</t>
        </is>
      </c>
      <c r="E685" s="13" t="n">
        <v>71.40000000000001</v>
      </c>
      <c r="F685" s="12" t="n">
        <v>0</v>
      </c>
      <c r="G685" s="4" t="n">
        <v>1</v>
      </c>
      <c r="H685" s="4">
        <f>IF(OR(N(F685)&gt;=0.5,G685&gt;=4),3,IF(OR(N(F685)&gt;=0.3,G685=3),2,IF(OR(N(F685)&gt;=0.1,G685&gt;=1),1,0)))</f>
        <v/>
      </c>
      <c r="I685" s="4">
        <f>CHOOSE(H685+1,"Kein Risiko","Gering","Mittel","Hoch")</f>
        <v/>
      </c>
    </row>
    <row r="686">
      <c r="A686" s="4" t="n">
        <v>682</v>
      </c>
      <c r="B686" s="4" t="inlineStr">
        <is>
          <t>house</t>
        </is>
      </c>
      <c r="C686" s="4" t="inlineStr">
        <is>
          <t>Schliepersberg</t>
        </is>
      </c>
      <c r="D686" s="4" t="inlineStr">
        <is>
          <t>114</t>
        </is>
      </c>
      <c r="E686" s="13" t="n">
        <v>100</v>
      </c>
      <c r="F686" s="12" t="n">
        <v>0</v>
      </c>
      <c r="G686" s="4" t="n">
        <v>0</v>
      </c>
      <c r="H686" s="4">
        <f>IF(OR(N(F686)&gt;=0.5,G686&gt;=4),3,IF(OR(N(F686)&gt;=0.3,G686=3),2,IF(OR(N(F686)&gt;=0.1,G686&gt;=1),1,0)))</f>
        <v/>
      </c>
      <c r="I686" s="4">
        <f>CHOOSE(H686+1,"Kein Risiko","Gering","Mittel","Hoch")</f>
        <v/>
      </c>
    </row>
    <row r="687">
      <c r="A687" s="4" t="n">
        <v>683</v>
      </c>
      <c r="B687" s="4" t="inlineStr">
        <is>
          <t>detached</t>
        </is>
      </c>
      <c r="C687" s="4" t="inlineStr">
        <is>
          <t>Reulsbergweg</t>
        </is>
      </c>
      <c r="D687" s="4" t="inlineStr">
        <is>
          <t>29</t>
        </is>
      </c>
      <c r="E687" s="13" t="n">
        <v>420.3</v>
      </c>
      <c r="F687" s="12" t="n">
        <v>0.3899993896484375</v>
      </c>
      <c r="G687" s="4" t="n">
        <v>1</v>
      </c>
      <c r="H687" s="4">
        <f>IF(OR(N(F687)&gt;=0.5,G687&gt;=4),3,IF(OR(N(F687)&gt;=0.3,G687=3),2,IF(OR(N(F687)&gt;=0.1,G687&gt;=1),1,0)))</f>
        <v/>
      </c>
      <c r="I687" s="4">
        <f>CHOOSE(H687+1,"Kein Risiko","Gering","Mittel","Hoch")</f>
        <v/>
      </c>
    </row>
    <row r="688">
      <c r="A688" s="4" t="n">
        <v>684</v>
      </c>
      <c r="B688" s="4" t="inlineStr">
        <is>
          <t>yes</t>
        </is>
      </c>
      <c r="C688" s="4" t="inlineStr">
        <is>
          <t>Reulsbergweg</t>
        </is>
      </c>
      <c r="D688" s="4" t="inlineStr">
        <is>
          <t>27</t>
        </is>
      </c>
      <c r="E688" s="13" t="n">
        <v>142.5</v>
      </c>
      <c r="F688" s="12" t="n">
        <v>0.010009765625</v>
      </c>
      <c r="G688" s="4" t="n">
        <v>0</v>
      </c>
      <c r="H688" s="4">
        <f>IF(OR(N(F688)&gt;=0.5,G688&gt;=4),3,IF(OR(N(F688)&gt;=0.3,G688=3),2,IF(OR(N(F688)&gt;=0.1,G688&gt;=1),1,0)))</f>
        <v/>
      </c>
      <c r="I688" s="4">
        <f>CHOOSE(H688+1,"Kein Risiko","Gering","Mittel","Hoch")</f>
        <v/>
      </c>
    </row>
    <row r="689">
      <c r="A689" s="4" t="n">
        <v>685</v>
      </c>
      <c r="B689" s="4" t="inlineStr">
        <is>
          <t>yes</t>
        </is>
      </c>
      <c r="C689" s="4" t="inlineStr">
        <is>
          <t>Reulsbergweg</t>
        </is>
      </c>
      <c r="D689" s="4" t="inlineStr">
        <is>
          <t>27a</t>
        </is>
      </c>
      <c r="E689" s="13" t="n">
        <v>137.9</v>
      </c>
      <c r="F689" s="12" t="n">
        <v>0.0200042724609375</v>
      </c>
      <c r="G689" s="4" t="n">
        <v>0</v>
      </c>
      <c r="H689" s="4">
        <f>IF(OR(N(F689)&gt;=0.5,G689&gt;=4),3,IF(OR(N(F689)&gt;=0.3,G689=3),2,IF(OR(N(F689)&gt;=0.1,G689&gt;=1),1,0)))</f>
        <v/>
      </c>
      <c r="I689" s="4">
        <f>CHOOSE(H689+1,"Kein Risiko","Gering","Mittel","Hoch")</f>
        <v/>
      </c>
    </row>
    <row r="690">
      <c r="A690" s="4" t="n">
        <v>686</v>
      </c>
      <c r="B690" s="4" t="inlineStr">
        <is>
          <t>yes</t>
        </is>
      </c>
      <c r="C690" s="4" t="inlineStr">
        <is>
          <t>Reulsbergweg</t>
        </is>
      </c>
      <c r="D690" s="4" t="inlineStr">
        <is>
          <t>24</t>
        </is>
      </c>
      <c r="E690" s="13" t="n">
        <v>211.9</v>
      </c>
      <c r="F690" s="12" t="n">
        <v>0</v>
      </c>
      <c r="G690" s="4" t="n">
        <v>0</v>
      </c>
      <c r="H690" s="4">
        <f>IF(OR(N(F690)&gt;=0.5,G690&gt;=4),3,IF(OR(N(F690)&gt;=0.3,G690=3),2,IF(OR(N(F690)&gt;=0.1,G690&gt;=1),1,0)))</f>
        <v/>
      </c>
      <c r="I690" s="4">
        <f>CHOOSE(H690+1,"Kein Risiko","Gering","Mittel","Hoch")</f>
        <v/>
      </c>
    </row>
    <row r="691">
      <c r="A691" s="4" t="n">
        <v>687</v>
      </c>
      <c r="B691" s="4" t="inlineStr">
        <is>
          <t>yes</t>
        </is>
      </c>
      <c r="C691" s="4" t="inlineStr">
        <is>
          <t>Reulsbergweg</t>
        </is>
      </c>
      <c r="D691" s="4" t="inlineStr">
        <is>
          <t>32a</t>
        </is>
      </c>
      <c r="E691" s="13" t="n">
        <v>83.5</v>
      </c>
      <c r="F691" s="12" t="n">
        <v>0</v>
      </c>
      <c r="G691" s="4" t="n">
        <v>0</v>
      </c>
      <c r="H691" s="4">
        <f>IF(OR(N(F691)&gt;=0.5,G691&gt;=4),3,IF(OR(N(F691)&gt;=0.3,G691=3),2,IF(OR(N(F691)&gt;=0.1,G691&gt;=1),1,0)))</f>
        <v/>
      </c>
      <c r="I691" s="4">
        <f>CHOOSE(H691+1,"Kein Risiko","Gering","Mittel","Hoch")</f>
        <v/>
      </c>
    </row>
    <row r="692">
      <c r="A692" s="4" t="n">
        <v>688</v>
      </c>
      <c r="B692" s="4" t="inlineStr">
        <is>
          <t>yes</t>
        </is>
      </c>
      <c r="C692" s="4" t="inlineStr">
        <is>
          <t>Reulsbergweg</t>
        </is>
      </c>
      <c r="D692" s="4" t="inlineStr">
        <is>
          <t>26</t>
        </is>
      </c>
      <c r="E692" s="13" t="n">
        <v>140.4</v>
      </c>
      <c r="F692" s="12" t="n">
        <v>0</v>
      </c>
      <c r="G692" s="4" t="n">
        <v>2</v>
      </c>
      <c r="H692" s="4">
        <f>IF(OR(N(F692)&gt;=0.5,G692&gt;=4),3,IF(OR(N(F692)&gt;=0.3,G692=3),2,IF(OR(N(F692)&gt;=0.1,G692&gt;=1),1,0)))</f>
        <v/>
      </c>
      <c r="I692" s="4">
        <f>CHOOSE(H692+1,"Kein Risiko","Gering","Mittel","Hoch")</f>
        <v/>
      </c>
    </row>
    <row r="693">
      <c r="A693" s="4" t="n">
        <v>689</v>
      </c>
      <c r="B693" s="4" t="inlineStr">
        <is>
          <t>yes</t>
        </is>
      </c>
      <c r="C693" s="4" t="inlineStr">
        <is>
          <t>Reulsbergweg</t>
        </is>
      </c>
      <c r="D693" s="4" t="inlineStr">
        <is>
          <t>12</t>
        </is>
      </c>
      <c r="E693" s="13" t="n">
        <v>148.4</v>
      </c>
      <c r="F693" s="12" t="n">
        <v>0</v>
      </c>
      <c r="G693" s="4" t="n">
        <v>0</v>
      </c>
      <c r="H693" s="4">
        <f>IF(OR(N(F693)&gt;=0.5,G693&gt;=4),3,IF(OR(N(F693)&gt;=0.3,G693=3),2,IF(OR(N(F693)&gt;=0.1,G693&gt;=1),1,0)))</f>
        <v/>
      </c>
      <c r="I693" s="4">
        <f>CHOOSE(H693+1,"Kein Risiko","Gering","Mittel","Hoch")</f>
        <v/>
      </c>
    </row>
    <row r="694">
      <c r="A694" s="4" t="n">
        <v>690</v>
      </c>
      <c r="B694" s="4" t="inlineStr">
        <is>
          <t>yes</t>
        </is>
      </c>
      <c r="C694" s="4" t="inlineStr">
        <is>
          <t>Reulsbergweg</t>
        </is>
      </c>
      <c r="D694" s="4" t="inlineStr">
        <is>
          <t>20a,20b,20c</t>
        </is>
      </c>
      <c r="E694" s="13" t="n">
        <v>165.2</v>
      </c>
      <c r="F694" s="12" t="n">
        <v>0</v>
      </c>
      <c r="G694" s="4" t="n">
        <v>0</v>
      </c>
      <c r="H694" s="4">
        <f>IF(OR(N(F694)&gt;=0.5,G694&gt;=4),3,IF(OR(N(F694)&gt;=0.3,G694=3),2,IF(OR(N(F694)&gt;=0.1,G694&gt;=1),1,0)))</f>
        <v/>
      </c>
      <c r="I694" s="4">
        <f>CHOOSE(H694+1,"Kein Risiko","Gering","Mittel","Hoch")</f>
        <v/>
      </c>
    </row>
    <row r="695">
      <c r="A695" s="4" t="n">
        <v>691</v>
      </c>
      <c r="B695" s="4" t="inlineStr">
        <is>
          <t>yes</t>
        </is>
      </c>
      <c r="C695" s="4" t="inlineStr">
        <is>
          <t>Reulsbergweg</t>
        </is>
      </c>
      <c r="D695" s="4" t="inlineStr">
        <is>
          <t>22a,22b,22c</t>
        </is>
      </c>
      <c r="E695" s="13" t="n">
        <v>153</v>
      </c>
      <c r="F695" s="12" t="n">
        <v>0</v>
      </c>
      <c r="G695" s="4" t="n">
        <v>0</v>
      </c>
      <c r="H695" s="4">
        <f>IF(OR(N(F695)&gt;=0.5,G695&gt;=4),3,IF(OR(N(F695)&gt;=0.3,G695=3),2,IF(OR(N(F695)&gt;=0.1,G695&gt;=1),1,0)))</f>
        <v/>
      </c>
      <c r="I695" s="4">
        <f>CHOOSE(H695+1,"Kein Risiko","Gering","Mittel","Hoch")</f>
        <v/>
      </c>
    </row>
    <row r="696">
      <c r="A696" s="4" t="n">
        <v>692</v>
      </c>
      <c r="B696" s="4" t="inlineStr">
        <is>
          <t>yes</t>
        </is>
      </c>
      <c r="C696" s="4" t="inlineStr">
        <is>
          <t>Reulsbergweg</t>
        </is>
      </c>
      <c r="D696" s="4" t="inlineStr">
        <is>
          <t>10</t>
        </is>
      </c>
      <c r="E696" s="13" t="n">
        <v>148.2</v>
      </c>
      <c r="F696" s="12" t="n">
        <v>0</v>
      </c>
      <c r="G696" s="4" t="n">
        <v>0</v>
      </c>
      <c r="H696" s="4">
        <f>IF(OR(N(F696)&gt;=0.5,G696&gt;=4),3,IF(OR(N(F696)&gt;=0.3,G696=3),2,IF(OR(N(F696)&gt;=0.1,G696&gt;=1),1,0)))</f>
        <v/>
      </c>
      <c r="I696" s="4">
        <f>CHOOSE(H696+1,"Kein Risiko","Gering","Mittel","Hoch")</f>
        <v/>
      </c>
    </row>
    <row r="697">
      <c r="A697" s="4" t="n">
        <v>693</v>
      </c>
      <c r="B697" s="4" t="inlineStr">
        <is>
          <t>detached</t>
        </is>
      </c>
      <c r="C697" s="4" t="inlineStr">
        <is>
          <t>Möllneys Nocken</t>
        </is>
      </c>
      <c r="D697" s="4" t="inlineStr">
        <is>
          <t>33,33a</t>
        </is>
      </c>
      <c r="E697" s="13" t="n">
        <v>265.3</v>
      </c>
      <c r="F697" s="12" t="n">
        <v>0.04000091552734375</v>
      </c>
      <c r="G697" s="4" t="n">
        <v>0</v>
      </c>
      <c r="H697" s="4">
        <f>IF(OR(N(F697)&gt;=0.5,G697&gt;=4),3,IF(OR(N(F697)&gt;=0.3,G697=3),2,IF(OR(N(F697)&gt;=0.1,G697&gt;=1),1,0)))</f>
        <v/>
      </c>
      <c r="I697" s="4">
        <f>CHOOSE(H697+1,"Kein Risiko","Gering","Mittel","Hoch")</f>
        <v/>
      </c>
    </row>
    <row r="698">
      <c r="A698" s="4" t="n">
        <v>694</v>
      </c>
      <c r="B698" s="4" t="inlineStr">
        <is>
          <t>detached</t>
        </is>
      </c>
      <c r="C698" s="4" t="inlineStr">
        <is>
          <t>Möllneys Nocken</t>
        </is>
      </c>
      <c r="D698" s="4" t="inlineStr">
        <is>
          <t>29</t>
        </is>
      </c>
      <c r="E698" s="13" t="n">
        <v>126.3</v>
      </c>
      <c r="F698" s="12" t="n">
        <v>0</v>
      </c>
      <c r="G698" s="4" t="n">
        <v>0</v>
      </c>
      <c r="H698" s="4">
        <f>IF(OR(N(F698)&gt;=0.5,G698&gt;=4),3,IF(OR(N(F698)&gt;=0.3,G698=3),2,IF(OR(N(F698)&gt;=0.1,G698&gt;=1),1,0)))</f>
        <v/>
      </c>
      <c r="I698" s="4">
        <f>CHOOSE(H698+1,"Kein Risiko","Gering","Mittel","Hoch")</f>
        <v/>
      </c>
    </row>
    <row r="699">
      <c r="A699" s="4" t="n">
        <v>695</v>
      </c>
      <c r="B699" s="4" t="inlineStr">
        <is>
          <t>detached</t>
        </is>
      </c>
      <c r="C699" s="4" t="inlineStr">
        <is>
          <t>Möllneys Nocken</t>
        </is>
      </c>
      <c r="D699" s="4" t="inlineStr">
        <is>
          <t>31</t>
        </is>
      </c>
      <c r="E699" s="13" t="n">
        <v>160.7</v>
      </c>
      <c r="F699" s="12" t="n">
        <v>0</v>
      </c>
      <c r="G699" s="4" t="n">
        <v>0</v>
      </c>
      <c r="H699" s="4">
        <f>IF(OR(N(F699)&gt;=0.5,G699&gt;=4),3,IF(OR(N(F699)&gt;=0.3,G699=3),2,IF(OR(N(F699)&gt;=0.1,G699&gt;=1),1,0)))</f>
        <v/>
      </c>
      <c r="I699" s="4">
        <f>CHOOSE(H699+1,"Kein Risiko","Gering","Mittel","Hoch")</f>
        <v/>
      </c>
    </row>
    <row r="700">
      <c r="A700" s="4" t="n">
        <v>696</v>
      </c>
      <c r="B700" s="4" t="inlineStr">
        <is>
          <t>yes</t>
        </is>
      </c>
      <c r="C700" s="4" t="inlineStr">
        <is>
          <t>Reulsbergweg</t>
        </is>
      </c>
      <c r="D700" s="4" t="inlineStr">
        <is>
          <t>30</t>
        </is>
      </c>
      <c r="E700" s="13" t="n">
        <v>126.5</v>
      </c>
      <c r="F700" s="12" t="n">
        <v>0</v>
      </c>
      <c r="G700" s="4" t="n">
        <v>1</v>
      </c>
      <c r="H700" s="4">
        <f>IF(OR(N(F700)&gt;=0.5,G700&gt;=4),3,IF(OR(N(F700)&gt;=0.3,G700=3),2,IF(OR(N(F700)&gt;=0.1,G700&gt;=1),1,0)))</f>
        <v/>
      </c>
      <c r="I700" s="4">
        <f>CHOOSE(H700+1,"Kein Risiko","Gering","Mittel","Hoch")</f>
        <v/>
      </c>
    </row>
    <row r="701">
      <c r="A701" s="4" t="n">
        <v>697</v>
      </c>
      <c r="B701" s="4" t="inlineStr">
        <is>
          <t>yes</t>
        </is>
      </c>
      <c r="C701" s="4" t="inlineStr">
        <is>
          <t>Reulsbergweg</t>
        </is>
      </c>
      <c r="D701" s="4" t="inlineStr">
        <is>
          <t>28</t>
        </is>
      </c>
      <c r="E701" s="13" t="n">
        <v>150.9</v>
      </c>
      <c r="F701" s="12" t="n">
        <v>0</v>
      </c>
      <c r="G701" s="4" t="n">
        <v>0</v>
      </c>
      <c r="H701" s="4">
        <f>IF(OR(N(F701)&gt;=0.5,G701&gt;=4),3,IF(OR(N(F701)&gt;=0.3,G701=3),2,IF(OR(N(F701)&gt;=0.1,G701&gt;=1),1,0)))</f>
        <v/>
      </c>
      <c r="I701" s="4">
        <f>CHOOSE(H701+1,"Kein Risiko","Gering","Mittel","Hoch")</f>
        <v/>
      </c>
    </row>
    <row r="702">
      <c r="A702" s="4" t="n">
        <v>698</v>
      </c>
      <c r="B702" s="4" t="inlineStr">
        <is>
          <t>yes</t>
        </is>
      </c>
      <c r="C702" s="4" t="inlineStr">
        <is>
          <t>Reulsbergweg</t>
        </is>
      </c>
      <c r="D702" s="4" t="inlineStr">
        <is>
          <t>8</t>
        </is>
      </c>
      <c r="E702" s="13" t="n">
        <v>99.40000000000001</v>
      </c>
      <c r="F702" s="12" t="n">
        <v>0</v>
      </c>
      <c r="G702" s="4" t="n">
        <v>0</v>
      </c>
      <c r="H702" s="4">
        <f>IF(OR(N(F702)&gt;=0.5,G702&gt;=4),3,IF(OR(N(F702)&gt;=0.3,G702=3),2,IF(OR(N(F702)&gt;=0.1,G702&gt;=1),1,0)))</f>
        <v/>
      </c>
      <c r="I702" s="4">
        <f>CHOOSE(H702+1,"Kein Risiko","Gering","Mittel","Hoch")</f>
        <v/>
      </c>
    </row>
    <row r="703">
      <c r="A703" s="4" t="n">
        <v>699</v>
      </c>
      <c r="B703" s="4" t="inlineStr">
        <is>
          <t>yes</t>
        </is>
      </c>
      <c r="C703" s="4" t="inlineStr">
        <is>
          <t>Reulsbergweg</t>
        </is>
      </c>
      <c r="D703" s="4" t="inlineStr">
        <is>
          <t>17d</t>
        </is>
      </c>
      <c r="E703" s="13" t="n">
        <v>63.4</v>
      </c>
      <c r="F703" s="12" t="n">
        <v>0</v>
      </c>
      <c r="G703" s="4" t="n">
        <v>0</v>
      </c>
      <c r="H703" s="4">
        <f>IF(OR(N(F703)&gt;=0.5,G703&gt;=4),3,IF(OR(N(F703)&gt;=0.3,G703=3),2,IF(OR(N(F703)&gt;=0.1,G703&gt;=1),1,0)))</f>
        <v/>
      </c>
      <c r="I703" s="4">
        <f>CHOOSE(H703+1,"Kein Risiko","Gering","Mittel","Hoch")</f>
        <v/>
      </c>
    </row>
    <row r="704">
      <c r="A704" s="4" t="n">
        <v>700</v>
      </c>
      <c r="B704" s="4" t="inlineStr">
        <is>
          <t>yes</t>
        </is>
      </c>
      <c r="C704" s="4" t="inlineStr">
        <is>
          <t>Reulsbergweg</t>
        </is>
      </c>
      <c r="D704" s="4" t="inlineStr">
        <is>
          <t>19</t>
        </is>
      </c>
      <c r="E704" s="13" t="n">
        <v>82</v>
      </c>
      <c r="F704" s="12" t="n">
        <v>0</v>
      </c>
      <c r="G704" s="4" t="n">
        <v>1</v>
      </c>
      <c r="H704" s="4">
        <f>IF(OR(N(F704)&gt;=0.5,G704&gt;=4),3,IF(OR(N(F704)&gt;=0.3,G704=3),2,IF(OR(N(F704)&gt;=0.1,G704&gt;=1),1,0)))</f>
        <v/>
      </c>
      <c r="I704" s="4">
        <f>CHOOSE(H704+1,"Kein Risiko","Gering","Mittel","Hoch")</f>
        <v/>
      </c>
    </row>
    <row r="705">
      <c r="A705" s="4" t="n">
        <v>701</v>
      </c>
      <c r="B705" s="4" t="inlineStr">
        <is>
          <t>yes</t>
        </is>
      </c>
      <c r="C705" s="4" t="inlineStr">
        <is>
          <t>Reulsbergweg</t>
        </is>
      </c>
      <c r="D705" s="4" t="inlineStr">
        <is>
          <t>17</t>
        </is>
      </c>
      <c r="E705" s="13" t="n">
        <v>158</v>
      </c>
      <c r="F705" s="12" t="n">
        <v>0.029998779296875</v>
      </c>
      <c r="G705" s="4" t="n">
        <v>1</v>
      </c>
      <c r="H705" s="4">
        <f>IF(OR(N(F705)&gt;=0.5,G705&gt;=4),3,IF(OR(N(F705)&gt;=0.3,G705=3),2,IF(OR(N(F705)&gt;=0.1,G705&gt;=1),1,0)))</f>
        <v/>
      </c>
      <c r="I705" s="4">
        <f>CHOOSE(H705+1,"Kein Risiko","Gering","Mittel","Hoch")</f>
        <v/>
      </c>
    </row>
    <row r="706">
      <c r="A706" s="4" t="n">
        <v>702</v>
      </c>
      <c r="B706" s="4" t="inlineStr">
        <is>
          <t>yes</t>
        </is>
      </c>
      <c r="C706" s="4" t="inlineStr">
        <is>
          <t>Reulsbergweg</t>
        </is>
      </c>
      <c r="D706" s="4" t="inlineStr">
        <is>
          <t>13a</t>
        </is>
      </c>
      <c r="E706" s="13" t="n">
        <v>242.1</v>
      </c>
      <c r="F706" s="12" t="n">
        <v>0</v>
      </c>
      <c r="G706" s="4" t="n">
        <v>0</v>
      </c>
      <c r="H706" s="4">
        <f>IF(OR(N(F706)&gt;=0.5,G706&gt;=4),3,IF(OR(N(F706)&gt;=0.3,G706=3),2,IF(OR(N(F706)&gt;=0.1,G706&gt;=1),1,0)))</f>
        <v/>
      </c>
      <c r="I706" s="4">
        <f>CHOOSE(H706+1,"Kein Risiko","Gering","Mittel","Hoch")</f>
        <v/>
      </c>
    </row>
    <row r="707">
      <c r="A707" s="4" t="n">
        <v>703</v>
      </c>
      <c r="B707" s="4" t="inlineStr">
        <is>
          <t>yes</t>
        </is>
      </c>
      <c r="C707" s="4" t="inlineStr">
        <is>
          <t>Reulsbergweg</t>
        </is>
      </c>
      <c r="D707" s="4" t="inlineStr">
        <is>
          <t>15</t>
        </is>
      </c>
      <c r="E707" s="13" t="n">
        <v>118.1</v>
      </c>
      <c r="F707" s="12" t="n">
        <v>0</v>
      </c>
      <c r="G707" s="4" t="n">
        <v>1</v>
      </c>
      <c r="H707" s="4">
        <f>IF(OR(N(F707)&gt;=0.5,G707&gt;=4),3,IF(OR(N(F707)&gt;=0.3,G707=3),2,IF(OR(N(F707)&gt;=0.1,G707&gt;=1),1,0)))</f>
        <v/>
      </c>
      <c r="I707" s="4">
        <f>CHOOSE(H707+1,"Kein Risiko","Gering","Mittel","Hoch")</f>
        <v/>
      </c>
    </row>
    <row r="708">
      <c r="A708" s="4" t="n">
        <v>704</v>
      </c>
      <c r="B708" s="4" t="inlineStr">
        <is>
          <t>yes</t>
        </is>
      </c>
      <c r="C708" s="4" t="inlineStr">
        <is>
          <t>Reulsbergweg</t>
        </is>
      </c>
      <c r="D708" s="4" t="inlineStr">
        <is>
          <t>13</t>
        </is>
      </c>
      <c r="E708" s="13" t="n">
        <v>199.2</v>
      </c>
      <c r="F708" s="12" t="n">
        <v>0.30999755859375</v>
      </c>
      <c r="G708" s="4" t="n">
        <v>0</v>
      </c>
      <c r="H708" s="4">
        <f>IF(OR(N(F708)&gt;=0.5,G708&gt;=4),3,IF(OR(N(F708)&gt;=0.3,G708=3),2,IF(OR(N(F708)&gt;=0.1,G708&gt;=1),1,0)))</f>
        <v/>
      </c>
      <c r="I708" s="4">
        <f>CHOOSE(H708+1,"Kein Risiko","Gering","Mittel","Hoch")</f>
        <v/>
      </c>
    </row>
    <row r="709">
      <c r="A709" s="4" t="n">
        <v>705</v>
      </c>
      <c r="B709" s="4" t="inlineStr">
        <is>
          <t>yes</t>
        </is>
      </c>
      <c r="C709" s="4" t="inlineStr">
        <is>
          <t>Reulsbergweg</t>
        </is>
      </c>
      <c r="D709" s="4" t="inlineStr">
        <is>
          <t>25a</t>
        </is>
      </c>
      <c r="E709" s="13" t="n">
        <v>244.8</v>
      </c>
      <c r="F709" s="12" t="n">
        <v>0.0500030517578125</v>
      </c>
      <c r="G709" s="4" t="n">
        <v>1</v>
      </c>
      <c r="H709" s="4">
        <f>IF(OR(N(F709)&gt;=0.5,G709&gt;=4),3,IF(OR(N(F709)&gt;=0.3,G709=3),2,IF(OR(N(F709)&gt;=0.1,G709&gt;=1),1,0)))</f>
        <v/>
      </c>
      <c r="I709" s="4">
        <f>CHOOSE(H709+1,"Kein Risiko","Gering","Mittel","Hoch")</f>
        <v/>
      </c>
    </row>
    <row r="710">
      <c r="A710" s="4" t="n">
        <v>706</v>
      </c>
      <c r="B710" s="4" t="inlineStr">
        <is>
          <t>yes</t>
        </is>
      </c>
      <c r="C710" s="4" t="inlineStr">
        <is>
          <t>Reulsbergweg</t>
        </is>
      </c>
      <c r="D710" s="4" t="inlineStr">
        <is>
          <t>23</t>
        </is>
      </c>
      <c r="E710" s="13" t="n">
        <v>193.4</v>
      </c>
      <c r="F710" s="12" t="n">
        <v>0</v>
      </c>
      <c r="G710" s="4" t="n">
        <v>0</v>
      </c>
      <c r="H710" s="4">
        <f>IF(OR(N(F710)&gt;=0.5,G710&gt;=4),3,IF(OR(N(F710)&gt;=0.3,G710=3),2,IF(OR(N(F710)&gt;=0.1,G710&gt;=1),1,0)))</f>
        <v/>
      </c>
      <c r="I710" s="4">
        <f>CHOOSE(H710+1,"Kein Risiko","Gering","Mittel","Hoch")</f>
        <v/>
      </c>
    </row>
    <row r="711">
      <c r="A711" s="4" t="n">
        <v>707</v>
      </c>
      <c r="B711" s="4" t="inlineStr">
        <is>
          <t>yes</t>
        </is>
      </c>
      <c r="C711" s="4" t="inlineStr">
        <is>
          <t>Reulsbergweg</t>
        </is>
      </c>
      <c r="D711" s="4" t="inlineStr">
        <is>
          <t>21a</t>
        </is>
      </c>
      <c r="E711" s="13" t="n">
        <v>120.7</v>
      </c>
      <c r="F711" s="12" t="n">
        <v>0.089996337890625</v>
      </c>
      <c r="G711" s="4" t="n">
        <v>0</v>
      </c>
      <c r="H711" s="4">
        <f>IF(OR(N(F711)&gt;=0.5,G711&gt;=4),3,IF(OR(N(F711)&gt;=0.3,G711=3),2,IF(OR(N(F711)&gt;=0.1,G711&gt;=1),1,0)))</f>
        <v/>
      </c>
      <c r="I711" s="4">
        <f>CHOOSE(H711+1,"Kein Risiko","Gering","Mittel","Hoch")</f>
        <v/>
      </c>
    </row>
    <row r="712">
      <c r="A712" s="4" t="n">
        <v>708</v>
      </c>
      <c r="B712" s="4" t="inlineStr">
        <is>
          <t>detached</t>
        </is>
      </c>
      <c r="C712" s="4" t="inlineStr">
        <is>
          <t>Reulsbergweg</t>
        </is>
      </c>
      <c r="D712" s="4" t="inlineStr">
        <is>
          <t>46</t>
        </is>
      </c>
      <c r="E712" s="13" t="n">
        <v>137.7</v>
      </c>
      <c r="F712" s="12" t="n">
        <v>0</v>
      </c>
      <c r="G712" s="4" t="n">
        <v>1</v>
      </c>
      <c r="H712" s="4">
        <f>IF(OR(N(F712)&gt;=0.5,G712&gt;=4),3,IF(OR(N(F712)&gt;=0.3,G712=3),2,IF(OR(N(F712)&gt;=0.1,G712&gt;=1),1,0)))</f>
        <v/>
      </c>
      <c r="I712" s="4">
        <f>CHOOSE(H712+1,"Kein Risiko","Gering","Mittel","Hoch")</f>
        <v/>
      </c>
    </row>
    <row r="713">
      <c r="A713" s="4" t="n">
        <v>709</v>
      </c>
      <c r="B713" s="4" t="inlineStr">
        <is>
          <t>detached</t>
        </is>
      </c>
      <c r="C713" s="4" t="inlineStr">
        <is>
          <t>Reulsbergweg</t>
        </is>
      </c>
      <c r="D713" s="4" t="inlineStr">
        <is>
          <t>88</t>
        </is>
      </c>
      <c r="E713" s="13" t="n">
        <v>105.1</v>
      </c>
      <c r="F713" s="12" t="n">
        <v>0</v>
      </c>
      <c r="G713" s="4" t="n">
        <v>0</v>
      </c>
      <c r="H713" s="4">
        <f>IF(OR(N(F713)&gt;=0.5,G713&gt;=4),3,IF(OR(N(F713)&gt;=0.3,G713=3),2,IF(OR(N(F713)&gt;=0.1,G713&gt;=1),1,0)))</f>
        <v/>
      </c>
      <c r="I713" s="4">
        <f>CHOOSE(H713+1,"Kein Risiko","Gering","Mittel","Hoch")</f>
        <v/>
      </c>
    </row>
    <row r="714">
      <c r="A714" s="4" t="n">
        <v>710</v>
      </c>
      <c r="B714" s="4" t="inlineStr">
        <is>
          <t>yes</t>
        </is>
      </c>
      <c r="C714" s="4" t="inlineStr">
        <is>
          <t>Reulsbergweg</t>
        </is>
      </c>
      <c r="D714" s="4" t="inlineStr">
        <is>
          <t>100</t>
        </is>
      </c>
      <c r="E714" s="13" t="n">
        <v>204.3</v>
      </c>
      <c r="F714" s="12" t="n">
        <v>0</v>
      </c>
      <c r="G714" s="4" t="n">
        <v>0</v>
      </c>
      <c r="H714" s="4">
        <f>IF(OR(N(F714)&gt;=0.5,G714&gt;=4),3,IF(OR(N(F714)&gt;=0.3,G714=3),2,IF(OR(N(F714)&gt;=0.1,G714&gt;=1),1,0)))</f>
        <v/>
      </c>
      <c r="I714" s="4">
        <f>CHOOSE(H714+1,"Kein Risiko","Gering","Mittel","Hoch")</f>
        <v/>
      </c>
    </row>
    <row r="715">
      <c r="A715" s="4" t="n">
        <v>711</v>
      </c>
      <c r="B715" s="4" t="inlineStr">
        <is>
          <t>yes</t>
        </is>
      </c>
      <c r="C715" s="4" t="inlineStr">
        <is>
          <t>Reulsbergweg</t>
        </is>
      </c>
      <c r="D715" s="4" t="inlineStr">
        <is>
          <t>80,82</t>
        </is>
      </c>
      <c r="E715" s="13" t="n">
        <v>191.5</v>
      </c>
      <c r="F715" s="12" t="n">
        <v>0</v>
      </c>
      <c r="G715" s="4" t="n">
        <v>0</v>
      </c>
      <c r="H715" s="4">
        <f>IF(OR(N(F715)&gt;=0.5,G715&gt;=4),3,IF(OR(N(F715)&gt;=0.3,G715=3),2,IF(OR(N(F715)&gt;=0.1,G715&gt;=1),1,0)))</f>
        <v/>
      </c>
      <c r="I715" s="4">
        <f>CHOOSE(H715+1,"Kein Risiko","Gering","Mittel","Hoch")</f>
        <v/>
      </c>
    </row>
    <row r="716">
      <c r="A716" s="4" t="n">
        <v>712</v>
      </c>
      <c r="B716" s="4" t="inlineStr">
        <is>
          <t>yes</t>
        </is>
      </c>
      <c r="C716" s="4" t="inlineStr">
        <is>
          <t>Reulsbergweg</t>
        </is>
      </c>
      <c r="D716" s="4" t="inlineStr">
        <is>
          <t>60</t>
        </is>
      </c>
      <c r="E716" s="13" t="n">
        <v>129.2</v>
      </c>
      <c r="F716" s="12" t="n">
        <v>0</v>
      </c>
      <c r="G716" s="4" t="n">
        <v>0</v>
      </c>
      <c r="H716" s="4">
        <f>IF(OR(N(F716)&gt;=0.5,G716&gt;=4),3,IF(OR(N(F716)&gt;=0.3,G716=3),2,IF(OR(N(F716)&gt;=0.1,G716&gt;=1),1,0)))</f>
        <v/>
      </c>
      <c r="I716" s="4">
        <f>CHOOSE(H716+1,"Kein Risiko","Gering","Mittel","Hoch")</f>
        <v/>
      </c>
    </row>
    <row r="717">
      <c r="A717" s="4" t="n">
        <v>713</v>
      </c>
      <c r="B717" s="4" t="inlineStr">
        <is>
          <t>detached</t>
        </is>
      </c>
      <c r="C717" s="4" t="inlineStr"/>
      <c r="D717" s="4" t="inlineStr"/>
      <c r="E717" s="13" t="n">
        <v>83.3</v>
      </c>
      <c r="F717" s="12" t="n">
        <v>0</v>
      </c>
      <c r="G717" s="4" t="n">
        <v>0</v>
      </c>
      <c r="H717" s="4">
        <f>IF(OR(N(F717)&gt;=0.5,G717&gt;=4),3,IF(OR(N(F717)&gt;=0.3,G717=3),2,IF(OR(N(F717)&gt;=0.1,G717&gt;=1),1,0)))</f>
        <v/>
      </c>
      <c r="I717" s="4">
        <f>CHOOSE(H717+1,"Kein Risiko","Gering","Mittel","Hoch")</f>
        <v/>
      </c>
    </row>
    <row r="718">
      <c r="A718" s="4" t="n">
        <v>714</v>
      </c>
      <c r="B718" s="4" t="inlineStr">
        <is>
          <t>semidetached_house</t>
        </is>
      </c>
      <c r="C718" s="4" t="inlineStr">
        <is>
          <t>Reulsbergweg</t>
        </is>
      </c>
      <c r="D718" s="4" t="inlineStr">
        <is>
          <t>41</t>
        </is>
      </c>
      <c r="E718" s="13" t="n">
        <v>187.6</v>
      </c>
      <c r="F718" s="12" t="n">
        <v>0.220001220703125</v>
      </c>
      <c r="G718" s="4" t="n">
        <v>0</v>
      </c>
      <c r="H718" s="4">
        <f>IF(OR(N(F718)&gt;=0.5,G718&gt;=4),3,IF(OR(N(F718)&gt;=0.3,G718=3),2,IF(OR(N(F718)&gt;=0.1,G718&gt;=1),1,0)))</f>
        <v/>
      </c>
      <c r="I718" s="4">
        <f>CHOOSE(H718+1,"Kein Risiko","Gering","Mittel","Hoch")</f>
        <v/>
      </c>
    </row>
    <row r="719">
      <c r="A719" s="4" t="n">
        <v>715</v>
      </c>
      <c r="B719" s="4" t="inlineStr">
        <is>
          <t>detached</t>
        </is>
      </c>
      <c r="C719" s="4" t="inlineStr">
        <is>
          <t>Reulsbergweg</t>
        </is>
      </c>
      <c r="D719" s="4" t="inlineStr">
        <is>
          <t>49</t>
        </is>
      </c>
      <c r="E719" s="13" t="n">
        <v>125.8</v>
      </c>
      <c r="F719" s="12" t="n">
        <v>0.0399932861328125</v>
      </c>
      <c r="G719" s="4" t="n">
        <v>0</v>
      </c>
      <c r="H719" s="4">
        <f>IF(OR(N(F719)&gt;=0.5,G719&gt;=4),3,IF(OR(N(F719)&gt;=0.3,G719=3),2,IF(OR(N(F719)&gt;=0.1,G719&gt;=1),1,0)))</f>
        <v/>
      </c>
      <c r="I719" s="4">
        <f>CHOOSE(H719+1,"Kein Risiko","Gering","Mittel","Hoch")</f>
        <v/>
      </c>
    </row>
    <row r="720">
      <c r="A720" s="4" t="n">
        <v>716</v>
      </c>
      <c r="B720" s="4" t="inlineStr">
        <is>
          <t>apartments</t>
        </is>
      </c>
      <c r="C720" s="4" t="inlineStr">
        <is>
          <t>Reulsbergweg</t>
        </is>
      </c>
      <c r="D720" s="4" t="inlineStr">
        <is>
          <t>51</t>
        </is>
      </c>
      <c r="E720" s="13" t="n">
        <v>93.5</v>
      </c>
      <c r="F720" s="12" t="n">
        <v>0.0399932861328125</v>
      </c>
      <c r="G720" s="4" t="n">
        <v>0</v>
      </c>
      <c r="H720" s="4">
        <f>IF(OR(N(F720)&gt;=0.5,G720&gt;=4),3,IF(OR(N(F720)&gt;=0.3,G720=3),2,IF(OR(N(F720)&gt;=0.1,G720&gt;=1),1,0)))</f>
        <v/>
      </c>
      <c r="I720" s="4">
        <f>CHOOSE(H720+1,"Kein Risiko","Gering","Mittel","Hoch")</f>
        <v/>
      </c>
    </row>
    <row r="721">
      <c r="A721" s="4" t="n">
        <v>717</v>
      </c>
      <c r="B721" s="4" t="inlineStr">
        <is>
          <t>yes</t>
        </is>
      </c>
      <c r="C721" s="4" t="inlineStr">
        <is>
          <t>Reulsbergweg</t>
        </is>
      </c>
      <c r="D721" s="4" t="inlineStr">
        <is>
          <t>55</t>
        </is>
      </c>
      <c r="E721" s="13" t="n">
        <v>91.7</v>
      </c>
      <c r="F721" s="12" t="n">
        <v>0.0200042724609375</v>
      </c>
      <c r="G721" s="4" t="n">
        <v>1</v>
      </c>
      <c r="H721" s="4">
        <f>IF(OR(N(F721)&gt;=0.5,G721&gt;=4),3,IF(OR(N(F721)&gt;=0.3,G721=3),2,IF(OR(N(F721)&gt;=0.1,G721&gt;=1),1,0)))</f>
        <v/>
      </c>
      <c r="I721" s="4">
        <f>CHOOSE(H721+1,"Kein Risiko","Gering","Mittel","Hoch")</f>
        <v/>
      </c>
    </row>
    <row r="722">
      <c r="A722" s="4" t="n">
        <v>718</v>
      </c>
      <c r="B722" s="4" t="inlineStr">
        <is>
          <t>yes</t>
        </is>
      </c>
      <c r="C722" s="4" t="inlineStr">
        <is>
          <t>Reulsbergweg</t>
        </is>
      </c>
      <c r="D722" s="4" t="inlineStr">
        <is>
          <t>59a,59b</t>
        </is>
      </c>
      <c r="E722" s="13" t="n">
        <v>179.8</v>
      </c>
      <c r="F722" s="12" t="n">
        <v>0.0399932861328125</v>
      </c>
      <c r="G722" s="4" t="n">
        <v>0</v>
      </c>
      <c r="H722" s="4">
        <f>IF(OR(N(F722)&gt;=0.5,G722&gt;=4),3,IF(OR(N(F722)&gt;=0.3,G722=3),2,IF(OR(N(F722)&gt;=0.1,G722&gt;=1),1,0)))</f>
        <v/>
      </c>
      <c r="I722" s="4">
        <f>CHOOSE(H722+1,"Kein Risiko","Gering","Mittel","Hoch")</f>
        <v/>
      </c>
    </row>
    <row r="723">
      <c r="A723" s="4" t="n">
        <v>719</v>
      </c>
      <c r="B723" s="4" t="inlineStr">
        <is>
          <t>yes</t>
        </is>
      </c>
      <c r="C723" s="4" t="inlineStr">
        <is>
          <t>Wohlgemuthweg</t>
        </is>
      </c>
      <c r="D723" s="4" t="inlineStr">
        <is>
          <t>4</t>
        </is>
      </c>
      <c r="E723" s="13" t="n">
        <v>192.5</v>
      </c>
      <c r="F723" s="12" t="n"/>
      <c r="G723" s="4" t="n">
        <v>0</v>
      </c>
      <c r="H723" s="4">
        <f>IF(OR(N(F723)&gt;=0.5,G723&gt;=4),3,IF(OR(N(F723)&gt;=0.3,G723=3),2,IF(OR(N(F723)&gt;=0.1,G723&gt;=1),1,0)))</f>
        <v/>
      </c>
      <c r="I723" s="4">
        <f>CHOOSE(H723+1,"Kein Risiko","Gering","Mittel","Hoch")</f>
        <v/>
      </c>
    </row>
    <row r="724">
      <c r="A724" s="4" t="n">
        <v>720</v>
      </c>
      <c r="B724" s="4" t="inlineStr">
        <is>
          <t>yes</t>
        </is>
      </c>
      <c r="C724" s="4" t="inlineStr">
        <is>
          <t>Wohlgemuthweg</t>
        </is>
      </c>
      <c r="D724" s="4" t="inlineStr">
        <is>
          <t>6</t>
        </is>
      </c>
      <c r="E724" s="13" t="n">
        <v>198.4</v>
      </c>
      <c r="F724" s="12" t="n">
        <v>0</v>
      </c>
      <c r="G724" s="4" t="n">
        <v>0</v>
      </c>
      <c r="H724" s="4">
        <f>IF(OR(N(F724)&gt;=0.5,G724&gt;=4),3,IF(OR(N(F724)&gt;=0.3,G724=3),2,IF(OR(N(F724)&gt;=0.1,G724&gt;=1),1,0)))</f>
        <v/>
      </c>
      <c r="I724" s="4">
        <f>CHOOSE(H724+1,"Kein Risiko","Gering","Mittel","Hoch")</f>
        <v/>
      </c>
    </row>
    <row r="725">
      <c r="A725" s="4" t="n">
        <v>721</v>
      </c>
      <c r="B725" s="4" t="inlineStr">
        <is>
          <t>yes</t>
        </is>
      </c>
      <c r="C725" s="4" t="inlineStr">
        <is>
          <t>Kupferdreher Straße</t>
        </is>
      </c>
      <c r="D725" s="4" t="inlineStr">
        <is>
          <t>28</t>
        </is>
      </c>
      <c r="E725" s="13" t="n">
        <v>203.2</v>
      </c>
      <c r="F725" s="12" t="n">
        <v>0.04999923706054688</v>
      </c>
      <c r="G725" s="4" t="n">
        <v>0</v>
      </c>
      <c r="H725" s="4">
        <f>IF(OR(N(F725)&gt;=0.5,G725&gt;=4),3,IF(OR(N(F725)&gt;=0.3,G725=3),2,IF(OR(N(F725)&gt;=0.1,G725&gt;=1),1,0)))</f>
        <v/>
      </c>
      <c r="I725" s="4">
        <f>CHOOSE(H725+1,"Kein Risiko","Gering","Mittel","Hoch")</f>
        <v/>
      </c>
    </row>
    <row r="726">
      <c r="A726" s="4" t="n">
        <v>722</v>
      </c>
      <c r="B726" s="4" t="inlineStr">
        <is>
          <t>yes</t>
        </is>
      </c>
      <c r="C726" s="4" t="inlineStr">
        <is>
          <t>Kupferdreher Straße</t>
        </is>
      </c>
      <c r="D726" s="4" t="inlineStr">
        <is>
          <t>31</t>
        </is>
      </c>
      <c r="E726" s="13" t="n">
        <v>249.5</v>
      </c>
      <c r="F726" s="12" t="n">
        <v>0</v>
      </c>
      <c r="G726" s="4" t="n">
        <v>2</v>
      </c>
      <c r="H726" s="4">
        <f>IF(OR(N(F726)&gt;=0.5,G726&gt;=4),3,IF(OR(N(F726)&gt;=0.3,G726=3),2,IF(OR(N(F726)&gt;=0.1,G726&gt;=1),1,0)))</f>
        <v/>
      </c>
      <c r="I726" s="4">
        <f>CHOOSE(H726+1,"Kein Risiko","Gering","Mittel","Hoch")</f>
        <v/>
      </c>
    </row>
    <row r="727">
      <c r="A727" s="4" t="n">
        <v>723</v>
      </c>
      <c r="B727" s="4" t="inlineStr">
        <is>
          <t>yes</t>
        </is>
      </c>
      <c r="C727" s="4" t="inlineStr">
        <is>
          <t>Kupferdreher Straße</t>
        </is>
      </c>
      <c r="D727" s="4" t="inlineStr">
        <is>
          <t>30</t>
        </is>
      </c>
      <c r="E727" s="13" t="n">
        <v>128.6</v>
      </c>
      <c r="F727" s="12" t="n">
        <v>3.289997100830078</v>
      </c>
      <c r="G727" s="4" t="n">
        <v>1</v>
      </c>
      <c r="H727" s="4">
        <f>IF(OR(N(F727)&gt;=0.5,G727&gt;=4),3,IF(OR(N(F727)&gt;=0.3,G727=3),2,IF(OR(N(F727)&gt;=0.1,G727&gt;=1),1,0)))</f>
        <v/>
      </c>
      <c r="I727" s="4">
        <f>CHOOSE(H727+1,"Kein Risiko","Gering","Mittel","Hoch")</f>
        <v/>
      </c>
    </row>
    <row r="728">
      <c r="A728" s="4" t="n">
        <v>724</v>
      </c>
      <c r="B728" s="4" t="inlineStr">
        <is>
          <t>apartments</t>
        </is>
      </c>
      <c r="C728" s="4" t="inlineStr">
        <is>
          <t>Kupferdreher Straße</t>
        </is>
      </c>
      <c r="D728" s="4" t="inlineStr">
        <is>
          <t>51</t>
        </is>
      </c>
      <c r="E728" s="13" t="n">
        <v>305.2</v>
      </c>
      <c r="F728" s="12" t="n">
        <v>0</v>
      </c>
      <c r="G728" s="4" t="n">
        <v>0</v>
      </c>
      <c r="H728" s="4">
        <f>IF(OR(N(F728)&gt;=0.5,G728&gt;=4),3,IF(OR(N(F728)&gt;=0.3,G728=3),2,IF(OR(N(F728)&gt;=0.1,G728&gt;=1),1,0)))</f>
        <v/>
      </c>
      <c r="I728" s="4">
        <f>CHOOSE(H728+1,"Kein Risiko","Gering","Mittel","Hoch")</f>
        <v/>
      </c>
    </row>
    <row r="729">
      <c r="A729" s="4" t="n">
        <v>725</v>
      </c>
      <c r="B729" s="4" t="inlineStr">
        <is>
          <t>yes</t>
        </is>
      </c>
      <c r="C729" s="4" t="inlineStr">
        <is>
          <t>Kupferdreher Straße</t>
        </is>
      </c>
      <c r="D729" s="4" t="inlineStr">
        <is>
          <t>42</t>
        </is>
      </c>
      <c r="E729" s="13" t="n">
        <v>158.8</v>
      </c>
      <c r="F729" s="12" t="n">
        <v>0</v>
      </c>
      <c r="G729" s="4" t="n">
        <v>2</v>
      </c>
      <c r="H729" s="4">
        <f>IF(OR(N(F729)&gt;=0.5,G729&gt;=4),3,IF(OR(N(F729)&gt;=0.3,G729=3),2,IF(OR(N(F729)&gt;=0.1,G729&gt;=1),1,0)))</f>
        <v/>
      </c>
      <c r="I729" s="4">
        <f>CHOOSE(H729+1,"Kein Risiko","Gering","Mittel","Hoch")</f>
        <v/>
      </c>
    </row>
    <row r="730">
      <c r="A730" s="4" t="n">
        <v>726</v>
      </c>
      <c r="B730" s="4" t="inlineStr">
        <is>
          <t>yes</t>
        </is>
      </c>
      <c r="C730" s="4" t="inlineStr">
        <is>
          <t>Kupferdreher Straße</t>
        </is>
      </c>
      <c r="D730" s="4" t="inlineStr">
        <is>
          <t>50</t>
        </is>
      </c>
      <c r="E730" s="13" t="n">
        <v>145.1</v>
      </c>
      <c r="F730" s="12" t="n">
        <v>0.029998779296875</v>
      </c>
      <c r="G730" s="4" t="n">
        <v>0</v>
      </c>
      <c r="H730" s="4">
        <f>IF(OR(N(F730)&gt;=0.5,G730&gt;=4),3,IF(OR(N(F730)&gt;=0.3,G730=3),2,IF(OR(N(F730)&gt;=0.1,G730&gt;=1),1,0)))</f>
        <v/>
      </c>
      <c r="I730" s="4">
        <f>CHOOSE(H730+1,"Kein Risiko","Gering","Mittel","Hoch")</f>
        <v/>
      </c>
    </row>
    <row r="731">
      <c r="A731" s="4" t="n">
        <v>727</v>
      </c>
      <c r="B731" s="4" t="inlineStr">
        <is>
          <t>residential</t>
        </is>
      </c>
      <c r="C731" s="4" t="inlineStr"/>
      <c r="D731" s="4" t="inlineStr"/>
      <c r="E731" s="13" t="n">
        <v>180.1</v>
      </c>
      <c r="F731" s="12" t="n">
        <v>0</v>
      </c>
      <c r="G731" s="4" t="n">
        <v>1</v>
      </c>
      <c r="H731" s="4">
        <f>IF(OR(N(F731)&gt;=0.5,G731&gt;=4),3,IF(OR(N(F731)&gt;=0.3,G731=3),2,IF(OR(N(F731)&gt;=0.1,G731&gt;=1),1,0)))</f>
        <v/>
      </c>
      <c r="I731" s="4">
        <f>CHOOSE(H731+1,"Kein Risiko","Gering","Mittel","Hoch")</f>
        <v/>
      </c>
    </row>
    <row r="732">
      <c r="A732" s="4" t="n">
        <v>728</v>
      </c>
      <c r="B732" s="4" t="inlineStr">
        <is>
          <t>yes</t>
        </is>
      </c>
      <c r="C732" s="4" t="inlineStr">
        <is>
          <t>Hinsbecker Berg</t>
        </is>
      </c>
      <c r="D732" s="4" t="inlineStr">
        <is>
          <t>9</t>
        </is>
      </c>
      <c r="E732" s="13" t="n">
        <v>160</v>
      </c>
      <c r="F732" s="12" t="n">
        <v>0.04999923706054688</v>
      </c>
      <c r="G732" s="4" t="n">
        <v>1</v>
      </c>
      <c r="H732" s="4">
        <f>IF(OR(N(F732)&gt;=0.5,G732&gt;=4),3,IF(OR(N(F732)&gt;=0.3,G732=3),2,IF(OR(N(F732)&gt;=0.1,G732&gt;=1),1,0)))</f>
        <v/>
      </c>
      <c r="I732" s="4">
        <f>CHOOSE(H732+1,"Kein Risiko","Gering","Mittel","Hoch")</f>
        <v/>
      </c>
    </row>
    <row r="733">
      <c r="A733" s="4" t="n">
        <v>729</v>
      </c>
      <c r="B733" s="4" t="inlineStr">
        <is>
          <t>yes</t>
        </is>
      </c>
      <c r="C733" s="4" t="inlineStr">
        <is>
          <t>Hinsbecker Berg</t>
        </is>
      </c>
      <c r="D733" s="4" t="inlineStr">
        <is>
          <t>5b</t>
        </is>
      </c>
      <c r="E733" s="13" t="n">
        <v>116.2</v>
      </c>
      <c r="F733" s="12" t="n">
        <v>0.5800018310546875</v>
      </c>
      <c r="G733" s="4" t="n">
        <v>2</v>
      </c>
      <c r="H733" s="4">
        <f>IF(OR(N(F733)&gt;=0.5,G733&gt;=4),3,IF(OR(N(F733)&gt;=0.3,G733=3),2,IF(OR(N(F733)&gt;=0.1,G733&gt;=1),1,0)))</f>
        <v/>
      </c>
      <c r="I733" s="4">
        <f>CHOOSE(H733+1,"Kein Risiko","Gering","Mittel","Hoch")</f>
        <v/>
      </c>
    </row>
    <row r="734">
      <c r="A734" s="4" t="n">
        <v>730</v>
      </c>
      <c r="B734" s="4" t="inlineStr">
        <is>
          <t>yes</t>
        </is>
      </c>
      <c r="C734" s="4" t="inlineStr">
        <is>
          <t>Hinsbecker Hang</t>
        </is>
      </c>
      <c r="D734" s="4" t="inlineStr">
        <is>
          <t>8</t>
        </is>
      </c>
      <c r="E734" s="13" t="n">
        <v>75.09999999999999</v>
      </c>
      <c r="F734" s="12" t="n">
        <v>0</v>
      </c>
      <c r="G734" s="4" t="n">
        <v>1</v>
      </c>
      <c r="H734" s="4">
        <f>IF(OR(N(F734)&gt;=0.5,G734&gt;=4),3,IF(OR(N(F734)&gt;=0.3,G734=3),2,IF(OR(N(F734)&gt;=0.1,G734&gt;=1),1,0)))</f>
        <v/>
      </c>
      <c r="I734" s="4">
        <f>CHOOSE(H734+1,"Kein Risiko","Gering","Mittel","Hoch")</f>
        <v/>
      </c>
    </row>
    <row r="735">
      <c r="A735" s="4" t="n">
        <v>731</v>
      </c>
      <c r="B735" s="4" t="inlineStr">
        <is>
          <t>yes</t>
        </is>
      </c>
      <c r="C735" s="4" t="inlineStr">
        <is>
          <t>Hinsbecker Hang</t>
        </is>
      </c>
      <c r="D735" s="4" t="inlineStr">
        <is>
          <t>5</t>
        </is>
      </c>
      <c r="E735" s="13" t="n">
        <v>100.5</v>
      </c>
      <c r="F735" s="12" t="n">
        <v>0</v>
      </c>
      <c r="G735" s="4" t="n">
        <v>1</v>
      </c>
      <c r="H735" s="4">
        <f>IF(OR(N(F735)&gt;=0.5,G735&gt;=4),3,IF(OR(N(F735)&gt;=0.3,G735=3),2,IF(OR(N(F735)&gt;=0.1,G735&gt;=1),1,0)))</f>
        <v/>
      </c>
      <c r="I735" s="4">
        <f>CHOOSE(H735+1,"Kein Risiko","Gering","Mittel","Hoch")</f>
        <v/>
      </c>
    </row>
    <row r="736">
      <c r="A736" s="4" t="n">
        <v>732</v>
      </c>
      <c r="B736" s="4" t="inlineStr">
        <is>
          <t>yes</t>
        </is>
      </c>
      <c r="C736" s="4" t="inlineStr">
        <is>
          <t>Wohlgemuthweg</t>
        </is>
      </c>
      <c r="D736" s="4" t="inlineStr">
        <is>
          <t>1</t>
        </is>
      </c>
      <c r="E736" s="13" t="n">
        <v>159.9</v>
      </c>
      <c r="F736" s="12" t="n"/>
      <c r="G736" s="4" t="n">
        <v>0</v>
      </c>
      <c r="H736" s="4">
        <f>IF(OR(N(F736)&gt;=0.5,G736&gt;=4),3,IF(OR(N(F736)&gt;=0.3,G736=3),2,IF(OR(N(F736)&gt;=0.1,G736&gt;=1),1,0)))</f>
        <v/>
      </c>
      <c r="I736" s="4">
        <f>CHOOSE(H736+1,"Kein Risiko","Gering","Mittel","Hoch")</f>
        <v/>
      </c>
    </row>
    <row r="737">
      <c r="A737" s="4" t="n">
        <v>733</v>
      </c>
      <c r="B737" s="4" t="inlineStr">
        <is>
          <t>yes</t>
        </is>
      </c>
      <c r="C737" s="4" t="inlineStr">
        <is>
          <t>Wohlgemuthweg</t>
        </is>
      </c>
      <c r="D737" s="4" t="inlineStr">
        <is>
          <t>5</t>
        </is>
      </c>
      <c r="E737" s="13" t="n">
        <v>161.8</v>
      </c>
      <c r="F737" s="12" t="n">
        <v>0.01999664306640625</v>
      </c>
      <c r="G737" s="4" t="n">
        <v>1</v>
      </c>
      <c r="H737" s="4">
        <f>IF(OR(N(F737)&gt;=0.5,G737&gt;=4),3,IF(OR(N(F737)&gt;=0.3,G737=3),2,IF(OR(N(F737)&gt;=0.1,G737&gt;=1),1,0)))</f>
        <v/>
      </c>
      <c r="I737" s="4">
        <f>CHOOSE(H737+1,"Kein Risiko","Gering","Mittel","Hoch")</f>
        <v/>
      </c>
    </row>
    <row r="738">
      <c r="A738" s="4" t="n">
        <v>734</v>
      </c>
      <c r="B738" s="4" t="inlineStr">
        <is>
          <t>yes</t>
        </is>
      </c>
      <c r="C738" s="4" t="inlineStr">
        <is>
          <t>Wohlgemuthweg</t>
        </is>
      </c>
      <c r="D738" s="4" t="inlineStr">
        <is>
          <t>3</t>
        </is>
      </c>
      <c r="E738" s="13" t="n">
        <v>163.6</v>
      </c>
      <c r="F738" s="12" t="n">
        <v>0.0500030517578125</v>
      </c>
      <c r="G738" s="4" t="n">
        <v>0</v>
      </c>
      <c r="H738" s="4">
        <f>IF(OR(N(F738)&gt;=0.5,G738&gt;=4),3,IF(OR(N(F738)&gt;=0.3,G738=3),2,IF(OR(N(F738)&gt;=0.1,G738&gt;=1),1,0)))</f>
        <v/>
      </c>
      <c r="I738" s="4">
        <f>CHOOSE(H738+1,"Kein Risiko","Gering","Mittel","Hoch")</f>
        <v/>
      </c>
    </row>
    <row r="739">
      <c r="A739" s="4" t="n">
        <v>735</v>
      </c>
      <c r="B739" s="4" t="inlineStr">
        <is>
          <t>yes</t>
        </is>
      </c>
      <c r="C739" s="4" t="inlineStr">
        <is>
          <t>Wohlgemuthweg</t>
        </is>
      </c>
      <c r="D739" s="4" t="inlineStr">
        <is>
          <t>7a</t>
        </is>
      </c>
      <c r="E739" s="13" t="n">
        <v>192.3</v>
      </c>
      <c r="F739" s="12" t="n">
        <v>0.19000244140625</v>
      </c>
      <c r="G739" s="4" t="n">
        <v>0</v>
      </c>
      <c r="H739" s="4">
        <f>IF(OR(N(F739)&gt;=0.5,G739&gt;=4),3,IF(OR(N(F739)&gt;=0.3,G739=3),2,IF(OR(N(F739)&gt;=0.1,G739&gt;=1),1,0)))</f>
        <v/>
      </c>
      <c r="I739" s="4">
        <f>CHOOSE(H739+1,"Kein Risiko","Gering","Mittel","Hoch")</f>
        <v/>
      </c>
    </row>
    <row r="740">
      <c r="A740" s="4" t="n">
        <v>736</v>
      </c>
      <c r="B740" s="4" t="inlineStr">
        <is>
          <t>yes</t>
        </is>
      </c>
      <c r="C740" s="4" t="inlineStr">
        <is>
          <t>Wohlgemuthweg</t>
        </is>
      </c>
      <c r="D740" s="4" t="inlineStr">
        <is>
          <t>5a</t>
        </is>
      </c>
      <c r="E740" s="13" t="n">
        <v>107.2</v>
      </c>
      <c r="F740" s="12" t="n"/>
      <c r="G740" s="4" t="n">
        <v>0</v>
      </c>
      <c r="H740" s="4">
        <f>IF(OR(N(F740)&gt;=0.5,G740&gt;=4),3,IF(OR(N(F740)&gt;=0.3,G740=3),2,IF(OR(N(F740)&gt;=0.1,G740&gt;=1),1,0)))</f>
        <v/>
      </c>
      <c r="I740" s="4">
        <f>CHOOSE(H740+1,"Kein Risiko","Gering","Mittel","Hoch")</f>
        <v/>
      </c>
    </row>
    <row r="741">
      <c r="A741" s="4" t="n">
        <v>737</v>
      </c>
      <c r="B741" s="4" t="inlineStr">
        <is>
          <t>yes</t>
        </is>
      </c>
      <c r="C741" s="4" t="inlineStr">
        <is>
          <t>Wohlgemuthweg</t>
        </is>
      </c>
      <c r="D741" s="4" t="inlineStr">
        <is>
          <t>7</t>
        </is>
      </c>
      <c r="E741" s="13" t="n">
        <v>138.2</v>
      </c>
      <c r="F741" s="12" t="n">
        <v>0</v>
      </c>
      <c r="G741" s="4" t="n">
        <v>0</v>
      </c>
      <c r="H741" s="4">
        <f>IF(OR(N(F741)&gt;=0.5,G741&gt;=4),3,IF(OR(N(F741)&gt;=0.3,G741=3),2,IF(OR(N(F741)&gt;=0.1,G741&gt;=1),1,0)))</f>
        <v/>
      </c>
      <c r="I741" s="4">
        <f>CHOOSE(H741+1,"Kein Risiko","Gering","Mittel","Hoch")</f>
        <v/>
      </c>
    </row>
    <row r="742">
      <c r="A742" s="4" t="n">
        <v>738</v>
      </c>
      <c r="B742" s="4" t="inlineStr">
        <is>
          <t>yes</t>
        </is>
      </c>
      <c r="C742" s="4" t="inlineStr">
        <is>
          <t>Wohlgemuthweg</t>
        </is>
      </c>
      <c r="D742" s="4" t="inlineStr">
        <is>
          <t>11</t>
        </is>
      </c>
      <c r="E742" s="13" t="n">
        <v>127.3</v>
      </c>
      <c r="F742" s="12" t="n">
        <v>0</v>
      </c>
      <c r="G742" s="4" t="n">
        <v>2</v>
      </c>
      <c r="H742" s="4">
        <f>IF(OR(N(F742)&gt;=0.5,G742&gt;=4),3,IF(OR(N(F742)&gt;=0.3,G742=3),2,IF(OR(N(F742)&gt;=0.1,G742&gt;=1),1,0)))</f>
        <v/>
      </c>
      <c r="I742" s="4">
        <f>CHOOSE(H742+1,"Kein Risiko","Gering","Mittel","Hoch")</f>
        <v/>
      </c>
    </row>
    <row r="743">
      <c r="A743" s="4" t="n">
        <v>739</v>
      </c>
      <c r="B743" s="4" t="inlineStr">
        <is>
          <t>yes</t>
        </is>
      </c>
      <c r="C743" s="4" t="inlineStr">
        <is>
          <t>Wohlgemuthweg</t>
        </is>
      </c>
      <c r="D743" s="4" t="inlineStr">
        <is>
          <t>9</t>
        </is>
      </c>
      <c r="E743" s="13" t="n">
        <v>133.1</v>
      </c>
      <c r="F743" s="12" t="n">
        <v>0</v>
      </c>
      <c r="G743" s="4" t="n">
        <v>1</v>
      </c>
      <c r="H743" s="4">
        <f>IF(OR(N(F743)&gt;=0.5,G743&gt;=4),3,IF(OR(N(F743)&gt;=0.3,G743=3),2,IF(OR(N(F743)&gt;=0.1,G743&gt;=1),1,0)))</f>
        <v/>
      </c>
      <c r="I743" s="4">
        <f>CHOOSE(H743+1,"Kein Risiko","Gering","Mittel","Hoch")</f>
        <v/>
      </c>
    </row>
    <row r="744">
      <c r="A744" s="4" t="n">
        <v>740</v>
      </c>
      <c r="B744" s="4" t="inlineStr">
        <is>
          <t>residential</t>
        </is>
      </c>
      <c r="C744" s="4" t="inlineStr">
        <is>
          <t>Marienbergstraße</t>
        </is>
      </c>
      <c r="D744" s="4" t="inlineStr">
        <is>
          <t>72a</t>
        </is>
      </c>
      <c r="E744" s="13" t="n">
        <v>219.9</v>
      </c>
      <c r="F744" s="12" t="n">
        <v>0.01999664306640625</v>
      </c>
      <c r="G744" s="4" t="n">
        <v>0</v>
      </c>
      <c r="H744" s="4">
        <f>IF(OR(N(F744)&gt;=0.5,G744&gt;=4),3,IF(OR(N(F744)&gt;=0.3,G744=3),2,IF(OR(N(F744)&gt;=0.1,G744&gt;=1),1,0)))</f>
        <v/>
      </c>
      <c r="I744" s="4">
        <f>CHOOSE(H744+1,"Kein Risiko","Gering","Mittel","Hoch")</f>
        <v/>
      </c>
    </row>
    <row r="745">
      <c r="A745" s="4" t="n">
        <v>741</v>
      </c>
      <c r="B745" s="4" t="inlineStr">
        <is>
          <t>detached</t>
        </is>
      </c>
      <c r="C745" s="4" t="inlineStr">
        <is>
          <t>Marienbergstraße</t>
        </is>
      </c>
      <c r="D745" s="4" t="inlineStr">
        <is>
          <t>66</t>
        </is>
      </c>
      <c r="E745" s="13" t="n">
        <v>164</v>
      </c>
      <c r="F745" s="12" t="n">
        <v>0.04999542236328125</v>
      </c>
      <c r="G745" s="4" t="n">
        <v>0</v>
      </c>
      <c r="H745" s="4">
        <f>IF(OR(N(F745)&gt;=0.5,G745&gt;=4),3,IF(OR(N(F745)&gt;=0.3,G745=3),2,IF(OR(N(F745)&gt;=0.1,G745&gt;=1),1,0)))</f>
        <v/>
      </c>
      <c r="I745" s="4">
        <f>CHOOSE(H745+1,"Kein Risiko","Gering","Mittel","Hoch")</f>
        <v/>
      </c>
    </row>
    <row r="746">
      <c r="A746" s="4" t="n">
        <v>742</v>
      </c>
      <c r="B746" s="4" t="inlineStr">
        <is>
          <t>detached</t>
        </is>
      </c>
      <c r="C746" s="4" t="inlineStr">
        <is>
          <t>Marienbergstraße</t>
        </is>
      </c>
      <c r="D746" s="4" t="inlineStr">
        <is>
          <t>68</t>
        </is>
      </c>
      <c r="E746" s="13" t="n">
        <v>173.4</v>
      </c>
      <c r="F746" s="12" t="n">
        <v>0.0200042724609375</v>
      </c>
      <c r="G746" s="4" t="n">
        <v>0</v>
      </c>
      <c r="H746" s="4">
        <f>IF(OR(N(F746)&gt;=0.5,G746&gt;=4),3,IF(OR(N(F746)&gt;=0.3,G746=3),2,IF(OR(N(F746)&gt;=0.1,G746&gt;=1),1,0)))</f>
        <v/>
      </c>
      <c r="I746" s="4">
        <f>CHOOSE(H746+1,"Kein Risiko","Gering","Mittel","Hoch")</f>
        <v/>
      </c>
    </row>
    <row r="747">
      <c r="A747" s="4" t="n">
        <v>743</v>
      </c>
      <c r="B747" s="4" t="inlineStr">
        <is>
          <t>detached</t>
        </is>
      </c>
      <c r="C747" s="4" t="inlineStr">
        <is>
          <t>Marienbergstraße</t>
        </is>
      </c>
      <c r="D747" s="4" t="inlineStr">
        <is>
          <t>70</t>
        </is>
      </c>
      <c r="E747" s="13" t="n">
        <v>125.9</v>
      </c>
      <c r="F747" s="12" t="n">
        <v>0.01999664306640625</v>
      </c>
      <c r="G747" s="4" t="n">
        <v>0</v>
      </c>
      <c r="H747" s="4">
        <f>IF(OR(N(F747)&gt;=0.5,G747&gt;=4),3,IF(OR(N(F747)&gt;=0.3,G747=3),2,IF(OR(N(F747)&gt;=0.1,G747&gt;=1),1,0)))</f>
        <v/>
      </c>
      <c r="I747" s="4">
        <f>CHOOSE(H747+1,"Kein Risiko","Gering","Mittel","Hoch")</f>
        <v/>
      </c>
    </row>
    <row r="748">
      <c r="A748" s="4" t="n">
        <v>744</v>
      </c>
      <c r="B748" s="4" t="inlineStr">
        <is>
          <t>yes</t>
        </is>
      </c>
      <c r="C748" s="4" t="inlineStr">
        <is>
          <t>Marienbergstraße</t>
        </is>
      </c>
      <c r="D748" s="4" t="inlineStr">
        <is>
          <t>67</t>
        </is>
      </c>
      <c r="E748" s="13" t="n">
        <v>65.2</v>
      </c>
      <c r="F748" s="12" t="n">
        <v>0</v>
      </c>
      <c r="G748" s="4" t="n">
        <v>0</v>
      </c>
      <c r="H748" s="4">
        <f>IF(OR(N(F748)&gt;=0.5,G748&gt;=4),3,IF(OR(N(F748)&gt;=0.3,G748=3),2,IF(OR(N(F748)&gt;=0.1,G748&gt;=1),1,0)))</f>
        <v/>
      </c>
      <c r="I748" s="4">
        <f>CHOOSE(H748+1,"Kein Risiko","Gering","Mittel","Hoch")</f>
        <v/>
      </c>
    </row>
    <row r="749">
      <c r="A749" s="4" t="n">
        <v>745</v>
      </c>
      <c r="B749" s="4" t="inlineStr">
        <is>
          <t>yes</t>
        </is>
      </c>
      <c r="C749" s="4" t="inlineStr">
        <is>
          <t>Marienbergstraße</t>
        </is>
      </c>
      <c r="D749" s="4" t="inlineStr">
        <is>
          <t>69</t>
        </is>
      </c>
      <c r="E749" s="13" t="n">
        <v>143.4</v>
      </c>
      <c r="F749" s="12" t="n">
        <v>0.7000045776367188</v>
      </c>
      <c r="G749" s="4" t="n">
        <v>0</v>
      </c>
      <c r="H749" s="4">
        <f>IF(OR(N(F749)&gt;=0.5,G749&gt;=4),3,IF(OR(N(F749)&gt;=0.3,G749=3),2,IF(OR(N(F749)&gt;=0.1,G749&gt;=1),1,0)))</f>
        <v/>
      </c>
      <c r="I749" s="4">
        <f>CHOOSE(H749+1,"Kein Risiko","Gering","Mittel","Hoch")</f>
        <v/>
      </c>
    </row>
    <row r="750">
      <c r="A750" s="4" t="n">
        <v>746</v>
      </c>
      <c r="B750" s="4" t="inlineStr">
        <is>
          <t>yes</t>
        </is>
      </c>
      <c r="C750" s="4" t="inlineStr">
        <is>
          <t>Marienbergstraße</t>
        </is>
      </c>
      <c r="D750" s="4" t="inlineStr">
        <is>
          <t>59</t>
        </is>
      </c>
      <c r="E750" s="13" t="n">
        <v>124.3</v>
      </c>
      <c r="F750" s="12" t="n">
        <v>0.01999664306640625</v>
      </c>
      <c r="G750" s="4" t="n">
        <v>0</v>
      </c>
      <c r="H750" s="4">
        <f>IF(OR(N(F750)&gt;=0.5,G750&gt;=4),3,IF(OR(N(F750)&gt;=0.3,G750=3),2,IF(OR(N(F750)&gt;=0.1,G750&gt;=1),1,0)))</f>
        <v/>
      </c>
      <c r="I750" s="4">
        <f>CHOOSE(H750+1,"Kein Risiko","Gering","Mittel","Hoch")</f>
        <v/>
      </c>
    </row>
    <row r="751">
      <c r="A751" s="4" t="n">
        <v>747</v>
      </c>
      <c r="B751" s="4" t="inlineStr">
        <is>
          <t>yes</t>
        </is>
      </c>
      <c r="C751" s="4" t="inlineStr">
        <is>
          <t>Marienbergstraße</t>
        </is>
      </c>
      <c r="D751" s="4" t="inlineStr">
        <is>
          <t>63</t>
        </is>
      </c>
      <c r="E751" s="13" t="n">
        <v>64.7</v>
      </c>
      <c r="F751" s="12" t="n">
        <v>0.0200042724609375</v>
      </c>
      <c r="G751" s="4" t="n">
        <v>0</v>
      </c>
      <c r="H751" s="4">
        <f>IF(OR(N(F751)&gt;=0.5,G751&gt;=4),3,IF(OR(N(F751)&gt;=0.3,G751=3),2,IF(OR(N(F751)&gt;=0.1,G751&gt;=1),1,0)))</f>
        <v/>
      </c>
      <c r="I751" s="4">
        <f>CHOOSE(H751+1,"Kein Risiko","Gering","Mittel","Hoch")</f>
        <v/>
      </c>
    </row>
    <row r="752">
      <c r="A752" s="4" t="n">
        <v>748</v>
      </c>
      <c r="B752" s="4" t="inlineStr">
        <is>
          <t>yes</t>
        </is>
      </c>
      <c r="C752" s="4" t="inlineStr">
        <is>
          <t>Marienbergstraße</t>
        </is>
      </c>
      <c r="D752" s="4" t="inlineStr">
        <is>
          <t>35</t>
        </is>
      </c>
      <c r="E752" s="13" t="n">
        <v>61.6</v>
      </c>
      <c r="F752" s="12" t="n">
        <v>0.05999755859375</v>
      </c>
      <c r="G752" s="4" t="n">
        <v>0</v>
      </c>
      <c r="H752" s="4">
        <f>IF(OR(N(F752)&gt;=0.5,G752&gt;=4),3,IF(OR(N(F752)&gt;=0.3,G752=3),2,IF(OR(N(F752)&gt;=0.1,G752&gt;=1),1,0)))</f>
        <v/>
      </c>
      <c r="I752" s="4">
        <f>CHOOSE(H752+1,"Kein Risiko","Gering","Mittel","Hoch")</f>
        <v/>
      </c>
    </row>
    <row r="753">
      <c r="A753" s="4" t="n">
        <v>749</v>
      </c>
      <c r="B753" s="4" t="inlineStr">
        <is>
          <t>yes</t>
        </is>
      </c>
      <c r="C753" s="4" t="inlineStr">
        <is>
          <t>Marienbergstraße</t>
        </is>
      </c>
      <c r="D753" s="4" t="inlineStr">
        <is>
          <t>43</t>
        </is>
      </c>
      <c r="E753" s="13" t="n">
        <v>56.1</v>
      </c>
      <c r="F753" s="12" t="n">
        <v>0.0200042724609375</v>
      </c>
      <c r="G753" s="4" t="n">
        <v>0</v>
      </c>
      <c r="H753" s="4">
        <f>IF(OR(N(F753)&gt;=0.5,G753&gt;=4),3,IF(OR(N(F753)&gt;=0.3,G753=3),2,IF(OR(N(F753)&gt;=0.1,G753&gt;=1),1,0)))</f>
        <v/>
      </c>
      <c r="I753" s="4">
        <f>CHOOSE(H753+1,"Kein Risiko","Gering","Mittel","Hoch")</f>
        <v/>
      </c>
    </row>
    <row r="754">
      <c r="A754" s="4" t="n">
        <v>750</v>
      </c>
      <c r="B754" s="4" t="inlineStr">
        <is>
          <t>yes</t>
        </is>
      </c>
      <c r="C754" s="4" t="inlineStr">
        <is>
          <t>Marienbergstraße</t>
        </is>
      </c>
      <c r="D754" s="4" t="inlineStr">
        <is>
          <t>55</t>
        </is>
      </c>
      <c r="E754" s="13" t="n">
        <v>136.5</v>
      </c>
      <c r="F754" s="12" t="n">
        <v>0.1500015258789062</v>
      </c>
      <c r="G754" s="4" t="n">
        <v>0</v>
      </c>
      <c r="H754" s="4">
        <f>IF(OR(N(F754)&gt;=0.5,G754&gt;=4),3,IF(OR(N(F754)&gt;=0.3,G754=3),2,IF(OR(N(F754)&gt;=0.1,G754&gt;=1),1,0)))</f>
        <v/>
      </c>
      <c r="I754" s="4">
        <f>CHOOSE(H754+1,"Kein Risiko","Gering","Mittel","Hoch")</f>
        <v/>
      </c>
    </row>
    <row r="755">
      <c r="A755" s="4" t="n">
        <v>751</v>
      </c>
      <c r="B755" s="4" t="inlineStr">
        <is>
          <t>yes</t>
        </is>
      </c>
      <c r="C755" s="4" t="inlineStr">
        <is>
          <t>Marienbergstraße</t>
        </is>
      </c>
      <c r="D755" s="4" t="inlineStr">
        <is>
          <t>39</t>
        </is>
      </c>
      <c r="E755" s="13" t="n">
        <v>98.3</v>
      </c>
      <c r="F755" s="12" t="n">
        <v>0.01000213623046875</v>
      </c>
      <c r="G755" s="4" t="n">
        <v>0</v>
      </c>
      <c r="H755" s="4">
        <f>IF(OR(N(F755)&gt;=0.5,G755&gt;=4),3,IF(OR(N(F755)&gt;=0.3,G755=3),2,IF(OR(N(F755)&gt;=0.1,G755&gt;=1),1,0)))</f>
        <v/>
      </c>
      <c r="I755" s="4">
        <f>CHOOSE(H755+1,"Kein Risiko","Gering","Mittel","Hoch")</f>
        <v/>
      </c>
    </row>
    <row r="756">
      <c r="A756" s="4" t="n">
        <v>752</v>
      </c>
      <c r="B756" s="4" t="inlineStr">
        <is>
          <t>yes</t>
        </is>
      </c>
      <c r="C756" s="4" t="inlineStr">
        <is>
          <t>Bovermanns Weg</t>
        </is>
      </c>
      <c r="D756" s="4" t="inlineStr">
        <is>
          <t>32</t>
        </is>
      </c>
      <c r="E756" s="13" t="n">
        <v>144.9</v>
      </c>
      <c r="F756" s="12" t="n">
        <v>0.5100021362304688</v>
      </c>
      <c r="G756" s="4" t="n">
        <v>1</v>
      </c>
      <c r="H756" s="4">
        <f>IF(OR(N(F756)&gt;=0.5,G756&gt;=4),3,IF(OR(N(F756)&gt;=0.3,G756=3),2,IF(OR(N(F756)&gt;=0.1,G756&gt;=1),1,0)))</f>
        <v/>
      </c>
      <c r="I756" s="4">
        <f>CHOOSE(H756+1,"Kein Risiko","Gering","Mittel","Hoch")</f>
        <v/>
      </c>
    </row>
    <row r="757">
      <c r="A757" s="4" t="n">
        <v>753</v>
      </c>
      <c r="B757" s="4" t="inlineStr">
        <is>
          <t>garages</t>
        </is>
      </c>
      <c r="C757" s="4" t="inlineStr"/>
      <c r="D757" s="4" t="inlineStr"/>
      <c r="E757" s="13" t="n">
        <v>80.2</v>
      </c>
      <c r="F757" s="12" t="n">
        <v>0.089996337890625</v>
      </c>
      <c r="G757" s="4" t="n">
        <v>0</v>
      </c>
      <c r="H757" s="4">
        <f>IF(OR(N(F757)&gt;=0.5,G757&gt;=4),3,IF(OR(N(F757)&gt;=0.3,G757=3),2,IF(OR(N(F757)&gt;=0.1,G757&gt;=1),1,0)))</f>
        <v/>
      </c>
      <c r="I757" s="4">
        <f>CHOOSE(H757+1,"Kein Risiko","Gering","Mittel","Hoch")</f>
        <v/>
      </c>
    </row>
    <row r="758">
      <c r="A758" s="4" t="n">
        <v>754</v>
      </c>
      <c r="B758" s="4" t="inlineStr">
        <is>
          <t>yes</t>
        </is>
      </c>
      <c r="C758" s="4" t="inlineStr">
        <is>
          <t>Bovermanns Weg</t>
        </is>
      </c>
      <c r="D758" s="4" t="inlineStr">
        <is>
          <t>38</t>
        </is>
      </c>
      <c r="E758" s="13" t="n">
        <v>83.2</v>
      </c>
      <c r="F758" s="12" t="n">
        <v>0.04000091552734375</v>
      </c>
      <c r="G758" s="4" t="n">
        <v>0</v>
      </c>
      <c r="H758" s="4">
        <f>IF(OR(N(F758)&gt;=0.5,G758&gt;=4),3,IF(OR(N(F758)&gt;=0.3,G758=3),2,IF(OR(N(F758)&gt;=0.1,G758&gt;=1),1,0)))</f>
        <v/>
      </c>
      <c r="I758" s="4">
        <f>CHOOSE(H758+1,"Kein Risiko","Gering","Mittel","Hoch")</f>
        <v/>
      </c>
    </row>
    <row r="759">
      <c r="A759" s="4" t="n">
        <v>755</v>
      </c>
      <c r="B759" s="4" t="inlineStr">
        <is>
          <t>yes</t>
        </is>
      </c>
      <c r="C759" s="4" t="inlineStr">
        <is>
          <t>Bovermanns Weg</t>
        </is>
      </c>
      <c r="D759" s="4" t="inlineStr">
        <is>
          <t>46</t>
        </is>
      </c>
      <c r="E759" s="13" t="n">
        <v>141.9</v>
      </c>
      <c r="F759" s="12" t="n">
        <v>0</v>
      </c>
      <c r="G759" s="4" t="n">
        <v>0</v>
      </c>
      <c r="H759" s="4">
        <f>IF(OR(N(F759)&gt;=0.5,G759&gt;=4),3,IF(OR(N(F759)&gt;=0.3,G759=3),2,IF(OR(N(F759)&gt;=0.1,G759&gt;=1),1,0)))</f>
        <v/>
      </c>
      <c r="I759" s="4">
        <f>CHOOSE(H759+1,"Kein Risiko","Gering","Mittel","Hoch")</f>
        <v/>
      </c>
    </row>
    <row r="760">
      <c r="A760" s="4" t="n">
        <v>756</v>
      </c>
      <c r="B760" s="4" t="inlineStr">
        <is>
          <t>yes</t>
        </is>
      </c>
      <c r="C760" s="4" t="inlineStr">
        <is>
          <t>Bovermanns Weg</t>
        </is>
      </c>
      <c r="D760" s="4" t="inlineStr">
        <is>
          <t>36</t>
        </is>
      </c>
      <c r="E760" s="13" t="n">
        <v>192.5</v>
      </c>
      <c r="F760" s="12" t="n">
        <v>0.09000396728515625</v>
      </c>
      <c r="G760" s="4" t="n">
        <v>0</v>
      </c>
      <c r="H760" s="4">
        <f>IF(OR(N(F760)&gt;=0.5,G760&gt;=4),3,IF(OR(N(F760)&gt;=0.3,G760=3),2,IF(OR(N(F760)&gt;=0.1,G760&gt;=1),1,0)))</f>
        <v/>
      </c>
      <c r="I760" s="4">
        <f>CHOOSE(H760+1,"Kein Risiko","Gering","Mittel","Hoch")</f>
        <v/>
      </c>
    </row>
    <row r="761">
      <c r="A761" s="4" t="n">
        <v>757</v>
      </c>
      <c r="B761" s="4" t="inlineStr">
        <is>
          <t>yes</t>
        </is>
      </c>
      <c r="C761" s="4" t="inlineStr">
        <is>
          <t>Bovermanns Weg</t>
        </is>
      </c>
      <c r="D761" s="4" t="inlineStr">
        <is>
          <t>42b</t>
        </is>
      </c>
      <c r="E761" s="13" t="n">
        <v>201.2</v>
      </c>
      <c r="F761" s="12" t="n">
        <v>0</v>
      </c>
      <c r="G761" s="4" t="n">
        <v>0</v>
      </c>
      <c r="H761" s="4">
        <f>IF(OR(N(F761)&gt;=0.5,G761&gt;=4),3,IF(OR(N(F761)&gt;=0.3,G761=3),2,IF(OR(N(F761)&gt;=0.1,G761&gt;=1),1,0)))</f>
        <v/>
      </c>
      <c r="I761" s="4">
        <f>CHOOSE(H761+1,"Kein Risiko","Gering","Mittel","Hoch")</f>
        <v/>
      </c>
    </row>
    <row r="762">
      <c r="A762" s="4" t="n">
        <v>758</v>
      </c>
      <c r="B762" s="4" t="inlineStr">
        <is>
          <t>yes</t>
        </is>
      </c>
      <c r="C762" s="4" t="inlineStr">
        <is>
          <t>Bovermanns Weg</t>
        </is>
      </c>
      <c r="D762" s="4" t="inlineStr">
        <is>
          <t>25</t>
        </is>
      </c>
      <c r="E762" s="13" t="n">
        <v>279.2</v>
      </c>
      <c r="F762" s="12" t="n">
        <v>0.1299972534179688</v>
      </c>
      <c r="G762" s="4" t="n">
        <v>0</v>
      </c>
      <c r="H762" s="4">
        <f>IF(OR(N(F762)&gt;=0.5,G762&gt;=4),3,IF(OR(N(F762)&gt;=0.3,G762=3),2,IF(OR(N(F762)&gt;=0.1,G762&gt;=1),1,0)))</f>
        <v/>
      </c>
      <c r="I762" s="4">
        <f>CHOOSE(H762+1,"Kein Risiko","Gering","Mittel","Hoch")</f>
        <v/>
      </c>
    </row>
    <row r="763">
      <c r="A763" s="4" t="n">
        <v>759</v>
      </c>
      <c r="B763" s="4" t="inlineStr">
        <is>
          <t>yes</t>
        </is>
      </c>
      <c r="C763" s="4" t="inlineStr">
        <is>
          <t>Bovermanns Weg</t>
        </is>
      </c>
      <c r="D763" s="4" t="inlineStr">
        <is>
          <t>24</t>
        </is>
      </c>
      <c r="E763" s="13" t="n">
        <v>74.3</v>
      </c>
      <c r="F763" s="12" t="n">
        <v>0</v>
      </c>
      <c r="G763" s="4" t="n">
        <v>1</v>
      </c>
      <c r="H763" s="4">
        <f>IF(OR(N(F763)&gt;=0.5,G763&gt;=4),3,IF(OR(N(F763)&gt;=0.3,G763=3),2,IF(OR(N(F763)&gt;=0.1,G763&gt;=1),1,0)))</f>
        <v/>
      </c>
      <c r="I763" s="4">
        <f>CHOOSE(H763+1,"Kein Risiko","Gering","Mittel","Hoch")</f>
        <v/>
      </c>
    </row>
    <row r="764">
      <c r="A764" s="4" t="n">
        <v>760</v>
      </c>
      <c r="B764" s="4" t="inlineStr">
        <is>
          <t>apartments</t>
        </is>
      </c>
      <c r="C764" s="4" t="inlineStr">
        <is>
          <t>Bovermanns Weg</t>
        </is>
      </c>
      <c r="D764" s="4" t="inlineStr">
        <is>
          <t>18,20</t>
        </is>
      </c>
      <c r="E764" s="13" t="n">
        <v>468.5</v>
      </c>
      <c r="F764" s="12" t="n">
        <v>0.69000244140625</v>
      </c>
      <c r="G764" s="4" t="n">
        <v>3</v>
      </c>
      <c r="H764" s="4">
        <f>IF(OR(N(F764)&gt;=0.5,G764&gt;=4),3,IF(OR(N(F764)&gt;=0.3,G764=3),2,IF(OR(N(F764)&gt;=0.1,G764&gt;=1),1,0)))</f>
        <v/>
      </c>
      <c r="I764" s="4">
        <f>CHOOSE(H764+1,"Kein Risiko","Gering","Mittel","Hoch")</f>
        <v/>
      </c>
    </row>
    <row r="765">
      <c r="A765" s="4" t="n">
        <v>761</v>
      </c>
      <c r="B765" s="4" t="inlineStr">
        <is>
          <t>yes</t>
        </is>
      </c>
      <c r="C765" s="4" t="inlineStr">
        <is>
          <t>Bovermanns Weg</t>
        </is>
      </c>
      <c r="D765" s="4" t="inlineStr">
        <is>
          <t>29a</t>
        </is>
      </c>
      <c r="E765" s="13" t="n">
        <v>62.1</v>
      </c>
      <c r="F765" s="12" t="n">
        <v>0</v>
      </c>
      <c r="G765" s="4" t="n">
        <v>0</v>
      </c>
      <c r="H765" s="4">
        <f>IF(OR(N(F765)&gt;=0.5,G765&gt;=4),3,IF(OR(N(F765)&gt;=0.3,G765=3),2,IF(OR(N(F765)&gt;=0.1,G765&gt;=1),1,0)))</f>
        <v/>
      </c>
      <c r="I765" s="4">
        <f>CHOOSE(H765+1,"Kein Risiko","Gering","Mittel","Hoch")</f>
        <v/>
      </c>
    </row>
    <row r="766">
      <c r="A766" s="4" t="n">
        <v>762</v>
      </c>
      <c r="B766" s="4" t="inlineStr">
        <is>
          <t>yes</t>
        </is>
      </c>
      <c r="C766" s="4" t="inlineStr">
        <is>
          <t>Bovermanns Weg</t>
        </is>
      </c>
      <c r="D766" s="4" t="inlineStr">
        <is>
          <t>31</t>
        </is>
      </c>
      <c r="E766" s="13" t="n">
        <v>163.2</v>
      </c>
      <c r="F766" s="12" t="n">
        <v>0.1599960327148438</v>
      </c>
      <c r="G766" s="4" t="n">
        <v>0</v>
      </c>
      <c r="H766" s="4">
        <f>IF(OR(N(F766)&gt;=0.5,G766&gt;=4),3,IF(OR(N(F766)&gt;=0.3,G766=3),2,IF(OR(N(F766)&gt;=0.1,G766&gt;=1),1,0)))</f>
        <v/>
      </c>
      <c r="I766" s="4">
        <f>CHOOSE(H766+1,"Kein Risiko","Gering","Mittel","Hoch")</f>
        <v/>
      </c>
    </row>
    <row r="767">
      <c r="A767" s="4" t="n">
        <v>763</v>
      </c>
      <c r="B767" s="4" t="inlineStr">
        <is>
          <t>yes</t>
        </is>
      </c>
      <c r="C767" s="4" t="inlineStr">
        <is>
          <t>Bovermanns Weg</t>
        </is>
      </c>
      <c r="D767" s="4" t="inlineStr">
        <is>
          <t>23</t>
        </is>
      </c>
      <c r="E767" s="13" t="n">
        <v>84.40000000000001</v>
      </c>
      <c r="F767" s="12" t="n">
        <v>0</v>
      </c>
      <c r="G767" s="4" t="n">
        <v>0</v>
      </c>
      <c r="H767" s="4">
        <f>IF(OR(N(F767)&gt;=0.5,G767&gt;=4),3,IF(OR(N(F767)&gt;=0.3,G767=3),2,IF(OR(N(F767)&gt;=0.1,G767&gt;=1),1,0)))</f>
        <v/>
      </c>
      <c r="I767" s="4">
        <f>CHOOSE(H767+1,"Kein Risiko","Gering","Mittel","Hoch")</f>
        <v/>
      </c>
    </row>
    <row r="768">
      <c r="A768" s="4" t="n">
        <v>764</v>
      </c>
      <c r="B768" s="4" t="inlineStr">
        <is>
          <t>yes</t>
        </is>
      </c>
      <c r="C768" s="4" t="inlineStr">
        <is>
          <t>Bovermanns Weg</t>
        </is>
      </c>
      <c r="D768" s="4" t="inlineStr">
        <is>
          <t>26</t>
        </is>
      </c>
      <c r="E768" s="13" t="n">
        <v>104.5</v>
      </c>
      <c r="F768" s="12" t="n">
        <v>0</v>
      </c>
      <c r="G768" s="4" t="n">
        <v>0</v>
      </c>
      <c r="H768" s="4">
        <f>IF(OR(N(F768)&gt;=0.5,G768&gt;=4),3,IF(OR(N(F768)&gt;=0.3,G768=3),2,IF(OR(N(F768)&gt;=0.1,G768&gt;=1),1,0)))</f>
        <v/>
      </c>
      <c r="I768" s="4">
        <f>CHOOSE(H768+1,"Kein Risiko","Gering","Mittel","Hoch")</f>
        <v/>
      </c>
    </row>
    <row r="769">
      <c r="A769" s="4" t="n">
        <v>765</v>
      </c>
      <c r="B769" s="4" t="inlineStr">
        <is>
          <t>yes</t>
        </is>
      </c>
      <c r="C769" s="4" t="inlineStr">
        <is>
          <t>Bovermanns Weg</t>
        </is>
      </c>
      <c r="D769" s="4" t="inlineStr">
        <is>
          <t>27b</t>
        </is>
      </c>
      <c r="E769" s="13" t="n">
        <v>78.8</v>
      </c>
      <c r="F769" s="12" t="n">
        <v>0</v>
      </c>
      <c r="G769" s="4" t="n">
        <v>0</v>
      </c>
      <c r="H769" s="4">
        <f>IF(OR(N(F769)&gt;=0.5,G769&gt;=4),3,IF(OR(N(F769)&gt;=0.3,G769=3),2,IF(OR(N(F769)&gt;=0.1,G769&gt;=1),1,0)))</f>
        <v/>
      </c>
      <c r="I769" s="4">
        <f>CHOOSE(H769+1,"Kein Risiko","Gering","Mittel","Hoch")</f>
        <v/>
      </c>
    </row>
    <row r="770">
      <c r="A770" s="4" t="n">
        <v>766</v>
      </c>
      <c r="B770" s="4" t="inlineStr">
        <is>
          <t>yes</t>
        </is>
      </c>
      <c r="C770" s="4" t="inlineStr">
        <is>
          <t>Bovermanns Weg</t>
        </is>
      </c>
      <c r="D770" s="4" t="inlineStr">
        <is>
          <t>33</t>
        </is>
      </c>
      <c r="E770" s="13" t="n">
        <v>169.7</v>
      </c>
      <c r="F770" s="12" t="n">
        <v>0</v>
      </c>
      <c r="G770" s="4" t="n">
        <v>0</v>
      </c>
      <c r="H770" s="4">
        <f>IF(OR(N(F770)&gt;=0.5,G770&gt;=4),3,IF(OR(N(F770)&gt;=0.3,G770=3),2,IF(OR(N(F770)&gt;=0.1,G770&gt;=1),1,0)))</f>
        <v/>
      </c>
      <c r="I770" s="4">
        <f>CHOOSE(H770+1,"Kein Risiko","Gering","Mittel","Hoch")</f>
        <v/>
      </c>
    </row>
    <row r="771">
      <c r="A771" s="4" t="n">
        <v>767</v>
      </c>
      <c r="B771" s="4" t="inlineStr">
        <is>
          <t>yes</t>
        </is>
      </c>
      <c r="C771" s="4" t="inlineStr">
        <is>
          <t>Marienbergstraße</t>
        </is>
      </c>
      <c r="D771" s="4" t="inlineStr">
        <is>
          <t>71</t>
        </is>
      </c>
      <c r="E771" s="13" t="n">
        <v>88.09999999999999</v>
      </c>
      <c r="F771" s="12" t="n">
        <v>0</v>
      </c>
      <c r="G771" s="4" t="n">
        <v>0</v>
      </c>
      <c r="H771" s="4">
        <f>IF(OR(N(F771)&gt;=0.5,G771&gt;=4),3,IF(OR(N(F771)&gt;=0.3,G771=3),2,IF(OR(N(F771)&gt;=0.1,G771&gt;=1),1,0)))</f>
        <v/>
      </c>
      <c r="I771" s="4">
        <f>CHOOSE(H771+1,"Kein Risiko","Gering","Mittel","Hoch")</f>
        <v/>
      </c>
    </row>
    <row r="772">
      <c r="A772" s="4" t="n">
        <v>768</v>
      </c>
      <c r="B772" s="4" t="inlineStr">
        <is>
          <t>yes</t>
        </is>
      </c>
      <c r="C772" s="4" t="inlineStr">
        <is>
          <t>Marienbergstraße</t>
        </is>
      </c>
      <c r="D772" s="4" t="inlineStr">
        <is>
          <t>73</t>
        </is>
      </c>
      <c r="E772" s="13" t="n">
        <v>113.1</v>
      </c>
      <c r="F772" s="12" t="n">
        <v>0</v>
      </c>
      <c r="G772" s="4" t="n">
        <v>0</v>
      </c>
      <c r="H772" s="4">
        <f>IF(OR(N(F772)&gt;=0.5,G772&gt;=4),3,IF(OR(N(F772)&gt;=0.3,G772=3),2,IF(OR(N(F772)&gt;=0.1,G772&gt;=1),1,0)))</f>
        <v/>
      </c>
      <c r="I772" s="4">
        <f>CHOOSE(H772+1,"Kein Risiko","Gering","Mittel","Hoch")</f>
        <v/>
      </c>
    </row>
    <row r="773">
      <c r="A773" s="4" t="n">
        <v>769</v>
      </c>
      <c r="B773" s="4" t="inlineStr">
        <is>
          <t>yes</t>
        </is>
      </c>
      <c r="C773" s="4" t="inlineStr">
        <is>
          <t>Marienbergstraße</t>
        </is>
      </c>
      <c r="D773" s="4" t="inlineStr">
        <is>
          <t>75</t>
        </is>
      </c>
      <c r="E773" s="13" t="n">
        <v>119.4</v>
      </c>
      <c r="F773" s="12" t="n">
        <v>0.9199981689453125</v>
      </c>
      <c r="G773" s="4" t="n">
        <v>0</v>
      </c>
      <c r="H773" s="4">
        <f>IF(OR(N(F773)&gt;=0.5,G773&gt;=4),3,IF(OR(N(F773)&gt;=0.3,G773=3),2,IF(OR(N(F773)&gt;=0.1,G773&gt;=1),1,0)))</f>
        <v/>
      </c>
      <c r="I773" s="4">
        <f>CHOOSE(H773+1,"Kein Risiko","Gering","Mittel","Hoch")</f>
        <v/>
      </c>
    </row>
    <row r="774">
      <c r="A774" s="4" t="n">
        <v>770</v>
      </c>
      <c r="B774" s="4" t="inlineStr">
        <is>
          <t>yes</t>
        </is>
      </c>
      <c r="C774" s="4" t="inlineStr">
        <is>
          <t>Blockstraße</t>
        </is>
      </c>
      <c r="D774" s="4" t="inlineStr">
        <is>
          <t>46</t>
        </is>
      </c>
      <c r="E774" s="13" t="n">
        <v>99.90000000000001</v>
      </c>
      <c r="F774" s="12" t="n">
        <v>0.09000396728515625</v>
      </c>
      <c r="G774" s="4" t="n">
        <v>0</v>
      </c>
      <c r="H774" s="4">
        <f>IF(OR(N(F774)&gt;=0.5,G774&gt;=4),3,IF(OR(N(F774)&gt;=0.3,G774=3),2,IF(OR(N(F774)&gt;=0.1,G774&gt;=1),1,0)))</f>
        <v/>
      </c>
      <c r="I774" s="4">
        <f>CHOOSE(H774+1,"Kein Risiko","Gering","Mittel","Hoch")</f>
        <v/>
      </c>
    </row>
    <row r="775">
      <c r="A775" s="4" t="n">
        <v>771</v>
      </c>
      <c r="B775" s="4" t="inlineStr">
        <is>
          <t>yes</t>
        </is>
      </c>
      <c r="C775" s="4" t="inlineStr">
        <is>
          <t>Blockstraße</t>
        </is>
      </c>
      <c r="D775" s="4" t="inlineStr">
        <is>
          <t>48</t>
        </is>
      </c>
      <c r="E775" s="13" t="n">
        <v>147.4</v>
      </c>
      <c r="F775" s="12" t="n">
        <v>0.0800018310546875</v>
      </c>
      <c r="G775" s="4" t="n">
        <v>0</v>
      </c>
      <c r="H775" s="4">
        <f>IF(OR(N(F775)&gt;=0.5,G775&gt;=4),3,IF(OR(N(F775)&gt;=0.3,G775=3),2,IF(OR(N(F775)&gt;=0.1,G775&gt;=1),1,0)))</f>
        <v/>
      </c>
      <c r="I775" s="4">
        <f>CHOOSE(H775+1,"Kein Risiko","Gering","Mittel","Hoch")</f>
        <v/>
      </c>
    </row>
    <row r="776">
      <c r="A776" s="4" t="n">
        <v>772</v>
      </c>
      <c r="B776" s="4" t="inlineStr">
        <is>
          <t>yes</t>
        </is>
      </c>
      <c r="C776" s="4" t="inlineStr">
        <is>
          <t>Blockstraße</t>
        </is>
      </c>
      <c r="D776" s="4" t="inlineStr">
        <is>
          <t>50</t>
        </is>
      </c>
      <c r="E776" s="13" t="n">
        <v>115.4</v>
      </c>
      <c r="F776" s="12" t="n">
        <v>0.0500030517578125</v>
      </c>
      <c r="G776" s="4" t="n">
        <v>0</v>
      </c>
      <c r="H776" s="4">
        <f>IF(OR(N(F776)&gt;=0.5,G776&gt;=4),3,IF(OR(N(F776)&gt;=0.3,G776=3),2,IF(OR(N(F776)&gt;=0.1,G776&gt;=1),1,0)))</f>
        <v/>
      </c>
      <c r="I776" s="4">
        <f>CHOOSE(H776+1,"Kein Risiko","Gering","Mittel","Hoch")</f>
        <v/>
      </c>
    </row>
    <row r="777">
      <c r="A777" s="4" t="n">
        <v>773</v>
      </c>
      <c r="B777" s="4" t="inlineStr">
        <is>
          <t>yes</t>
        </is>
      </c>
      <c r="C777" s="4" t="inlineStr">
        <is>
          <t>Blockstraße</t>
        </is>
      </c>
      <c r="D777" s="4" t="inlineStr">
        <is>
          <t>44</t>
        </is>
      </c>
      <c r="E777" s="13" t="n">
        <v>126.8</v>
      </c>
      <c r="F777" s="12" t="n">
        <v>0.0099945068359375</v>
      </c>
      <c r="G777" s="4" t="n">
        <v>0</v>
      </c>
      <c r="H777" s="4">
        <f>IF(OR(N(F777)&gt;=0.5,G777&gt;=4),3,IF(OR(N(F777)&gt;=0.3,G777=3),2,IF(OR(N(F777)&gt;=0.1,G777&gt;=1),1,0)))</f>
        <v/>
      </c>
      <c r="I777" s="4">
        <f>CHOOSE(H777+1,"Kein Risiko","Gering","Mittel","Hoch")</f>
        <v/>
      </c>
    </row>
    <row r="778">
      <c r="A778" s="4" t="n">
        <v>774</v>
      </c>
      <c r="B778" s="4" t="inlineStr">
        <is>
          <t>yes</t>
        </is>
      </c>
      <c r="C778" s="4" t="inlineStr">
        <is>
          <t>Blockstraße</t>
        </is>
      </c>
      <c r="D778" s="4" t="inlineStr">
        <is>
          <t>42</t>
        </is>
      </c>
      <c r="E778" s="13" t="n">
        <v>234.9</v>
      </c>
      <c r="F778" s="12" t="n">
        <v>0</v>
      </c>
      <c r="G778" s="4" t="n">
        <v>0</v>
      </c>
      <c r="H778" s="4">
        <f>IF(OR(N(F778)&gt;=0.5,G778&gt;=4),3,IF(OR(N(F778)&gt;=0.3,G778=3),2,IF(OR(N(F778)&gt;=0.1,G778&gt;=1),1,0)))</f>
        <v/>
      </c>
      <c r="I778" s="4">
        <f>CHOOSE(H778+1,"Kein Risiko","Gering","Mittel","Hoch")</f>
        <v/>
      </c>
    </row>
    <row r="779">
      <c r="A779" s="4" t="n">
        <v>775</v>
      </c>
      <c r="B779" s="4" t="inlineStr">
        <is>
          <t>yes</t>
        </is>
      </c>
      <c r="C779" s="4" t="inlineStr">
        <is>
          <t>Blockstraße</t>
        </is>
      </c>
      <c r="D779" s="4" t="inlineStr">
        <is>
          <t>39</t>
        </is>
      </c>
      <c r="E779" s="13" t="n">
        <v>349</v>
      </c>
      <c r="F779" s="12" t="n">
        <v>0.05999755859375</v>
      </c>
      <c r="G779" s="4" t="n">
        <v>0</v>
      </c>
      <c r="H779" s="4">
        <f>IF(OR(N(F779)&gt;=0.5,G779&gt;=4),3,IF(OR(N(F779)&gt;=0.3,G779=3),2,IF(OR(N(F779)&gt;=0.1,G779&gt;=1),1,0)))</f>
        <v/>
      </c>
      <c r="I779" s="4">
        <f>CHOOSE(H779+1,"Kein Risiko","Gering","Mittel","Hoch")</f>
        <v/>
      </c>
    </row>
    <row r="780">
      <c r="A780" s="4" t="n">
        <v>776</v>
      </c>
      <c r="B780" s="4" t="inlineStr">
        <is>
          <t>yes</t>
        </is>
      </c>
      <c r="C780" s="4" t="inlineStr">
        <is>
          <t>Blockstraße</t>
        </is>
      </c>
      <c r="D780" s="4" t="inlineStr">
        <is>
          <t>32</t>
        </is>
      </c>
      <c r="E780" s="13" t="n">
        <v>242.9</v>
      </c>
      <c r="F780" s="12" t="n">
        <v>0.0099945068359375</v>
      </c>
      <c r="G780" s="4" t="n">
        <v>0</v>
      </c>
      <c r="H780" s="4">
        <f>IF(OR(N(F780)&gt;=0.5,G780&gt;=4),3,IF(OR(N(F780)&gt;=0.3,G780=3),2,IF(OR(N(F780)&gt;=0.1,G780&gt;=1),1,0)))</f>
        <v/>
      </c>
      <c r="I780" s="4">
        <f>CHOOSE(H780+1,"Kein Risiko","Gering","Mittel","Hoch")</f>
        <v/>
      </c>
    </row>
    <row r="781">
      <c r="A781" s="4" t="n">
        <v>777</v>
      </c>
      <c r="B781" s="4" t="inlineStr">
        <is>
          <t>yes</t>
        </is>
      </c>
      <c r="C781" s="4" t="inlineStr">
        <is>
          <t>Blockstraße</t>
        </is>
      </c>
      <c r="D781" s="4" t="inlineStr">
        <is>
          <t>30</t>
        </is>
      </c>
      <c r="E781" s="13" t="n">
        <v>194.6</v>
      </c>
      <c r="F781" s="12" t="n">
        <v>0.0200042724609375</v>
      </c>
      <c r="G781" s="4" t="n">
        <v>0</v>
      </c>
      <c r="H781" s="4">
        <f>IF(OR(N(F781)&gt;=0.5,G781&gt;=4),3,IF(OR(N(F781)&gt;=0.3,G781=3),2,IF(OR(N(F781)&gt;=0.1,G781&gt;=1),1,0)))</f>
        <v/>
      </c>
      <c r="I781" s="4">
        <f>CHOOSE(H781+1,"Kein Risiko","Gering","Mittel","Hoch")</f>
        <v/>
      </c>
    </row>
    <row r="782">
      <c r="A782" s="4" t="n">
        <v>778</v>
      </c>
      <c r="B782" s="4" t="inlineStr">
        <is>
          <t>yes</t>
        </is>
      </c>
      <c r="C782" s="4" t="inlineStr">
        <is>
          <t>Blockstraße</t>
        </is>
      </c>
      <c r="D782" s="4" t="inlineStr">
        <is>
          <t>33</t>
        </is>
      </c>
      <c r="E782" s="13" t="n">
        <v>200.2</v>
      </c>
      <c r="F782" s="12" t="n">
        <v>0.01000213623046875</v>
      </c>
      <c r="G782" s="4" t="n">
        <v>0</v>
      </c>
      <c r="H782" s="4">
        <f>IF(OR(N(F782)&gt;=0.5,G782&gt;=4),3,IF(OR(N(F782)&gt;=0.3,G782=3),2,IF(OR(N(F782)&gt;=0.1,G782&gt;=1),1,0)))</f>
        <v/>
      </c>
      <c r="I782" s="4">
        <f>CHOOSE(H782+1,"Kein Risiko","Gering","Mittel","Hoch")</f>
        <v/>
      </c>
    </row>
    <row r="783">
      <c r="A783" s="4" t="n">
        <v>779</v>
      </c>
      <c r="B783" s="4" t="inlineStr">
        <is>
          <t>yes</t>
        </is>
      </c>
      <c r="C783" s="4" t="inlineStr">
        <is>
          <t>Blockstraße</t>
        </is>
      </c>
      <c r="D783" s="4" t="inlineStr">
        <is>
          <t>29</t>
        </is>
      </c>
      <c r="E783" s="13" t="n">
        <v>192.9</v>
      </c>
      <c r="F783" s="12" t="n">
        <v>0.01999664306640625</v>
      </c>
      <c r="G783" s="4" t="n">
        <v>0</v>
      </c>
      <c r="H783" s="4">
        <f>IF(OR(N(F783)&gt;=0.5,G783&gt;=4),3,IF(OR(N(F783)&gt;=0.3,G783=3),2,IF(OR(N(F783)&gt;=0.1,G783&gt;=1),1,0)))</f>
        <v/>
      </c>
      <c r="I783" s="4">
        <f>CHOOSE(H783+1,"Kein Risiko","Gering","Mittel","Hoch")</f>
        <v/>
      </c>
    </row>
    <row r="784">
      <c r="A784" s="4" t="n">
        <v>780</v>
      </c>
      <c r="B784" s="4" t="inlineStr">
        <is>
          <t>yes</t>
        </is>
      </c>
      <c r="C784" s="4" t="inlineStr">
        <is>
          <t>Blockstraße</t>
        </is>
      </c>
      <c r="D784" s="4" t="inlineStr">
        <is>
          <t>19</t>
        </is>
      </c>
      <c r="E784" s="13" t="n">
        <v>68.09999999999999</v>
      </c>
      <c r="F784" s="12" t="n">
        <v>0.3799972534179688</v>
      </c>
      <c r="G784" s="4" t="n">
        <v>3</v>
      </c>
      <c r="H784" s="4">
        <f>IF(OR(N(F784)&gt;=0.5,G784&gt;=4),3,IF(OR(N(F784)&gt;=0.3,G784=3),2,IF(OR(N(F784)&gt;=0.1,G784&gt;=1),1,0)))</f>
        <v/>
      </c>
      <c r="I784" s="4">
        <f>CHOOSE(H784+1,"Kein Risiko","Gering","Mittel","Hoch")</f>
        <v/>
      </c>
    </row>
    <row r="785">
      <c r="A785" s="4" t="n">
        <v>781</v>
      </c>
      <c r="B785" s="4" t="inlineStr">
        <is>
          <t>yes</t>
        </is>
      </c>
      <c r="C785" s="4" t="inlineStr">
        <is>
          <t>Blockstraße</t>
        </is>
      </c>
      <c r="D785" s="4" t="inlineStr">
        <is>
          <t>11</t>
        </is>
      </c>
      <c r="E785" s="13" t="n">
        <v>68.2</v>
      </c>
      <c r="F785" s="12" t="n">
        <v>0</v>
      </c>
      <c r="G785" s="4" t="n">
        <v>0</v>
      </c>
      <c r="H785" s="4">
        <f>IF(OR(N(F785)&gt;=0.5,G785&gt;=4),3,IF(OR(N(F785)&gt;=0.3,G785=3),2,IF(OR(N(F785)&gt;=0.1,G785&gt;=1),1,0)))</f>
        <v/>
      </c>
      <c r="I785" s="4">
        <f>CHOOSE(H785+1,"Kein Risiko","Gering","Mittel","Hoch")</f>
        <v/>
      </c>
    </row>
    <row r="786">
      <c r="A786" s="4" t="n">
        <v>782</v>
      </c>
      <c r="B786" s="4" t="inlineStr">
        <is>
          <t>yes</t>
        </is>
      </c>
      <c r="C786" s="4" t="inlineStr">
        <is>
          <t>Blockstraße</t>
        </is>
      </c>
      <c r="D786" s="4" t="inlineStr">
        <is>
          <t>25</t>
        </is>
      </c>
      <c r="E786" s="13" t="n">
        <v>86.90000000000001</v>
      </c>
      <c r="F786" s="12" t="n">
        <v>0</v>
      </c>
      <c r="G786" s="4" t="n">
        <v>0</v>
      </c>
      <c r="H786" s="4">
        <f>IF(OR(N(F786)&gt;=0.5,G786&gt;=4),3,IF(OR(N(F786)&gt;=0.3,G786=3),2,IF(OR(N(F786)&gt;=0.1,G786&gt;=1),1,0)))</f>
        <v/>
      </c>
      <c r="I786" s="4">
        <f>CHOOSE(H786+1,"Kein Risiko","Gering","Mittel","Hoch")</f>
        <v/>
      </c>
    </row>
    <row r="787">
      <c r="A787" s="4" t="n">
        <v>783</v>
      </c>
      <c r="B787" s="4" t="inlineStr">
        <is>
          <t>yes</t>
        </is>
      </c>
      <c r="C787" s="4" t="inlineStr">
        <is>
          <t>Blockstraße</t>
        </is>
      </c>
      <c r="D787" s="4" t="inlineStr">
        <is>
          <t>12</t>
        </is>
      </c>
      <c r="E787" s="13" t="n">
        <v>47.6</v>
      </c>
      <c r="F787" s="12" t="n">
        <v>1.419998168945312</v>
      </c>
      <c r="G787" s="4" t="n">
        <v>1</v>
      </c>
      <c r="H787" s="4">
        <f>IF(OR(N(F787)&gt;=0.5,G787&gt;=4),3,IF(OR(N(F787)&gt;=0.3,G787=3),2,IF(OR(N(F787)&gt;=0.1,G787&gt;=1),1,0)))</f>
        <v/>
      </c>
      <c r="I787" s="4">
        <f>CHOOSE(H787+1,"Kein Risiko","Gering","Mittel","Hoch")</f>
        <v/>
      </c>
    </row>
    <row r="788">
      <c r="A788" s="4" t="n">
        <v>784</v>
      </c>
      <c r="B788" s="4" t="inlineStr">
        <is>
          <t>yes</t>
        </is>
      </c>
      <c r="C788" s="4" t="inlineStr">
        <is>
          <t>Byfanger Straße</t>
        </is>
      </c>
      <c r="D788" s="4" t="inlineStr">
        <is>
          <t>149</t>
        </is>
      </c>
      <c r="E788" s="13" t="n">
        <v>66.5</v>
      </c>
      <c r="F788" s="12" t="n">
        <v>0</v>
      </c>
      <c r="G788" s="4" t="n">
        <v>0</v>
      </c>
      <c r="H788" s="4">
        <f>IF(OR(N(F788)&gt;=0.5,G788&gt;=4),3,IF(OR(N(F788)&gt;=0.3,G788=3),2,IF(OR(N(F788)&gt;=0.1,G788&gt;=1),1,0)))</f>
        <v/>
      </c>
      <c r="I788" s="4">
        <f>CHOOSE(H788+1,"Kein Risiko","Gering","Mittel","Hoch")</f>
        <v/>
      </c>
    </row>
    <row r="789">
      <c r="A789" s="4" t="n">
        <v>785</v>
      </c>
      <c r="B789" s="4" t="inlineStr">
        <is>
          <t>yes</t>
        </is>
      </c>
      <c r="C789" s="4" t="inlineStr">
        <is>
          <t>Blockstraße</t>
        </is>
      </c>
      <c r="D789" s="4" t="inlineStr">
        <is>
          <t>4</t>
        </is>
      </c>
      <c r="E789" s="13" t="n">
        <v>58.8</v>
      </c>
      <c r="F789" s="12" t="n">
        <v>0</v>
      </c>
      <c r="G789" s="4" t="n">
        <v>0</v>
      </c>
      <c r="H789" s="4">
        <f>IF(OR(N(F789)&gt;=0.5,G789&gt;=4),3,IF(OR(N(F789)&gt;=0.3,G789=3),2,IF(OR(N(F789)&gt;=0.1,G789&gt;=1),1,0)))</f>
        <v/>
      </c>
      <c r="I789" s="4">
        <f>CHOOSE(H789+1,"Kein Risiko","Gering","Mittel","Hoch")</f>
        <v/>
      </c>
    </row>
    <row r="790">
      <c r="A790" s="4" t="n">
        <v>786</v>
      </c>
      <c r="B790" s="4" t="inlineStr">
        <is>
          <t>yes</t>
        </is>
      </c>
      <c r="C790" s="4" t="inlineStr">
        <is>
          <t>Blockstraße</t>
        </is>
      </c>
      <c r="D790" s="4" t="inlineStr">
        <is>
          <t>3</t>
        </is>
      </c>
      <c r="E790" s="13" t="n">
        <v>91.2</v>
      </c>
      <c r="F790" s="12" t="n">
        <v>0</v>
      </c>
      <c r="G790" s="4" t="n">
        <v>0</v>
      </c>
      <c r="H790" s="4">
        <f>IF(OR(N(F790)&gt;=0.5,G790&gt;=4),3,IF(OR(N(F790)&gt;=0.3,G790=3),2,IF(OR(N(F790)&gt;=0.1,G790&gt;=1),1,0)))</f>
        <v/>
      </c>
      <c r="I790" s="4">
        <f>CHOOSE(H790+1,"Kein Risiko","Gering","Mittel","Hoch")</f>
        <v/>
      </c>
    </row>
    <row r="791">
      <c r="A791" s="4" t="n">
        <v>787</v>
      </c>
      <c r="B791" s="4" t="inlineStr">
        <is>
          <t>semidetached_house</t>
        </is>
      </c>
      <c r="C791" s="4" t="inlineStr">
        <is>
          <t>Marienbergstraße</t>
        </is>
      </c>
      <c r="D791" s="4" t="inlineStr">
        <is>
          <t>23</t>
        </is>
      </c>
      <c r="E791" s="13" t="n">
        <v>61.3</v>
      </c>
      <c r="F791" s="12" t="n">
        <v>0.0200042724609375</v>
      </c>
      <c r="G791" s="4" t="n">
        <v>2</v>
      </c>
      <c r="H791" s="4">
        <f>IF(OR(N(F791)&gt;=0.5,G791&gt;=4),3,IF(OR(N(F791)&gt;=0.3,G791=3),2,IF(OR(N(F791)&gt;=0.1,G791&gt;=1),1,0)))</f>
        <v/>
      </c>
      <c r="I791" s="4">
        <f>CHOOSE(H791+1,"Kein Risiko","Gering","Mittel","Hoch")</f>
        <v/>
      </c>
    </row>
    <row r="792">
      <c r="A792" s="4" t="n">
        <v>788</v>
      </c>
      <c r="B792" s="4" t="inlineStr">
        <is>
          <t>semidetached_house</t>
        </is>
      </c>
      <c r="C792" s="4" t="inlineStr">
        <is>
          <t>Marienbergstraße</t>
        </is>
      </c>
      <c r="D792" s="4" t="inlineStr">
        <is>
          <t>11</t>
        </is>
      </c>
      <c r="E792" s="13" t="n">
        <v>57.7</v>
      </c>
      <c r="F792" s="12" t="n">
        <v>0</v>
      </c>
      <c r="G792" s="4" t="n">
        <v>0</v>
      </c>
      <c r="H792" s="4">
        <f>IF(OR(N(F792)&gt;=0.5,G792&gt;=4),3,IF(OR(N(F792)&gt;=0.3,G792=3),2,IF(OR(N(F792)&gt;=0.1,G792&gt;=1),1,0)))</f>
        <v/>
      </c>
      <c r="I792" s="4">
        <f>CHOOSE(H792+1,"Kein Risiko","Gering","Mittel","Hoch")</f>
        <v/>
      </c>
    </row>
    <row r="793">
      <c r="A793" s="4" t="n">
        <v>789</v>
      </c>
      <c r="B793" s="4" t="inlineStr">
        <is>
          <t>yes</t>
        </is>
      </c>
      <c r="C793" s="4" t="inlineStr">
        <is>
          <t>Byfanger Straße</t>
        </is>
      </c>
      <c r="D793" s="4" t="inlineStr">
        <is>
          <t>159</t>
        </is>
      </c>
      <c r="E793" s="13" t="n">
        <v>87.40000000000001</v>
      </c>
      <c r="F793" s="12" t="n">
        <v>0</v>
      </c>
      <c r="G793" s="4" t="n">
        <v>0</v>
      </c>
      <c r="H793" s="4">
        <f>IF(OR(N(F793)&gt;=0.5,G793&gt;=4),3,IF(OR(N(F793)&gt;=0.3,G793=3),2,IF(OR(N(F793)&gt;=0.1,G793&gt;=1),1,0)))</f>
        <v/>
      </c>
      <c r="I793" s="4">
        <f>CHOOSE(H793+1,"Kein Risiko","Gering","Mittel","Hoch")</f>
        <v/>
      </c>
    </row>
    <row r="794">
      <c r="A794" s="4" t="n">
        <v>790</v>
      </c>
      <c r="B794" s="4" t="inlineStr">
        <is>
          <t>semidetached_house</t>
        </is>
      </c>
      <c r="C794" s="4" t="inlineStr">
        <is>
          <t>Marienbergstraße</t>
        </is>
      </c>
      <c r="D794" s="4" t="inlineStr">
        <is>
          <t>7</t>
        </is>
      </c>
      <c r="E794" s="13" t="n">
        <v>78.2</v>
      </c>
      <c r="F794" s="12" t="n">
        <v>0</v>
      </c>
      <c r="G794" s="4" t="n">
        <v>0</v>
      </c>
      <c r="H794" s="4">
        <f>IF(OR(N(F794)&gt;=0.5,G794&gt;=4),3,IF(OR(N(F794)&gt;=0.3,G794=3),2,IF(OR(N(F794)&gt;=0.1,G794&gt;=1),1,0)))</f>
        <v/>
      </c>
      <c r="I794" s="4">
        <f>CHOOSE(H794+1,"Kein Risiko","Gering","Mittel","Hoch")</f>
        <v/>
      </c>
    </row>
    <row r="795">
      <c r="A795" s="4" t="n">
        <v>791</v>
      </c>
      <c r="B795" s="4" t="inlineStr">
        <is>
          <t>yes</t>
        </is>
      </c>
      <c r="C795" s="4" t="inlineStr">
        <is>
          <t>Marienbergstraße</t>
        </is>
      </c>
      <c r="D795" s="4" t="inlineStr">
        <is>
          <t>15</t>
        </is>
      </c>
      <c r="E795" s="13" t="n">
        <v>94.90000000000001</v>
      </c>
      <c r="F795" s="12" t="n">
        <v>0</v>
      </c>
      <c r="G795" s="4" t="n">
        <v>0</v>
      </c>
      <c r="H795" s="4">
        <f>IF(OR(N(F795)&gt;=0.5,G795&gt;=4),3,IF(OR(N(F795)&gt;=0.3,G795=3),2,IF(OR(N(F795)&gt;=0.1,G795&gt;=1),1,0)))</f>
        <v/>
      </c>
      <c r="I795" s="4">
        <f>CHOOSE(H795+1,"Kein Risiko","Gering","Mittel","Hoch")</f>
        <v/>
      </c>
    </row>
    <row r="796">
      <c r="A796" s="4" t="n">
        <v>792</v>
      </c>
      <c r="B796" s="4" t="inlineStr">
        <is>
          <t>yes</t>
        </is>
      </c>
      <c r="C796" s="4" t="inlineStr">
        <is>
          <t>Marienbergstraße</t>
        </is>
      </c>
      <c r="D796" s="4" t="inlineStr">
        <is>
          <t>27</t>
        </is>
      </c>
      <c r="E796" s="13" t="n">
        <v>109.1</v>
      </c>
      <c r="F796" s="12" t="n">
        <v>0.06000518798828125</v>
      </c>
      <c r="G796" s="4" t="n">
        <v>0</v>
      </c>
      <c r="H796" s="4">
        <f>IF(OR(N(F796)&gt;=0.5,G796&gt;=4),3,IF(OR(N(F796)&gt;=0.3,G796=3),2,IF(OR(N(F796)&gt;=0.1,G796&gt;=1),1,0)))</f>
        <v/>
      </c>
      <c r="I796" s="4">
        <f>CHOOSE(H796+1,"Kein Risiko","Gering","Mittel","Hoch")</f>
        <v/>
      </c>
    </row>
    <row r="797">
      <c r="A797" s="4" t="n">
        <v>793</v>
      </c>
      <c r="B797" s="4" t="inlineStr">
        <is>
          <t>yes</t>
        </is>
      </c>
      <c r="C797" s="4" t="inlineStr">
        <is>
          <t>Marienbergstraße</t>
        </is>
      </c>
      <c r="D797" s="4" t="inlineStr">
        <is>
          <t>31</t>
        </is>
      </c>
      <c r="E797" s="13" t="n">
        <v>76.40000000000001</v>
      </c>
      <c r="F797" s="12" t="n">
        <v>0.01999664306640625</v>
      </c>
      <c r="G797" s="4" t="n">
        <v>0</v>
      </c>
      <c r="H797" s="4">
        <f>IF(OR(N(F797)&gt;=0.5,G797&gt;=4),3,IF(OR(N(F797)&gt;=0.3,G797=3),2,IF(OR(N(F797)&gt;=0.1,G797&gt;=1),1,0)))</f>
        <v/>
      </c>
      <c r="I797" s="4">
        <f>CHOOSE(H797+1,"Kein Risiko","Gering","Mittel","Hoch")</f>
        <v/>
      </c>
    </row>
    <row r="798">
      <c r="A798" s="4" t="n">
        <v>794</v>
      </c>
      <c r="B798" s="4" t="inlineStr">
        <is>
          <t>yes</t>
        </is>
      </c>
      <c r="C798" s="4" t="inlineStr">
        <is>
          <t>Blockstraße</t>
        </is>
      </c>
      <c r="D798" s="4" t="inlineStr">
        <is>
          <t>28</t>
        </is>
      </c>
      <c r="E798" s="13" t="n">
        <v>122.5</v>
      </c>
      <c r="F798" s="12" t="n">
        <v>0.04000091552734375</v>
      </c>
      <c r="G798" s="4" t="n">
        <v>0</v>
      </c>
      <c r="H798" s="4">
        <f>IF(OR(N(F798)&gt;=0.5,G798&gt;=4),3,IF(OR(N(F798)&gt;=0.3,G798=3),2,IF(OR(N(F798)&gt;=0.1,G798&gt;=1),1,0)))</f>
        <v/>
      </c>
      <c r="I798" s="4">
        <f>CHOOSE(H798+1,"Kein Risiko","Gering","Mittel","Hoch")</f>
        <v/>
      </c>
    </row>
    <row r="799">
      <c r="A799" s="4" t="n">
        <v>795</v>
      </c>
      <c r="B799" s="4" t="inlineStr">
        <is>
          <t>yes</t>
        </is>
      </c>
      <c r="C799" s="4" t="inlineStr">
        <is>
          <t>Blockstraße</t>
        </is>
      </c>
      <c r="D799" s="4" t="inlineStr">
        <is>
          <t>20</t>
        </is>
      </c>
      <c r="E799" s="13" t="n">
        <v>52</v>
      </c>
      <c r="F799" s="12" t="n">
        <v>0.01999664306640625</v>
      </c>
      <c r="G799" s="4" t="n">
        <v>1</v>
      </c>
      <c r="H799" s="4">
        <f>IF(OR(N(F799)&gt;=0.5,G799&gt;=4),3,IF(OR(N(F799)&gt;=0.3,G799=3),2,IF(OR(N(F799)&gt;=0.1,G799&gt;=1),1,0)))</f>
        <v/>
      </c>
      <c r="I799" s="4">
        <f>CHOOSE(H799+1,"Kein Risiko","Gering","Mittel","Hoch")</f>
        <v/>
      </c>
    </row>
    <row r="800">
      <c r="A800" s="4" t="n">
        <v>796</v>
      </c>
      <c r="B800" s="4" t="inlineStr">
        <is>
          <t>yes</t>
        </is>
      </c>
      <c r="C800" s="4" t="inlineStr">
        <is>
          <t>Bovermanns Weg</t>
        </is>
      </c>
      <c r="D800" s="4" t="inlineStr">
        <is>
          <t>12</t>
        </is>
      </c>
      <c r="E800" s="13" t="n">
        <v>57.8</v>
      </c>
      <c r="F800" s="12" t="n">
        <v>0</v>
      </c>
      <c r="G800" s="4" t="n">
        <v>1</v>
      </c>
      <c r="H800" s="4">
        <f>IF(OR(N(F800)&gt;=0.5,G800&gt;=4),3,IF(OR(N(F800)&gt;=0.3,G800=3),2,IF(OR(N(F800)&gt;=0.1,G800&gt;=1),1,0)))</f>
        <v/>
      </c>
      <c r="I800" s="4">
        <f>CHOOSE(H800+1,"Kein Risiko","Gering","Mittel","Hoch")</f>
        <v/>
      </c>
    </row>
    <row r="801">
      <c r="A801" s="4" t="n">
        <v>797</v>
      </c>
      <c r="B801" s="4" t="inlineStr">
        <is>
          <t>residential</t>
        </is>
      </c>
      <c r="C801" s="4" t="inlineStr"/>
      <c r="D801" s="4" t="inlineStr"/>
      <c r="E801" s="13" t="n">
        <v>181.1</v>
      </c>
      <c r="F801" s="12" t="n">
        <v>0</v>
      </c>
      <c r="G801" s="4" t="n">
        <v>0</v>
      </c>
      <c r="H801" s="4">
        <f>IF(OR(N(F801)&gt;=0.5,G801&gt;=4),3,IF(OR(N(F801)&gt;=0.3,G801=3),2,IF(OR(N(F801)&gt;=0.1,G801&gt;=1),1,0)))</f>
        <v/>
      </c>
      <c r="I801" s="4">
        <f>CHOOSE(H801+1,"Kein Risiko","Gering","Mittel","Hoch")</f>
        <v/>
      </c>
    </row>
    <row r="802">
      <c r="A802" s="4" t="n">
        <v>798</v>
      </c>
      <c r="B802" s="4" t="inlineStr">
        <is>
          <t>yes</t>
        </is>
      </c>
      <c r="C802" s="4" t="inlineStr">
        <is>
          <t>Bovermanns Weg</t>
        </is>
      </c>
      <c r="D802" s="4" t="inlineStr">
        <is>
          <t>8</t>
        </is>
      </c>
      <c r="E802" s="13" t="n">
        <v>95.5</v>
      </c>
      <c r="F802" s="12" t="n">
        <v>0.9300003051757812</v>
      </c>
      <c r="G802" s="4" t="n">
        <v>0</v>
      </c>
      <c r="H802" s="4">
        <f>IF(OR(N(F802)&gt;=0.5,G802&gt;=4),3,IF(OR(N(F802)&gt;=0.3,G802=3),2,IF(OR(N(F802)&gt;=0.1,G802&gt;=1),1,0)))</f>
        <v/>
      </c>
      <c r="I802" s="4">
        <f>CHOOSE(H802+1,"Kein Risiko","Gering","Mittel","Hoch")</f>
        <v/>
      </c>
    </row>
    <row r="803">
      <c r="A803" s="4" t="n">
        <v>799</v>
      </c>
      <c r="B803" s="4" t="inlineStr">
        <is>
          <t>semidetached_house</t>
        </is>
      </c>
      <c r="C803" s="4" t="inlineStr">
        <is>
          <t>Marienbergstraße</t>
        </is>
      </c>
      <c r="D803" s="4" t="inlineStr">
        <is>
          <t>28</t>
        </is>
      </c>
      <c r="E803" s="13" t="n">
        <v>66.3</v>
      </c>
      <c r="F803" s="12" t="n">
        <v>0</v>
      </c>
      <c r="G803" s="4" t="n">
        <v>0</v>
      </c>
      <c r="H803" s="4">
        <f>IF(OR(N(F803)&gt;=0.5,G803&gt;=4),3,IF(OR(N(F803)&gt;=0.3,G803=3),2,IF(OR(N(F803)&gt;=0.1,G803&gt;=1),1,0)))</f>
        <v/>
      </c>
      <c r="I803" s="4">
        <f>CHOOSE(H803+1,"Kein Risiko","Gering","Mittel","Hoch")</f>
        <v/>
      </c>
    </row>
    <row r="804">
      <c r="A804" s="4" t="n">
        <v>800</v>
      </c>
      <c r="B804" s="4" t="inlineStr">
        <is>
          <t>semidetached_house</t>
        </is>
      </c>
      <c r="C804" s="4" t="inlineStr">
        <is>
          <t>Marienbergstraße</t>
        </is>
      </c>
      <c r="D804" s="4" t="inlineStr">
        <is>
          <t>24</t>
        </is>
      </c>
      <c r="E804" s="13" t="n">
        <v>64.40000000000001</v>
      </c>
      <c r="F804" s="12" t="n">
        <v>0</v>
      </c>
      <c r="G804" s="4" t="n">
        <v>0</v>
      </c>
      <c r="H804" s="4">
        <f>IF(OR(N(F804)&gt;=0.5,G804&gt;=4),3,IF(OR(N(F804)&gt;=0.3,G804=3),2,IF(OR(N(F804)&gt;=0.1,G804&gt;=1),1,0)))</f>
        <v/>
      </c>
      <c r="I804" s="4">
        <f>CHOOSE(H804+1,"Kein Risiko","Gering","Mittel","Hoch")</f>
        <v/>
      </c>
    </row>
    <row r="805">
      <c r="A805" s="4" t="n">
        <v>801</v>
      </c>
      <c r="B805" s="4" t="inlineStr">
        <is>
          <t>yes</t>
        </is>
      </c>
      <c r="C805" s="4" t="inlineStr">
        <is>
          <t>Marienbergstraße</t>
        </is>
      </c>
      <c r="D805" s="4" t="inlineStr">
        <is>
          <t>32</t>
        </is>
      </c>
      <c r="E805" s="13" t="n">
        <v>62.2</v>
      </c>
      <c r="F805" s="12" t="n">
        <v>0</v>
      </c>
      <c r="G805" s="4" t="n">
        <v>0</v>
      </c>
      <c r="H805" s="4">
        <f>IF(OR(N(F805)&gt;=0.5,G805&gt;=4),3,IF(OR(N(F805)&gt;=0.3,G805=3),2,IF(OR(N(F805)&gt;=0.1,G805&gt;=1),1,0)))</f>
        <v/>
      </c>
      <c r="I805" s="4">
        <f>CHOOSE(H805+1,"Kein Risiko","Gering","Mittel","Hoch")</f>
        <v/>
      </c>
    </row>
    <row r="806">
      <c r="A806" s="4" t="n">
        <v>802</v>
      </c>
      <c r="B806" s="4" t="inlineStr">
        <is>
          <t>semidetached_house</t>
        </is>
      </c>
      <c r="C806" s="4" t="inlineStr">
        <is>
          <t>Marienbergstraße</t>
        </is>
      </c>
      <c r="D806" s="4" t="inlineStr">
        <is>
          <t>36</t>
        </is>
      </c>
      <c r="E806" s="13" t="n">
        <v>71.2</v>
      </c>
      <c r="F806" s="12" t="n">
        <v>0</v>
      </c>
      <c r="G806" s="4" t="n">
        <v>0</v>
      </c>
      <c r="H806" s="4">
        <f>IF(OR(N(F806)&gt;=0.5,G806&gt;=4),3,IF(OR(N(F806)&gt;=0.3,G806=3),2,IF(OR(N(F806)&gt;=0.1,G806&gt;=1),1,0)))</f>
        <v/>
      </c>
      <c r="I806" s="4">
        <f>CHOOSE(H806+1,"Kein Risiko","Gering","Mittel","Hoch")</f>
        <v/>
      </c>
    </row>
    <row r="807">
      <c r="A807" s="4" t="n">
        <v>803</v>
      </c>
      <c r="B807" s="4" t="inlineStr">
        <is>
          <t>yes</t>
        </is>
      </c>
      <c r="C807" s="4" t="inlineStr">
        <is>
          <t>Marienbergstraße</t>
        </is>
      </c>
      <c r="D807" s="4" t="inlineStr">
        <is>
          <t>44</t>
        </is>
      </c>
      <c r="E807" s="13" t="n">
        <v>84.2</v>
      </c>
      <c r="F807" s="12" t="n">
        <v>0</v>
      </c>
      <c r="G807" s="4" t="n">
        <v>0</v>
      </c>
      <c r="H807" s="4">
        <f>IF(OR(N(F807)&gt;=0.5,G807&gt;=4),3,IF(OR(N(F807)&gt;=0.3,G807=3),2,IF(OR(N(F807)&gt;=0.1,G807&gt;=1),1,0)))</f>
        <v/>
      </c>
      <c r="I807" s="4">
        <f>CHOOSE(H807+1,"Kein Risiko","Gering","Mittel","Hoch")</f>
        <v/>
      </c>
    </row>
    <row r="808">
      <c r="A808" s="4" t="n">
        <v>804</v>
      </c>
      <c r="B808" s="4" t="inlineStr">
        <is>
          <t>semidetached_house</t>
        </is>
      </c>
      <c r="C808" s="4" t="inlineStr">
        <is>
          <t>Marienbergstraße</t>
        </is>
      </c>
      <c r="D808" s="4" t="inlineStr">
        <is>
          <t>64</t>
        </is>
      </c>
      <c r="E808" s="13" t="n">
        <v>143.8</v>
      </c>
      <c r="F808" s="12" t="n">
        <v>0</v>
      </c>
      <c r="G808" s="4" t="n">
        <v>0</v>
      </c>
      <c r="H808" s="4">
        <f>IF(OR(N(F808)&gt;=0.5,G808&gt;=4),3,IF(OR(N(F808)&gt;=0.3,G808=3),2,IF(OR(N(F808)&gt;=0.1,G808&gt;=1),1,0)))</f>
        <v/>
      </c>
      <c r="I808" s="4">
        <f>CHOOSE(H808+1,"Kein Risiko","Gering","Mittel","Hoch")</f>
        <v/>
      </c>
    </row>
    <row r="809">
      <c r="A809" s="4" t="n">
        <v>805</v>
      </c>
      <c r="B809" s="4" t="inlineStr">
        <is>
          <t>house</t>
        </is>
      </c>
      <c r="C809" s="4" t="inlineStr">
        <is>
          <t>Marienbergstraße</t>
        </is>
      </c>
      <c r="D809" s="4" t="inlineStr">
        <is>
          <t>52</t>
        </is>
      </c>
      <c r="E809" s="13" t="n">
        <v>98.09999999999999</v>
      </c>
      <c r="F809" s="12" t="n">
        <v>0</v>
      </c>
      <c r="G809" s="4" t="n">
        <v>0</v>
      </c>
      <c r="H809" s="4">
        <f>IF(OR(N(F809)&gt;=0.5,G809&gt;=4),3,IF(OR(N(F809)&gt;=0.3,G809=3),2,IF(OR(N(F809)&gt;=0.1,G809&gt;=1),1,0)))</f>
        <v/>
      </c>
      <c r="I809" s="4">
        <f>CHOOSE(H809+1,"Kein Risiko","Gering","Mittel","Hoch")</f>
        <v/>
      </c>
    </row>
    <row r="810">
      <c r="A810" s="4" t="n">
        <v>806</v>
      </c>
      <c r="B810" s="4" t="inlineStr">
        <is>
          <t>semidetached_house</t>
        </is>
      </c>
      <c r="C810" s="4" t="inlineStr">
        <is>
          <t>Marienbergstraße</t>
        </is>
      </c>
      <c r="D810" s="4" t="inlineStr">
        <is>
          <t>60</t>
        </is>
      </c>
      <c r="E810" s="13" t="n">
        <v>100.6</v>
      </c>
      <c r="F810" s="12" t="n">
        <v>0</v>
      </c>
      <c r="G810" s="4" t="n">
        <v>0</v>
      </c>
      <c r="H810" s="4">
        <f>IF(OR(N(F810)&gt;=0.5,G810&gt;=4),3,IF(OR(N(F810)&gt;=0.3,G810=3),2,IF(OR(N(F810)&gt;=0.1,G810&gt;=1),1,0)))</f>
        <v/>
      </c>
      <c r="I810" s="4">
        <f>CHOOSE(H810+1,"Kein Risiko","Gering","Mittel","Hoch")</f>
        <v/>
      </c>
    </row>
    <row r="811">
      <c r="A811" s="4" t="n">
        <v>807</v>
      </c>
      <c r="B811" s="4" t="inlineStr">
        <is>
          <t>yes</t>
        </is>
      </c>
      <c r="C811" s="4" t="inlineStr">
        <is>
          <t>Marienbergstraße</t>
        </is>
      </c>
      <c r="D811" s="4" t="inlineStr">
        <is>
          <t>18</t>
        </is>
      </c>
      <c r="E811" s="13" t="n">
        <v>114.4</v>
      </c>
      <c r="F811" s="12" t="n">
        <v>1.260002136230469</v>
      </c>
      <c r="G811" s="4" t="n">
        <v>0</v>
      </c>
      <c r="H811" s="4">
        <f>IF(OR(N(F811)&gt;=0.5,G811&gt;=4),3,IF(OR(N(F811)&gt;=0.3,G811=3),2,IF(OR(N(F811)&gt;=0.1,G811&gt;=1),1,0)))</f>
        <v/>
      </c>
      <c r="I811" s="4">
        <f>CHOOSE(H811+1,"Kein Risiko","Gering","Mittel","Hoch")</f>
        <v/>
      </c>
    </row>
    <row r="812">
      <c r="A812" s="4" t="n">
        <v>808</v>
      </c>
      <c r="B812" s="4" t="inlineStr">
        <is>
          <t>semidetached_house</t>
        </is>
      </c>
      <c r="C812" s="4" t="inlineStr">
        <is>
          <t>Marienbergstraße</t>
        </is>
      </c>
      <c r="D812" s="4" t="inlineStr">
        <is>
          <t>40</t>
        </is>
      </c>
      <c r="E812" s="13" t="n">
        <v>78</v>
      </c>
      <c r="F812" s="12" t="n">
        <v>0</v>
      </c>
      <c r="G812" s="4" t="n">
        <v>0</v>
      </c>
      <c r="H812" s="4">
        <f>IF(OR(N(F812)&gt;=0.5,G812&gt;=4),3,IF(OR(N(F812)&gt;=0.3,G812=3),2,IF(OR(N(F812)&gt;=0.1,G812&gt;=1),1,0)))</f>
        <v/>
      </c>
      <c r="I812" s="4">
        <f>CHOOSE(H812+1,"Kein Risiko","Gering","Mittel","Hoch")</f>
        <v/>
      </c>
    </row>
    <row r="813">
      <c r="A813" s="4" t="n">
        <v>809</v>
      </c>
      <c r="B813" s="4" t="inlineStr">
        <is>
          <t>semidetached_house</t>
        </is>
      </c>
      <c r="C813" s="4" t="inlineStr">
        <is>
          <t>Marienbergstraße</t>
        </is>
      </c>
      <c r="D813" s="4" t="inlineStr">
        <is>
          <t>56</t>
        </is>
      </c>
      <c r="E813" s="13" t="n">
        <v>85.7</v>
      </c>
      <c r="F813" s="12" t="n">
        <v>0</v>
      </c>
      <c r="G813" s="4" t="n">
        <v>0</v>
      </c>
      <c r="H813" s="4">
        <f>IF(OR(N(F813)&gt;=0.5,G813&gt;=4),3,IF(OR(N(F813)&gt;=0.3,G813=3),2,IF(OR(N(F813)&gt;=0.1,G813&gt;=1),1,0)))</f>
        <v/>
      </c>
      <c r="I813" s="4">
        <f>CHOOSE(H813+1,"Kein Risiko","Gering","Mittel","Hoch")</f>
        <v/>
      </c>
    </row>
    <row r="814">
      <c r="A814" s="4" t="n">
        <v>810</v>
      </c>
      <c r="B814" s="4" t="inlineStr">
        <is>
          <t>yes</t>
        </is>
      </c>
      <c r="C814" s="4" t="inlineStr">
        <is>
          <t>Marienbergstraße</t>
        </is>
      </c>
      <c r="D814" s="4" t="inlineStr">
        <is>
          <t>16</t>
        </is>
      </c>
      <c r="E814" s="13" t="n">
        <v>53.6</v>
      </c>
      <c r="F814" s="12" t="n">
        <v>0.0399932861328125</v>
      </c>
      <c r="G814" s="4" t="n">
        <v>1</v>
      </c>
      <c r="H814" s="4">
        <f>IF(OR(N(F814)&gt;=0.5,G814&gt;=4),3,IF(OR(N(F814)&gt;=0.3,G814=3),2,IF(OR(N(F814)&gt;=0.1,G814&gt;=1),1,0)))</f>
        <v/>
      </c>
      <c r="I814" s="4">
        <f>CHOOSE(H814+1,"Kein Risiko","Gering","Mittel","Hoch")</f>
        <v/>
      </c>
    </row>
    <row r="815">
      <c r="A815" s="4" t="n">
        <v>811</v>
      </c>
      <c r="B815" s="4" t="inlineStr">
        <is>
          <t>yes</t>
        </is>
      </c>
      <c r="C815" s="4" t="inlineStr">
        <is>
          <t>Marienbergstraße</t>
        </is>
      </c>
      <c r="D815" s="4" t="inlineStr">
        <is>
          <t>12</t>
        </is>
      </c>
      <c r="E815" s="13" t="n">
        <v>93.2</v>
      </c>
      <c r="F815" s="12" t="n">
        <v>0.06999969482421875</v>
      </c>
      <c r="G815" s="4" t="n">
        <v>0</v>
      </c>
      <c r="H815" s="4">
        <f>IF(OR(N(F815)&gt;=0.5,G815&gt;=4),3,IF(OR(N(F815)&gt;=0.3,G815=3),2,IF(OR(N(F815)&gt;=0.1,G815&gt;=1),1,0)))</f>
        <v/>
      </c>
      <c r="I815" s="4">
        <f>CHOOSE(H815+1,"Kein Risiko","Gering","Mittel","Hoch")</f>
        <v/>
      </c>
    </row>
    <row r="816">
      <c r="A816" s="4" t="n">
        <v>812</v>
      </c>
      <c r="B816" s="4" t="inlineStr">
        <is>
          <t>yes</t>
        </is>
      </c>
      <c r="C816" s="4" t="inlineStr">
        <is>
          <t>Marienbergstraße</t>
        </is>
      </c>
      <c r="D816" s="4" t="inlineStr">
        <is>
          <t>8</t>
        </is>
      </c>
      <c r="E816" s="13" t="n">
        <v>89</v>
      </c>
      <c r="F816" s="12" t="n">
        <v>0</v>
      </c>
      <c r="G816" s="4" t="n">
        <v>0</v>
      </c>
      <c r="H816" s="4">
        <f>IF(OR(N(F816)&gt;=0.5,G816&gt;=4),3,IF(OR(N(F816)&gt;=0.3,G816=3),2,IF(OR(N(F816)&gt;=0.1,G816&gt;=1),1,0)))</f>
        <v/>
      </c>
      <c r="I816" s="4">
        <f>CHOOSE(H816+1,"Kein Risiko","Gering","Mittel","Hoch")</f>
        <v/>
      </c>
    </row>
    <row r="817">
      <c r="A817" s="4" t="n">
        <v>813</v>
      </c>
      <c r="B817" s="4" t="inlineStr">
        <is>
          <t>yes</t>
        </is>
      </c>
      <c r="C817" s="4" t="inlineStr">
        <is>
          <t>Byfanger Straße</t>
        </is>
      </c>
      <c r="D817" s="4" t="inlineStr">
        <is>
          <t>165</t>
        </is>
      </c>
      <c r="E817" s="13" t="n">
        <v>68.09999999999999</v>
      </c>
      <c r="F817" s="12" t="n">
        <v>0</v>
      </c>
      <c r="G817" s="4" t="n">
        <v>0</v>
      </c>
      <c r="H817" s="4">
        <f>IF(OR(N(F817)&gt;=0.5,G817&gt;=4),3,IF(OR(N(F817)&gt;=0.3,G817=3),2,IF(OR(N(F817)&gt;=0.1,G817&gt;=1),1,0)))</f>
        <v/>
      </c>
      <c r="I817" s="4">
        <f>CHOOSE(H817+1,"Kein Risiko","Gering","Mittel","Hoch")</f>
        <v/>
      </c>
    </row>
    <row r="818">
      <c r="A818" s="4" t="n">
        <v>814</v>
      </c>
      <c r="B818" s="4" t="inlineStr">
        <is>
          <t>yes</t>
        </is>
      </c>
      <c r="C818" s="4" t="inlineStr">
        <is>
          <t>Byfanger Straße</t>
        </is>
      </c>
      <c r="D818" s="4" t="inlineStr">
        <is>
          <t>173</t>
        </is>
      </c>
      <c r="E818" s="13" t="n">
        <v>56.9</v>
      </c>
      <c r="F818" s="12" t="n">
        <v>0</v>
      </c>
      <c r="G818" s="4" t="n">
        <v>0</v>
      </c>
      <c r="H818" s="4">
        <f>IF(OR(N(F818)&gt;=0.5,G818&gt;=4),3,IF(OR(N(F818)&gt;=0.3,G818=3),2,IF(OR(N(F818)&gt;=0.1,G818&gt;=1),1,0)))</f>
        <v/>
      </c>
      <c r="I818" s="4">
        <f>CHOOSE(H818+1,"Kein Risiko","Gering","Mittel","Hoch")</f>
        <v/>
      </c>
    </row>
    <row r="819">
      <c r="A819" s="4" t="n">
        <v>815</v>
      </c>
      <c r="B819" s="4" t="inlineStr">
        <is>
          <t>yes</t>
        </is>
      </c>
      <c r="C819" s="4" t="inlineStr">
        <is>
          <t>Byfanger Straße</t>
        </is>
      </c>
      <c r="D819" s="4" t="inlineStr">
        <is>
          <t>195</t>
        </is>
      </c>
      <c r="E819" s="13" t="n">
        <v>87.59999999999999</v>
      </c>
      <c r="F819" s="12" t="n">
        <v>0.04000091552734375</v>
      </c>
      <c r="G819" s="4" t="n">
        <v>0</v>
      </c>
      <c r="H819" s="4">
        <f>IF(OR(N(F819)&gt;=0.5,G819&gt;=4),3,IF(OR(N(F819)&gt;=0.3,G819=3),2,IF(OR(N(F819)&gt;=0.1,G819&gt;=1),1,0)))</f>
        <v/>
      </c>
      <c r="I819" s="4">
        <f>CHOOSE(H819+1,"Kein Risiko","Gering","Mittel","Hoch")</f>
        <v/>
      </c>
    </row>
    <row r="820">
      <c r="A820" s="4" t="n">
        <v>816</v>
      </c>
      <c r="B820" s="4" t="inlineStr">
        <is>
          <t>yes</t>
        </is>
      </c>
      <c r="C820" s="4" t="inlineStr">
        <is>
          <t>Engelssiepen</t>
        </is>
      </c>
      <c r="D820" s="4" t="inlineStr">
        <is>
          <t>31</t>
        </is>
      </c>
      <c r="E820" s="13" t="n">
        <v>88.8</v>
      </c>
      <c r="F820" s="12" t="n">
        <v>0</v>
      </c>
      <c r="G820" s="4" t="n">
        <v>0</v>
      </c>
      <c r="H820" s="4">
        <f>IF(OR(N(F820)&gt;=0.5,G820&gt;=4),3,IF(OR(N(F820)&gt;=0.3,G820=3),2,IF(OR(N(F820)&gt;=0.1,G820&gt;=1),1,0)))</f>
        <v/>
      </c>
      <c r="I820" s="4">
        <f>CHOOSE(H820+1,"Kein Risiko","Gering","Mittel","Hoch")</f>
        <v/>
      </c>
    </row>
    <row r="821">
      <c r="A821" s="4" t="n">
        <v>817</v>
      </c>
      <c r="B821" s="4" t="inlineStr">
        <is>
          <t>yes</t>
        </is>
      </c>
      <c r="C821" s="4" t="inlineStr">
        <is>
          <t>Byfanger Straße</t>
        </is>
      </c>
      <c r="D821" s="4" t="inlineStr">
        <is>
          <t>171</t>
        </is>
      </c>
      <c r="E821" s="13" t="n">
        <v>120.6</v>
      </c>
      <c r="F821" s="12" t="n">
        <v>0</v>
      </c>
      <c r="G821" s="4" t="n">
        <v>0</v>
      </c>
      <c r="H821" s="4">
        <f>IF(OR(N(F821)&gt;=0.5,G821&gt;=4),3,IF(OR(N(F821)&gt;=0.3,G821=3),2,IF(OR(N(F821)&gt;=0.1,G821&gt;=1),1,0)))</f>
        <v/>
      </c>
      <c r="I821" s="4">
        <f>CHOOSE(H821+1,"Kein Risiko","Gering","Mittel","Hoch")</f>
        <v/>
      </c>
    </row>
    <row r="822">
      <c r="A822" s="4" t="n">
        <v>818</v>
      </c>
      <c r="B822" s="4" t="inlineStr">
        <is>
          <t>yes</t>
        </is>
      </c>
      <c r="C822" s="4" t="inlineStr">
        <is>
          <t>Engelssiepen</t>
        </is>
      </c>
      <c r="D822" s="4" t="inlineStr">
        <is>
          <t>9</t>
        </is>
      </c>
      <c r="E822" s="13" t="n">
        <v>121.9</v>
      </c>
      <c r="F822" s="12" t="n">
        <v>0.01999664306640625</v>
      </c>
      <c r="G822" s="4" t="n">
        <v>0</v>
      </c>
      <c r="H822" s="4">
        <f>IF(OR(N(F822)&gt;=0.5,G822&gt;=4),3,IF(OR(N(F822)&gt;=0.3,G822=3),2,IF(OR(N(F822)&gt;=0.1,G822&gt;=1),1,0)))</f>
        <v/>
      </c>
      <c r="I822" s="4">
        <f>CHOOSE(H822+1,"Kein Risiko","Gering","Mittel","Hoch")</f>
        <v/>
      </c>
    </row>
    <row r="823">
      <c r="A823" s="4" t="n">
        <v>819</v>
      </c>
      <c r="B823" s="4" t="inlineStr">
        <is>
          <t>yes</t>
        </is>
      </c>
      <c r="C823" s="4" t="inlineStr">
        <is>
          <t>Engelssiepen</t>
        </is>
      </c>
      <c r="D823" s="4" t="inlineStr">
        <is>
          <t>1</t>
        </is>
      </c>
      <c r="E823" s="13" t="n">
        <v>170.2</v>
      </c>
      <c r="F823" s="12" t="n">
        <v>0</v>
      </c>
      <c r="G823" s="4" t="n">
        <v>0</v>
      </c>
      <c r="H823" s="4">
        <f>IF(OR(N(F823)&gt;=0.5,G823&gt;=4),3,IF(OR(N(F823)&gt;=0.3,G823=3),2,IF(OR(N(F823)&gt;=0.1,G823&gt;=1),1,0)))</f>
        <v/>
      </c>
      <c r="I823" s="4">
        <f>CHOOSE(H823+1,"Kein Risiko","Gering","Mittel","Hoch")</f>
        <v/>
      </c>
    </row>
    <row r="824">
      <c r="A824" s="4" t="n">
        <v>820</v>
      </c>
      <c r="B824" s="4" t="inlineStr">
        <is>
          <t>yes</t>
        </is>
      </c>
      <c r="C824" s="4" t="inlineStr">
        <is>
          <t>Engelssiepen</t>
        </is>
      </c>
      <c r="D824" s="4" t="inlineStr">
        <is>
          <t>3</t>
        </is>
      </c>
      <c r="E824" s="13" t="n">
        <v>121.3</v>
      </c>
      <c r="F824" s="12" t="n">
        <v>0.029998779296875</v>
      </c>
      <c r="G824" s="4" t="n">
        <v>0</v>
      </c>
      <c r="H824" s="4">
        <f>IF(OR(N(F824)&gt;=0.5,G824&gt;=4),3,IF(OR(N(F824)&gt;=0.3,G824=3),2,IF(OR(N(F824)&gt;=0.1,G824&gt;=1),1,0)))</f>
        <v/>
      </c>
      <c r="I824" s="4">
        <f>CHOOSE(H824+1,"Kein Risiko","Gering","Mittel","Hoch")</f>
        <v/>
      </c>
    </row>
    <row r="825">
      <c r="A825" s="4" t="n">
        <v>821</v>
      </c>
      <c r="B825" s="4" t="inlineStr">
        <is>
          <t>yes</t>
        </is>
      </c>
      <c r="C825" s="4" t="inlineStr">
        <is>
          <t>Byfanger Straße</t>
        </is>
      </c>
      <c r="D825" s="4" t="inlineStr">
        <is>
          <t>181</t>
        </is>
      </c>
      <c r="E825" s="13" t="n">
        <v>50.8</v>
      </c>
      <c r="F825" s="12" t="n">
        <v>0</v>
      </c>
      <c r="G825" s="4" t="n">
        <v>0</v>
      </c>
      <c r="H825" s="4">
        <f>IF(OR(N(F825)&gt;=0.5,G825&gt;=4),3,IF(OR(N(F825)&gt;=0.3,G825=3),2,IF(OR(N(F825)&gt;=0.1,G825&gt;=1),1,0)))</f>
        <v/>
      </c>
      <c r="I825" s="4">
        <f>CHOOSE(H825+1,"Kein Risiko","Gering","Mittel","Hoch")</f>
        <v/>
      </c>
    </row>
    <row r="826">
      <c r="A826" s="4" t="n">
        <v>822</v>
      </c>
      <c r="B826" s="4" t="inlineStr">
        <is>
          <t>apartments</t>
        </is>
      </c>
      <c r="C826" s="4" t="inlineStr">
        <is>
          <t>Bovermanns Weg</t>
        </is>
      </c>
      <c r="D826" s="4" t="inlineStr">
        <is>
          <t>37,39</t>
        </is>
      </c>
      <c r="E826" s="13" t="n">
        <v>183.3</v>
      </c>
      <c r="F826" s="12" t="n">
        <v>0</v>
      </c>
      <c r="G826" s="4" t="n">
        <v>0</v>
      </c>
      <c r="H826" s="4">
        <f>IF(OR(N(F826)&gt;=0.5,G826&gt;=4),3,IF(OR(N(F826)&gt;=0.3,G826=3),2,IF(OR(N(F826)&gt;=0.1,G826&gt;=1),1,0)))</f>
        <v/>
      </c>
      <c r="I826" s="4">
        <f>CHOOSE(H826+1,"Kein Risiko","Gering","Mittel","Hoch")</f>
        <v/>
      </c>
    </row>
    <row r="827">
      <c r="A827" s="4" t="n">
        <v>823</v>
      </c>
      <c r="B827" s="4" t="inlineStr">
        <is>
          <t>residential</t>
        </is>
      </c>
      <c r="C827" s="4" t="inlineStr">
        <is>
          <t>Marienbergstraße</t>
        </is>
      </c>
      <c r="D827" s="4" t="inlineStr">
        <is>
          <t>80</t>
        </is>
      </c>
      <c r="E827" s="13" t="n">
        <v>207.9</v>
      </c>
      <c r="F827" s="12" t="n">
        <v>0</v>
      </c>
      <c r="G827" s="4" t="n">
        <v>0</v>
      </c>
      <c r="H827" s="4">
        <f>IF(OR(N(F827)&gt;=0.5,G827&gt;=4),3,IF(OR(N(F827)&gt;=0.3,G827=3),2,IF(OR(N(F827)&gt;=0.1,G827&gt;=1),1,0)))</f>
        <v/>
      </c>
      <c r="I827" s="4">
        <f>CHOOSE(H827+1,"Kein Risiko","Gering","Mittel","Hoch")</f>
        <v/>
      </c>
    </row>
    <row r="828">
      <c r="A828" s="4" t="n">
        <v>824</v>
      </c>
      <c r="B828" s="4" t="inlineStr">
        <is>
          <t>apartments</t>
        </is>
      </c>
      <c r="C828" s="4" t="inlineStr">
        <is>
          <t>Breddebuschhang</t>
        </is>
      </c>
      <c r="D828" s="4" t="inlineStr">
        <is>
          <t>19</t>
        </is>
      </c>
      <c r="E828" s="13" t="n">
        <v>197.3</v>
      </c>
      <c r="F828" s="12" t="n">
        <v>0</v>
      </c>
      <c r="G828" s="4" t="n">
        <v>0</v>
      </c>
      <c r="H828" s="4">
        <f>IF(OR(N(F828)&gt;=0.5,G828&gt;=4),3,IF(OR(N(F828)&gt;=0.3,G828=3),2,IF(OR(N(F828)&gt;=0.1,G828&gt;=1),1,0)))</f>
        <v/>
      </c>
      <c r="I828" s="4">
        <f>CHOOSE(H828+1,"Kein Risiko","Gering","Mittel","Hoch")</f>
        <v/>
      </c>
    </row>
    <row r="829">
      <c r="A829" s="4" t="n">
        <v>825</v>
      </c>
      <c r="B829" s="4" t="inlineStr">
        <is>
          <t>yes</t>
        </is>
      </c>
      <c r="C829" s="4" t="inlineStr">
        <is>
          <t>Breddebuschhang</t>
        </is>
      </c>
      <c r="D829" s="4" t="inlineStr">
        <is>
          <t>17</t>
        </is>
      </c>
      <c r="E829" s="13" t="n">
        <v>104.6</v>
      </c>
      <c r="F829" s="12" t="n">
        <v>0.01999664306640625</v>
      </c>
      <c r="G829" s="4" t="n">
        <v>0</v>
      </c>
      <c r="H829" s="4">
        <f>IF(OR(N(F829)&gt;=0.5,G829&gt;=4),3,IF(OR(N(F829)&gt;=0.3,G829=3),2,IF(OR(N(F829)&gt;=0.1,G829&gt;=1),1,0)))</f>
        <v/>
      </c>
      <c r="I829" s="4">
        <f>CHOOSE(H829+1,"Kein Risiko","Gering","Mittel","Hoch")</f>
        <v/>
      </c>
    </row>
    <row r="830">
      <c r="A830" s="4" t="n">
        <v>826</v>
      </c>
      <c r="B830" s="4" t="inlineStr">
        <is>
          <t>yes</t>
        </is>
      </c>
      <c r="C830" s="4" t="inlineStr">
        <is>
          <t>Breddebuschhang</t>
        </is>
      </c>
      <c r="D830" s="4" t="inlineStr">
        <is>
          <t>9</t>
        </is>
      </c>
      <c r="E830" s="13" t="n">
        <v>106.9</v>
      </c>
      <c r="F830" s="12" t="n">
        <v>0</v>
      </c>
      <c r="G830" s="4" t="n">
        <v>0</v>
      </c>
      <c r="H830" s="4">
        <f>IF(OR(N(F830)&gt;=0.5,G830&gt;=4),3,IF(OR(N(F830)&gt;=0.3,G830=3),2,IF(OR(N(F830)&gt;=0.1,G830&gt;=1),1,0)))</f>
        <v/>
      </c>
      <c r="I830" s="4">
        <f>CHOOSE(H830+1,"Kein Risiko","Gering","Mittel","Hoch")</f>
        <v/>
      </c>
    </row>
    <row r="831">
      <c r="A831" s="4" t="n">
        <v>827</v>
      </c>
      <c r="B831" s="4" t="inlineStr">
        <is>
          <t>yes</t>
        </is>
      </c>
      <c r="C831" s="4" t="inlineStr"/>
      <c r="D831" s="4" t="inlineStr"/>
      <c r="E831" s="13" t="n">
        <v>40.4</v>
      </c>
      <c r="F831" s="12" t="n">
        <v>0</v>
      </c>
      <c r="G831" s="4" t="n">
        <v>0</v>
      </c>
      <c r="H831" s="4">
        <f>IF(OR(N(F831)&gt;=0.5,G831&gt;=4),3,IF(OR(N(F831)&gt;=0.3,G831=3),2,IF(OR(N(F831)&gt;=0.1,G831&gt;=1),1,0)))</f>
        <v/>
      </c>
      <c r="I831" s="4">
        <f>CHOOSE(H831+1,"Kein Risiko","Gering","Mittel","Hoch")</f>
        <v/>
      </c>
    </row>
    <row r="832">
      <c r="A832" s="4" t="n">
        <v>828</v>
      </c>
      <c r="B832" s="4" t="inlineStr">
        <is>
          <t>yes</t>
        </is>
      </c>
      <c r="C832" s="4" t="inlineStr">
        <is>
          <t>Breddebuschhang</t>
        </is>
      </c>
      <c r="D832" s="4" t="inlineStr">
        <is>
          <t>12</t>
        </is>
      </c>
      <c r="E832" s="13" t="n">
        <v>119.7</v>
      </c>
      <c r="F832" s="12" t="n">
        <v>0.4300003051757812</v>
      </c>
      <c r="G832" s="4" t="n">
        <v>0</v>
      </c>
      <c r="H832" s="4">
        <f>IF(OR(N(F832)&gt;=0.5,G832&gt;=4),3,IF(OR(N(F832)&gt;=0.3,G832=3),2,IF(OR(N(F832)&gt;=0.1,G832&gt;=1),1,0)))</f>
        <v/>
      </c>
      <c r="I832" s="4">
        <f>CHOOSE(H832+1,"Kein Risiko","Gering","Mittel","Hoch")</f>
        <v/>
      </c>
    </row>
    <row r="833">
      <c r="A833" s="4" t="n">
        <v>829</v>
      </c>
      <c r="B833" s="4" t="inlineStr">
        <is>
          <t>yes</t>
        </is>
      </c>
      <c r="C833" s="4" t="inlineStr">
        <is>
          <t>Breddebuschhang</t>
        </is>
      </c>
      <c r="D833" s="4" t="inlineStr">
        <is>
          <t>14</t>
        </is>
      </c>
      <c r="E833" s="13" t="n">
        <v>103.7</v>
      </c>
      <c r="F833" s="12" t="n">
        <v>0.05999755859375</v>
      </c>
      <c r="G833" s="4" t="n">
        <v>0</v>
      </c>
      <c r="H833" s="4">
        <f>IF(OR(N(F833)&gt;=0.5,G833&gt;=4),3,IF(OR(N(F833)&gt;=0.3,G833=3),2,IF(OR(N(F833)&gt;=0.1,G833&gt;=1),1,0)))</f>
        <v/>
      </c>
      <c r="I833" s="4">
        <f>CHOOSE(H833+1,"Kein Risiko","Gering","Mittel","Hoch")</f>
        <v/>
      </c>
    </row>
    <row r="834">
      <c r="A834" s="4" t="n">
        <v>830</v>
      </c>
      <c r="B834" s="4" t="inlineStr">
        <is>
          <t>yes</t>
        </is>
      </c>
      <c r="C834" s="4" t="inlineStr">
        <is>
          <t>Breddebuschhang</t>
        </is>
      </c>
      <c r="D834" s="4" t="inlineStr">
        <is>
          <t>7b</t>
        </is>
      </c>
      <c r="E834" s="13" t="n">
        <v>94.09999999999999</v>
      </c>
      <c r="F834" s="12" t="n">
        <v>0</v>
      </c>
      <c r="G834" s="4" t="n">
        <v>0</v>
      </c>
      <c r="H834" s="4">
        <f>IF(OR(N(F834)&gt;=0.5,G834&gt;=4),3,IF(OR(N(F834)&gt;=0.3,G834=3),2,IF(OR(N(F834)&gt;=0.1,G834&gt;=1),1,0)))</f>
        <v/>
      </c>
      <c r="I834" s="4">
        <f>CHOOSE(H834+1,"Kein Risiko","Gering","Mittel","Hoch")</f>
        <v/>
      </c>
    </row>
    <row r="835">
      <c r="A835" s="4" t="n">
        <v>831</v>
      </c>
      <c r="B835" s="4" t="inlineStr">
        <is>
          <t>yes</t>
        </is>
      </c>
      <c r="C835" s="4" t="inlineStr">
        <is>
          <t>Bovermanns Kamp</t>
        </is>
      </c>
      <c r="D835" s="4" t="inlineStr">
        <is>
          <t>27</t>
        </is>
      </c>
      <c r="E835" s="13" t="n">
        <v>134.7</v>
      </c>
      <c r="F835" s="12" t="n">
        <v>0</v>
      </c>
      <c r="G835" s="4" t="n">
        <v>0</v>
      </c>
      <c r="H835" s="4">
        <f>IF(OR(N(F835)&gt;=0.5,G835&gt;=4),3,IF(OR(N(F835)&gt;=0.3,G835=3),2,IF(OR(N(F835)&gt;=0.1,G835&gt;=1),1,0)))</f>
        <v/>
      </c>
      <c r="I835" s="4">
        <f>CHOOSE(H835+1,"Kein Risiko","Gering","Mittel","Hoch")</f>
        <v/>
      </c>
    </row>
    <row r="836">
      <c r="A836" s="4" t="n">
        <v>832</v>
      </c>
      <c r="B836" s="4" t="inlineStr">
        <is>
          <t>yes</t>
        </is>
      </c>
      <c r="C836" s="4" t="inlineStr">
        <is>
          <t>Hinsbecker Berg</t>
        </is>
      </c>
      <c r="D836" s="4" t="inlineStr">
        <is>
          <t>35a</t>
        </is>
      </c>
      <c r="E836" s="13" t="n">
        <v>150.8</v>
      </c>
      <c r="F836" s="12" t="n">
        <v>0</v>
      </c>
      <c r="G836" s="4" t="n">
        <v>0</v>
      </c>
      <c r="H836" s="4">
        <f>IF(OR(N(F836)&gt;=0.5,G836&gt;=4),3,IF(OR(N(F836)&gt;=0.3,G836=3),2,IF(OR(N(F836)&gt;=0.1,G836&gt;=1),1,0)))</f>
        <v/>
      </c>
      <c r="I836" s="4">
        <f>CHOOSE(H836+1,"Kein Risiko","Gering","Mittel","Hoch")</f>
        <v/>
      </c>
    </row>
    <row r="837">
      <c r="A837" s="4" t="n">
        <v>833</v>
      </c>
      <c r="B837" s="4" t="inlineStr">
        <is>
          <t>yes</t>
        </is>
      </c>
      <c r="C837" s="4" t="inlineStr">
        <is>
          <t>Bovermanns Kamp</t>
        </is>
      </c>
      <c r="D837" s="4" t="inlineStr">
        <is>
          <t>34</t>
        </is>
      </c>
      <c r="E837" s="13" t="n">
        <v>184.9</v>
      </c>
      <c r="F837" s="12" t="n">
        <v>0.07999420166015625</v>
      </c>
      <c r="G837" s="4" t="n">
        <v>1</v>
      </c>
      <c r="H837" s="4">
        <f>IF(OR(N(F837)&gt;=0.5,G837&gt;=4),3,IF(OR(N(F837)&gt;=0.3,G837=3),2,IF(OR(N(F837)&gt;=0.1,G837&gt;=1),1,0)))</f>
        <v/>
      </c>
      <c r="I837" s="4">
        <f>CHOOSE(H837+1,"Kein Risiko","Gering","Mittel","Hoch")</f>
        <v/>
      </c>
    </row>
    <row r="838">
      <c r="A838" s="4" t="n">
        <v>834</v>
      </c>
      <c r="B838" s="4" t="inlineStr">
        <is>
          <t>yes</t>
        </is>
      </c>
      <c r="C838" s="4" t="inlineStr">
        <is>
          <t>Breddebuschhang</t>
        </is>
      </c>
      <c r="D838" s="4" t="inlineStr">
        <is>
          <t>2a</t>
        </is>
      </c>
      <c r="E838" s="13" t="n">
        <v>96.3</v>
      </c>
      <c r="F838" s="12" t="n">
        <v>0.029998779296875</v>
      </c>
      <c r="G838" s="4" t="n">
        <v>0</v>
      </c>
      <c r="H838" s="4">
        <f>IF(OR(N(F838)&gt;=0.5,G838&gt;=4),3,IF(OR(N(F838)&gt;=0.3,G838=3),2,IF(OR(N(F838)&gt;=0.1,G838&gt;=1),1,0)))</f>
        <v/>
      </c>
      <c r="I838" s="4">
        <f>CHOOSE(H838+1,"Kein Risiko","Gering","Mittel","Hoch")</f>
        <v/>
      </c>
    </row>
    <row r="839">
      <c r="A839" s="4" t="n">
        <v>835</v>
      </c>
      <c r="B839" s="4" t="inlineStr">
        <is>
          <t>residential</t>
        </is>
      </c>
      <c r="C839" s="4" t="inlineStr">
        <is>
          <t>Breddebuschhang</t>
        </is>
      </c>
      <c r="D839" s="4" t="inlineStr">
        <is>
          <t>4</t>
        </is>
      </c>
      <c r="E839" s="13" t="n">
        <v>85.7</v>
      </c>
      <c r="F839" s="12" t="n">
        <v>0</v>
      </c>
      <c r="G839" s="4" t="n">
        <v>0</v>
      </c>
      <c r="H839" s="4">
        <f>IF(OR(N(F839)&gt;=0.5,G839&gt;=4),3,IF(OR(N(F839)&gt;=0.3,G839=3),2,IF(OR(N(F839)&gt;=0.1,G839&gt;=1),1,0)))</f>
        <v/>
      </c>
      <c r="I839" s="4">
        <f>CHOOSE(H839+1,"Kein Risiko","Gering","Mittel","Hoch")</f>
        <v/>
      </c>
    </row>
    <row r="840">
      <c r="A840" s="4" t="n">
        <v>836</v>
      </c>
      <c r="B840" s="4" t="inlineStr">
        <is>
          <t>yes</t>
        </is>
      </c>
      <c r="C840" s="4" t="inlineStr">
        <is>
          <t>Hinsbecker Berg</t>
        </is>
      </c>
      <c r="D840" s="4" t="inlineStr">
        <is>
          <t>31a</t>
        </is>
      </c>
      <c r="E840" s="13" t="n">
        <v>96.59999999999999</v>
      </c>
      <c r="F840" s="12" t="n">
        <v>0.0099945068359375</v>
      </c>
      <c r="G840" s="4" t="n">
        <v>2</v>
      </c>
      <c r="H840" s="4">
        <f>IF(OR(N(F840)&gt;=0.5,G840&gt;=4),3,IF(OR(N(F840)&gt;=0.3,G840=3),2,IF(OR(N(F840)&gt;=0.1,G840&gt;=1),1,0)))</f>
        <v/>
      </c>
      <c r="I840" s="4">
        <f>CHOOSE(H840+1,"Kein Risiko","Gering","Mittel","Hoch")</f>
        <v/>
      </c>
    </row>
    <row r="841">
      <c r="A841" s="4" t="n">
        <v>837</v>
      </c>
      <c r="B841" s="4" t="inlineStr">
        <is>
          <t>yes</t>
        </is>
      </c>
      <c r="C841" s="4" t="inlineStr">
        <is>
          <t>Bovermanns Kamp</t>
        </is>
      </c>
      <c r="D841" s="4" t="inlineStr">
        <is>
          <t>25</t>
        </is>
      </c>
      <c r="E841" s="13" t="n">
        <v>144</v>
      </c>
      <c r="F841" s="12" t="n">
        <v>0</v>
      </c>
      <c r="G841" s="4" t="n">
        <v>0</v>
      </c>
      <c r="H841" s="4">
        <f>IF(OR(N(F841)&gt;=0.5,G841&gt;=4),3,IF(OR(N(F841)&gt;=0.3,G841=3),2,IF(OR(N(F841)&gt;=0.1,G841&gt;=1),1,0)))</f>
        <v/>
      </c>
      <c r="I841" s="4">
        <f>CHOOSE(H841+1,"Kein Risiko","Gering","Mittel","Hoch")</f>
        <v/>
      </c>
    </row>
    <row r="842">
      <c r="A842" s="4" t="n">
        <v>838</v>
      </c>
      <c r="B842" s="4" t="inlineStr">
        <is>
          <t>yes</t>
        </is>
      </c>
      <c r="C842" s="4" t="inlineStr">
        <is>
          <t>Bovermanns Kamp</t>
        </is>
      </c>
      <c r="D842" s="4" t="inlineStr">
        <is>
          <t>28</t>
        </is>
      </c>
      <c r="E842" s="13" t="n">
        <v>116.3</v>
      </c>
      <c r="F842" s="12" t="n">
        <v>0</v>
      </c>
      <c r="G842" s="4" t="n">
        <v>0</v>
      </c>
      <c r="H842" s="4">
        <f>IF(OR(N(F842)&gt;=0.5,G842&gt;=4),3,IF(OR(N(F842)&gt;=0.3,G842=3),2,IF(OR(N(F842)&gt;=0.1,G842&gt;=1),1,0)))</f>
        <v/>
      </c>
      <c r="I842" s="4">
        <f>CHOOSE(H842+1,"Kein Risiko","Gering","Mittel","Hoch")</f>
        <v/>
      </c>
    </row>
    <row r="843">
      <c r="A843" s="4" t="n">
        <v>839</v>
      </c>
      <c r="B843" s="4" t="inlineStr">
        <is>
          <t>yes</t>
        </is>
      </c>
      <c r="C843" s="4" t="inlineStr">
        <is>
          <t>Bovermanns Kamp</t>
        </is>
      </c>
      <c r="D843" s="4" t="inlineStr">
        <is>
          <t>22</t>
        </is>
      </c>
      <c r="E843" s="13" t="n">
        <v>113.2</v>
      </c>
      <c r="F843" s="12" t="n">
        <v>0</v>
      </c>
      <c r="G843" s="4" t="n">
        <v>1</v>
      </c>
      <c r="H843" s="4">
        <f>IF(OR(N(F843)&gt;=0.5,G843&gt;=4),3,IF(OR(N(F843)&gt;=0.3,G843=3),2,IF(OR(N(F843)&gt;=0.1,G843&gt;=1),1,0)))</f>
        <v/>
      </c>
      <c r="I843" s="4">
        <f>CHOOSE(H843+1,"Kein Risiko","Gering","Mittel","Hoch")</f>
        <v/>
      </c>
    </row>
    <row r="844">
      <c r="A844" s="4" t="n">
        <v>840</v>
      </c>
      <c r="B844" s="4" t="inlineStr">
        <is>
          <t>yes</t>
        </is>
      </c>
      <c r="C844" s="4" t="inlineStr">
        <is>
          <t>Bovermanns Kamp</t>
        </is>
      </c>
      <c r="D844" s="4" t="inlineStr">
        <is>
          <t>23</t>
        </is>
      </c>
      <c r="E844" s="13" t="n">
        <v>136.8</v>
      </c>
      <c r="F844" s="12" t="n">
        <v>0</v>
      </c>
      <c r="G844" s="4" t="n">
        <v>0</v>
      </c>
      <c r="H844" s="4">
        <f>IF(OR(N(F844)&gt;=0.5,G844&gt;=4),3,IF(OR(N(F844)&gt;=0.3,G844=3),2,IF(OR(N(F844)&gt;=0.1,G844&gt;=1),1,0)))</f>
        <v/>
      </c>
      <c r="I844" s="4">
        <f>CHOOSE(H844+1,"Kein Risiko","Gering","Mittel","Hoch")</f>
        <v/>
      </c>
    </row>
    <row r="845">
      <c r="A845" s="4" t="n">
        <v>841</v>
      </c>
      <c r="B845" s="4" t="inlineStr">
        <is>
          <t>yes</t>
        </is>
      </c>
      <c r="C845" s="4" t="inlineStr">
        <is>
          <t>Hinsbecker Berg</t>
        </is>
      </c>
      <c r="D845" s="4" t="inlineStr">
        <is>
          <t>23</t>
        </is>
      </c>
      <c r="E845" s="13" t="n">
        <v>172.8</v>
      </c>
      <c r="F845" s="12" t="n">
        <v>0.1399993896484375</v>
      </c>
      <c r="G845" s="4" t="n">
        <v>0</v>
      </c>
      <c r="H845" s="4">
        <f>IF(OR(N(F845)&gt;=0.5,G845&gt;=4),3,IF(OR(N(F845)&gt;=0.3,G845=3),2,IF(OR(N(F845)&gt;=0.1,G845&gt;=1),1,0)))</f>
        <v/>
      </c>
      <c r="I845" s="4">
        <f>CHOOSE(H845+1,"Kein Risiko","Gering","Mittel","Hoch")</f>
        <v/>
      </c>
    </row>
    <row r="846">
      <c r="A846" s="4" t="n">
        <v>842</v>
      </c>
      <c r="B846" s="4" t="inlineStr">
        <is>
          <t>yes</t>
        </is>
      </c>
      <c r="C846" s="4" t="inlineStr">
        <is>
          <t>Hinsbecker Berg</t>
        </is>
      </c>
      <c r="D846" s="4" t="inlineStr">
        <is>
          <t>27</t>
        </is>
      </c>
      <c r="E846" s="13" t="n">
        <v>119.7</v>
      </c>
      <c r="F846" s="12" t="n">
        <v>0</v>
      </c>
      <c r="G846" s="4" t="n">
        <v>0</v>
      </c>
      <c r="H846" s="4">
        <f>IF(OR(N(F846)&gt;=0.5,G846&gt;=4),3,IF(OR(N(F846)&gt;=0.3,G846=3),2,IF(OR(N(F846)&gt;=0.1,G846&gt;=1),1,0)))</f>
        <v/>
      </c>
      <c r="I846" s="4">
        <f>CHOOSE(H846+1,"Kein Risiko","Gering","Mittel","Hoch")</f>
        <v/>
      </c>
    </row>
    <row r="847">
      <c r="A847" s="4" t="n">
        <v>843</v>
      </c>
      <c r="B847" s="4" t="inlineStr">
        <is>
          <t>house</t>
        </is>
      </c>
      <c r="C847" s="4" t="inlineStr">
        <is>
          <t>Breddebuschhang</t>
        </is>
      </c>
      <c r="D847" s="4" t="inlineStr">
        <is>
          <t>5b</t>
        </is>
      </c>
      <c r="E847" s="13" t="n">
        <v>93.90000000000001</v>
      </c>
      <c r="F847" s="12" t="n">
        <v>0</v>
      </c>
      <c r="G847" s="4" t="n">
        <v>0</v>
      </c>
      <c r="H847" s="4">
        <f>IF(OR(N(F847)&gt;=0.5,G847&gt;=4),3,IF(OR(N(F847)&gt;=0.3,G847=3),2,IF(OR(N(F847)&gt;=0.1,G847&gt;=1),1,0)))</f>
        <v/>
      </c>
      <c r="I847" s="4">
        <f>CHOOSE(H847+1,"Kein Risiko","Gering","Mittel","Hoch")</f>
        <v/>
      </c>
    </row>
    <row r="848">
      <c r="A848" s="4" t="n">
        <v>844</v>
      </c>
      <c r="B848" s="4" t="inlineStr">
        <is>
          <t>yes</t>
        </is>
      </c>
      <c r="C848" s="4" t="inlineStr">
        <is>
          <t>Hinsbecker Berg</t>
        </is>
      </c>
      <c r="D848" s="4" t="inlineStr">
        <is>
          <t>13</t>
        </is>
      </c>
      <c r="E848" s="13" t="n">
        <v>66.3</v>
      </c>
      <c r="F848" s="12" t="n">
        <v>0</v>
      </c>
      <c r="G848" s="4" t="n">
        <v>0</v>
      </c>
      <c r="H848" s="4">
        <f>IF(OR(N(F848)&gt;=0.5,G848&gt;=4),3,IF(OR(N(F848)&gt;=0.3,G848=3),2,IF(OR(N(F848)&gt;=0.1,G848&gt;=1),1,0)))</f>
        <v/>
      </c>
      <c r="I848" s="4">
        <f>CHOOSE(H848+1,"Kein Risiko","Gering","Mittel","Hoch")</f>
        <v/>
      </c>
    </row>
    <row r="849">
      <c r="A849" s="4" t="n">
        <v>845</v>
      </c>
      <c r="B849" s="4" t="inlineStr">
        <is>
          <t>apartments</t>
        </is>
      </c>
      <c r="C849" s="4" t="inlineStr">
        <is>
          <t>Hinsbecker Berg</t>
        </is>
      </c>
      <c r="D849" s="4" t="inlineStr">
        <is>
          <t>14</t>
        </is>
      </c>
      <c r="E849" s="13" t="n">
        <v>158.7</v>
      </c>
      <c r="F849" s="12" t="n">
        <v>0</v>
      </c>
      <c r="G849" s="4" t="n">
        <v>0</v>
      </c>
      <c r="H849" s="4">
        <f>IF(OR(N(F849)&gt;=0.5,G849&gt;=4),3,IF(OR(N(F849)&gt;=0.3,G849=3),2,IF(OR(N(F849)&gt;=0.1,G849&gt;=1),1,0)))</f>
        <v/>
      </c>
      <c r="I849" s="4">
        <f>CHOOSE(H849+1,"Kein Risiko","Gering","Mittel","Hoch")</f>
        <v/>
      </c>
    </row>
    <row r="850">
      <c r="A850" s="4" t="n">
        <v>846</v>
      </c>
      <c r="B850" s="4" t="inlineStr">
        <is>
          <t>yes</t>
        </is>
      </c>
      <c r="C850" s="4" t="inlineStr">
        <is>
          <t>Hinsbecker Berg</t>
        </is>
      </c>
      <c r="D850" s="4" t="inlineStr">
        <is>
          <t>10</t>
        </is>
      </c>
      <c r="E850" s="13" t="n">
        <v>149.1</v>
      </c>
      <c r="F850" s="12" t="n">
        <v>0</v>
      </c>
      <c r="G850" s="4" t="n">
        <v>1</v>
      </c>
      <c r="H850" s="4">
        <f>IF(OR(N(F850)&gt;=0.5,G850&gt;=4),3,IF(OR(N(F850)&gt;=0.3,G850=3),2,IF(OR(N(F850)&gt;=0.1,G850&gt;=1),1,0)))</f>
        <v/>
      </c>
      <c r="I850" s="4">
        <f>CHOOSE(H850+1,"Kein Risiko","Gering","Mittel","Hoch")</f>
        <v/>
      </c>
    </row>
    <row r="851">
      <c r="A851" s="4" t="n">
        <v>847</v>
      </c>
      <c r="B851" s="4" t="inlineStr">
        <is>
          <t>roof</t>
        </is>
      </c>
      <c r="C851" s="4" t="inlineStr"/>
      <c r="D851" s="4" t="inlineStr"/>
      <c r="E851" s="13" t="n">
        <v>407.5</v>
      </c>
      <c r="F851" s="12" t="n">
        <v>0.02000045776367188</v>
      </c>
      <c r="G851" s="4" t="n">
        <v>0</v>
      </c>
      <c r="H851" s="4">
        <f>IF(OR(N(F851)&gt;=0.5,G851&gt;=4),3,IF(OR(N(F851)&gt;=0.3,G851=3),2,IF(OR(N(F851)&gt;=0.1,G851&gt;=1),1,0)))</f>
        <v/>
      </c>
      <c r="I851" s="4">
        <f>CHOOSE(H851+1,"Kein Risiko","Gering","Mittel","Hoch")</f>
        <v/>
      </c>
    </row>
    <row r="852">
      <c r="A852" s="4" t="n">
        <v>848</v>
      </c>
      <c r="B852" s="4" t="inlineStr">
        <is>
          <t>apartments</t>
        </is>
      </c>
      <c r="C852" s="4" t="inlineStr"/>
      <c r="D852" s="4" t="inlineStr"/>
      <c r="E852" s="13" t="n">
        <v>152.1</v>
      </c>
      <c r="F852" s="12" t="n">
        <v>0</v>
      </c>
      <c r="G852" s="4" t="n">
        <v>1</v>
      </c>
      <c r="H852" s="4">
        <f>IF(OR(N(F852)&gt;=0.5,G852&gt;=4),3,IF(OR(N(F852)&gt;=0.3,G852=3),2,IF(OR(N(F852)&gt;=0.1,G852&gt;=1),1,0)))</f>
        <v/>
      </c>
      <c r="I852" s="4">
        <f>CHOOSE(H852+1,"Kein Risiko","Gering","Mittel","Hoch")</f>
        <v/>
      </c>
    </row>
    <row r="853">
      <c r="A853" s="4" t="n">
        <v>849</v>
      </c>
      <c r="B853" s="4" t="inlineStr">
        <is>
          <t>apartments</t>
        </is>
      </c>
      <c r="C853" s="4" t="inlineStr">
        <is>
          <t>Kupferdreher Straße</t>
        </is>
      </c>
      <c r="D853" s="4" t="inlineStr">
        <is>
          <t>57</t>
        </is>
      </c>
      <c r="E853" s="13" t="n">
        <v>153.1</v>
      </c>
      <c r="F853" s="12" t="n">
        <v>0.04999923706054688</v>
      </c>
      <c r="G853" s="4" t="n">
        <v>1</v>
      </c>
      <c r="H853" s="4">
        <f>IF(OR(N(F853)&gt;=0.5,G853&gt;=4),3,IF(OR(N(F853)&gt;=0.3,G853=3),2,IF(OR(N(F853)&gt;=0.1,G853&gt;=1),1,0)))</f>
        <v/>
      </c>
      <c r="I853" s="4">
        <f>CHOOSE(H853+1,"Kein Risiko","Gering","Mittel","Hoch")</f>
        <v/>
      </c>
    </row>
    <row r="854">
      <c r="A854" s="4" t="n">
        <v>850</v>
      </c>
      <c r="B854" s="4" t="inlineStr">
        <is>
          <t>apartments</t>
        </is>
      </c>
      <c r="C854" s="4" t="inlineStr">
        <is>
          <t>Kupferdreher Straße</t>
        </is>
      </c>
      <c r="D854" s="4" t="inlineStr">
        <is>
          <t>53</t>
        </is>
      </c>
      <c r="E854" s="13" t="n">
        <v>209.2</v>
      </c>
      <c r="F854" s="12" t="n">
        <v>0.06000137329101562</v>
      </c>
      <c r="G854" s="4" t="n">
        <v>4</v>
      </c>
      <c r="H854" s="4">
        <f>IF(OR(N(F854)&gt;=0.5,G854&gt;=4),3,IF(OR(N(F854)&gt;=0.3,G854=3),2,IF(OR(N(F854)&gt;=0.1,G854&gt;=1),1,0)))</f>
        <v/>
      </c>
      <c r="I854" s="4">
        <f>CHOOSE(H854+1,"Kein Risiko","Gering","Mittel","Hoch")</f>
        <v/>
      </c>
    </row>
    <row r="855">
      <c r="A855" s="4" t="n">
        <v>851</v>
      </c>
      <c r="B855" s="4" t="inlineStr">
        <is>
          <t>apartments</t>
        </is>
      </c>
      <c r="C855" s="4" t="inlineStr"/>
      <c r="D855" s="4" t="inlineStr"/>
      <c r="E855" s="13" t="n">
        <v>221.3</v>
      </c>
      <c r="F855" s="12" t="n">
        <v>0.6199989318847656</v>
      </c>
      <c r="G855" s="4" t="n">
        <v>0</v>
      </c>
      <c r="H855" s="4">
        <f>IF(OR(N(F855)&gt;=0.5,G855&gt;=4),3,IF(OR(N(F855)&gt;=0.3,G855=3),2,IF(OR(N(F855)&gt;=0.1,G855&gt;=1),1,0)))</f>
        <v/>
      </c>
      <c r="I855" s="4">
        <f>CHOOSE(H855+1,"Kein Risiko","Gering","Mittel","Hoch")</f>
        <v/>
      </c>
    </row>
    <row r="856">
      <c r="A856" s="4" t="n">
        <v>852</v>
      </c>
      <c r="B856" s="4" t="inlineStr">
        <is>
          <t>apartments</t>
        </is>
      </c>
      <c r="C856" s="4" t="inlineStr">
        <is>
          <t>Kupferdreher Straße</t>
        </is>
      </c>
      <c r="D856" s="4" t="inlineStr">
        <is>
          <t>69</t>
        </is>
      </c>
      <c r="E856" s="13" t="n">
        <v>200.6</v>
      </c>
      <c r="F856" s="12" t="n">
        <v>0.03999710083007812</v>
      </c>
      <c r="G856" s="4" t="n">
        <v>0</v>
      </c>
      <c r="H856" s="4">
        <f>IF(OR(N(F856)&gt;=0.5,G856&gt;=4),3,IF(OR(N(F856)&gt;=0.3,G856=3),2,IF(OR(N(F856)&gt;=0.1,G856&gt;=1),1,0)))</f>
        <v/>
      </c>
      <c r="I856" s="4">
        <f>CHOOSE(H856+1,"Kein Risiko","Gering","Mittel","Hoch")</f>
        <v/>
      </c>
    </row>
    <row r="857">
      <c r="A857" s="4" t="n">
        <v>853</v>
      </c>
      <c r="B857" s="4" t="inlineStr">
        <is>
          <t>apartments</t>
        </is>
      </c>
      <c r="C857" s="4" t="inlineStr">
        <is>
          <t>Hinsbecker Löh</t>
        </is>
      </c>
      <c r="D857" s="4" t="inlineStr">
        <is>
          <t>6</t>
        </is>
      </c>
      <c r="E857" s="13" t="n">
        <v>169.8</v>
      </c>
      <c r="F857" s="12" t="n">
        <v>1.399997711181641</v>
      </c>
      <c r="G857" s="4" t="n">
        <v>1</v>
      </c>
      <c r="H857" s="4">
        <f>IF(OR(N(F857)&gt;=0.5,G857&gt;=4),3,IF(OR(N(F857)&gt;=0.3,G857=3),2,IF(OR(N(F857)&gt;=0.1,G857&gt;=1),1,0)))</f>
        <v/>
      </c>
      <c r="I857" s="4">
        <f>CHOOSE(H857+1,"Kein Risiko","Gering","Mittel","Hoch")</f>
        <v/>
      </c>
    </row>
    <row r="858">
      <c r="A858" s="4" t="n">
        <v>854</v>
      </c>
      <c r="B858" s="4" t="inlineStr">
        <is>
          <t>yes</t>
        </is>
      </c>
      <c r="C858" s="4" t="inlineStr">
        <is>
          <t>Kupferdreher Straße</t>
        </is>
      </c>
      <c r="D858" s="4" t="inlineStr">
        <is>
          <t>82</t>
        </is>
      </c>
      <c r="E858" s="13" t="n">
        <v>962.3</v>
      </c>
      <c r="F858" s="12" t="n">
        <v>0.01000213623046875</v>
      </c>
      <c r="G858" s="4" t="n">
        <v>0</v>
      </c>
      <c r="H858" s="4">
        <f>IF(OR(N(F858)&gt;=0.5,G858&gt;=4),3,IF(OR(N(F858)&gt;=0.3,G858=3),2,IF(OR(N(F858)&gt;=0.1,G858&gt;=1),1,0)))</f>
        <v/>
      </c>
      <c r="I858" s="4">
        <f>CHOOSE(H858+1,"Kein Risiko","Gering","Mittel","Hoch")</f>
        <v/>
      </c>
    </row>
    <row r="859">
      <c r="A859" s="4" t="n">
        <v>855</v>
      </c>
      <c r="B859" s="4" t="inlineStr">
        <is>
          <t>apartments</t>
        </is>
      </c>
      <c r="C859" s="4" t="inlineStr">
        <is>
          <t>Kupferdreher Straße</t>
        </is>
      </c>
      <c r="D859" s="4" t="inlineStr">
        <is>
          <t>85</t>
        </is>
      </c>
      <c r="E859" s="13" t="n">
        <v>148.7</v>
      </c>
      <c r="F859" s="12" t="n">
        <v>0.1300010681152344</v>
      </c>
      <c r="G859" s="4" t="n">
        <v>0</v>
      </c>
      <c r="H859" s="4">
        <f>IF(OR(N(F859)&gt;=0.5,G859&gt;=4),3,IF(OR(N(F859)&gt;=0.3,G859=3),2,IF(OR(N(F859)&gt;=0.1,G859&gt;=1),1,0)))</f>
        <v/>
      </c>
      <c r="I859" s="4">
        <f>CHOOSE(H859+1,"Kein Risiko","Gering","Mittel","Hoch")</f>
        <v/>
      </c>
    </row>
    <row r="860">
      <c r="A860" s="4" t="n">
        <v>856</v>
      </c>
      <c r="B860" s="4" t="inlineStr">
        <is>
          <t>apartments</t>
        </is>
      </c>
      <c r="C860" s="4" t="inlineStr">
        <is>
          <t>Schwermannstraße</t>
        </is>
      </c>
      <c r="D860" s="4" t="inlineStr">
        <is>
          <t>66</t>
        </is>
      </c>
      <c r="E860" s="13" t="n">
        <v>110</v>
      </c>
      <c r="F860" s="12" t="n">
        <v>0</v>
      </c>
      <c r="G860" s="4" t="n">
        <v>0</v>
      </c>
      <c r="H860" s="4">
        <f>IF(OR(N(F860)&gt;=0.5,G860&gt;=4),3,IF(OR(N(F860)&gt;=0.3,G860=3),2,IF(OR(N(F860)&gt;=0.1,G860&gt;=1),1,0)))</f>
        <v/>
      </c>
      <c r="I860" s="4">
        <f>CHOOSE(H860+1,"Kein Risiko","Gering","Mittel","Hoch")</f>
        <v/>
      </c>
    </row>
    <row r="861">
      <c r="A861" s="4" t="n">
        <v>857</v>
      </c>
      <c r="B861" s="4" t="inlineStr">
        <is>
          <t>apartments</t>
        </is>
      </c>
      <c r="C861" s="4" t="inlineStr">
        <is>
          <t>Sandstraße</t>
        </is>
      </c>
      <c r="D861" s="4" t="inlineStr">
        <is>
          <t>13</t>
        </is>
      </c>
      <c r="E861" s="13" t="n">
        <v>233.5</v>
      </c>
      <c r="F861" s="12" t="n">
        <v>0.1199951171875</v>
      </c>
      <c r="G861" s="4" t="n">
        <v>2</v>
      </c>
      <c r="H861" s="4">
        <f>IF(OR(N(F861)&gt;=0.5,G861&gt;=4),3,IF(OR(N(F861)&gt;=0.3,G861=3),2,IF(OR(N(F861)&gt;=0.1,G861&gt;=1),1,0)))</f>
        <v/>
      </c>
      <c r="I861" s="4">
        <f>CHOOSE(H861+1,"Kein Risiko","Gering","Mittel","Hoch")</f>
        <v/>
      </c>
    </row>
    <row r="862">
      <c r="A862" s="4" t="n">
        <v>858</v>
      </c>
      <c r="B862" s="4" t="inlineStr">
        <is>
          <t>apartments</t>
        </is>
      </c>
      <c r="C862" s="4" t="inlineStr">
        <is>
          <t>Schwermannstraße</t>
        </is>
      </c>
      <c r="D862" s="4" t="inlineStr">
        <is>
          <t>64</t>
        </is>
      </c>
      <c r="E862" s="13" t="n">
        <v>117.4</v>
      </c>
      <c r="F862" s="12" t="n">
        <v>0</v>
      </c>
      <c r="G862" s="4" t="n">
        <v>0</v>
      </c>
      <c r="H862" s="4">
        <f>IF(OR(N(F862)&gt;=0.5,G862&gt;=4),3,IF(OR(N(F862)&gt;=0.3,G862=3),2,IF(OR(N(F862)&gt;=0.1,G862&gt;=1),1,0)))</f>
        <v/>
      </c>
      <c r="I862" s="4">
        <f>CHOOSE(H862+1,"Kein Risiko","Gering","Mittel","Hoch")</f>
        <v/>
      </c>
    </row>
    <row r="863">
      <c r="A863" s="4" t="n">
        <v>859</v>
      </c>
      <c r="B863" s="4" t="inlineStr">
        <is>
          <t>apartments</t>
        </is>
      </c>
      <c r="C863" s="4" t="inlineStr">
        <is>
          <t>Byfanger Straße</t>
        </is>
      </c>
      <c r="D863" s="4" t="inlineStr">
        <is>
          <t>22</t>
        </is>
      </c>
      <c r="E863" s="13" t="n">
        <v>228.7</v>
      </c>
      <c r="F863" s="12" t="n">
        <v>0.8199996948242188</v>
      </c>
      <c r="G863" s="4" t="n">
        <v>5</v>
      </c>
      <c r="H863" s="4">
        <f>IF(OR(N(F863)&gt;=0.5,G863&gt;=4),3,IF(OR(N(F863)&gt;=0.3,G863=3),2,IF(OR(N(F863)&gt;=0.1,G863&gt;=1),1,0)))</f>
        <v/>
      </c>
      <c r="I863" s="4">
        <f>CHOOSE(H863+1,"Kein Risiko","Gering","Mittel","Hoch")</f>
        <v/>
      </c>
    </row>
    <row r="864">
      <c r="A864" s="4" t="n">
        <v>860</v>
      </c>
      <c r="B864" s="4" t="inlineStr">
        <is>
          <t>apartments</t>
        </is>
      </c>
      <c r="C864" s="4" t="inlineStr">
        <is>
          <t>Byfanger Straße</t>
        </is>
      </c>
      <c r="D864" s="4" t="inlineStr">
        <is>
          <t>24</t>
        </is>
      </c>
      <c r="E864" s="13" t="n">
        <v>129.3</v>
      </c>
      <c r="F864" s="12" t="n">
        <v>0.2399978637695312</v>
      </c>
      <c r="G864" s="4" t="n">
        <v>5</v>
      </c>
      <c r="H864" s="4">
        <f>IF(OR(N(F864)&gt;=0.5,G864&gt;=4),3,IF(OR(N(F864)&gt;=0.3,G864=3),2,IF(OR(N(F864)&gt;=0.1,G864&gt;=1),1,0)))</f>
        <v/>
      </c>
      <c r="I864" s="4">
        <f>CHOOSE(H864+1,"Kein Risiko","Gering","Mittel","Hoch")</f>
        <v/>
      </c>
    </row>
    <row r="865">
      <c r="A865" s="4" t="n">
        <v>861</v>
      </c>
      <c r="B865" s="4" t="inlineStr">
        <is>
          <t>apartments</t>
        </is>
      </c>
      <c r="C865" s="4" t="inlineStr">
        <is>
          <t>Byfanger Straße</t>
        </is>
      </c>
      <c r="D865" s="4" t="inlineStr">
        <is>
          <t>26</t>
        </is>
      </c>
      <c r="E865" s="13" t="n">
        <v>191.7</v>
      </c>
      <c r="F865" s="12" t="n">
        <v>0.4599990844726562</v>
      </c>
      <c r="G865" s="4" t="n">
        <v>5</v>
      </c>
      <c r="H865" s="4">
        <f>IF(OR(N(F865)&gt;=0.5,G865&gt;=4),3,IF(OR(N(F865)&gt;=0.3,G865=3),2,IF(OR(N(F865)&gt;=0.1,G865&gt;=1),1,0)))</f>
        <v/>
      </c>
      <c r="I865" s="4">
        <f>CHOOSE(H865+1,"Kein Risiko","Gering","Mittel","Hoch")</f>
        <v/>
      </c>
    </row>
    <row r="866">
      <c r="A866" s="4" t="n">
        <v>862</v>
      </c>
      <c r="B866" s="4" t="inlineStr">
        <is>
          <t>apartments</t>
        </is>
      </c>
      <c r="C866" s="4" t="inlineStr">
        <is>
          <t>Byfanger Straße</t>
        </is>
      </c>
      <c r="D866" s="4" t="inlineStr">
        <is>
          <t>28</t>
        </is>
      </c>
      <c r="E866" s="13" t="n">
        <v>196.4</v>
      </c>
      <c r="F866" s="12" t="n">
        <v>0</v>
      </c>
      <c r="G866" s="4" t="n">
        <v>5</v>
      </c>
      <c r="H866" s="4">
        <f>IF(OR(N(F866)&gt;=0.5,G866&gt;=4),3,IF(OR(N(F866)&gt;=0.3,G866=3),2,IF(OR(N(F866)&gt;=0.1,G866&gt;=1),1,0)))</f>
        <v/>
      </c>
      <c r="I866" s="4">
        <f>CHOOSE(H866+1,"Kein Risiko","Gering","Mittel","Hoch")</f>
        <v/>
      </c>
    </row>
    <row r="867">
      <c r="A867" s="4" t="n">
        <v>863</v>
      </c>
      <c r="B867" s="4" t="inlineStr">
        <is>
          <t>apartments</t>
        </is>
      </c>
      <c r="C867" s="4" t="inlineStr">
        <is>
          <t>Byfanger Straße</t>
        </is>
      </c>
      <c r="D867" s="4" t="inlineStr">
        <is>
          <t>30</t>
        </is>
      </c>
      <c r="E867" s="13" t="n">
        <v>181.9</v>
      </c>
      <c r="F867" s="12" t="n">
        <v>0.05999755859375</v>
      </c>
      <c r="G867" s="4" t="n">
        <v>5</v>
      </c>
      <c r="H867" s="4">
        <f>IF(OR(N(F867)&gt;=0.5,G867&gt;=4),3,IF(OR(N(F867)&gt;=0.3,G867=3),2,IF(OR(N(F867)&gt;=0.1,G867&gt;=1),1,0)))</f>
        <v/>
      </c>
      <c r="I867" s="4">
        <f>CHOOSE(H867+1,"Kein Risiko","Gering","Mittel","Hoch")</f>
        <v/>
      </c>
    </row>
    <row r="868">
      <c r="A868" s="4" t="n">
        <v>864</v>
      </c>
      <c r="B868" s="4" t="inlineStr">
        <is>
          <t>apartments</t>
        </is>
      </c>
      <c r="C868" s="4" t="inlineStr">
        <is>
          <t>Byfanger Straße</t>
        </is>
      </c>
      <c r="D868" s="4" t="inlineStr">
        <is>
          <t>32</t>
        </is>
      </c>
      <c r="E868" s="13" t="n">
        <v>143.1</v>
      </c>
      <c r="F868" s="12" t="n">
        <v>0.5800018310546875</v>
      </c>
      <c r="G868" s="4" t="n">
        <v>0</v>
      </c>
      <c r="H868" s="4">
        <f>IF(OR(N(F868)&gt;=0.5,G868&gt;=4),3,IF(OR(N(F868)&gt;=0.3,G868=3),2,IF(OR(N(F868)&gt;=0.1,G868&gt;=1),1,0)))</f>
        <v/>
      </c>
      <c r="I868" s="4">
        <f>CHOOSE(H868+1,"Kein Risiko","Gering","Mittel","Hoch")</f>
        <v/>
      </c>
    </row>
    <row r="869">
      <c r="A869" s="4" t="n">
        <v>865</v>
      </c>
      <c r="B869" s="4" t="inlineStr">
        <is>
          <t>office</t>
        </is>
      </c>
      <c r="C869" s="4" t="inlineStr">
        <is>
          <t>Prinz-Friedrich-Straße</t>
        </is>
      </c>
      <c r="D869" s="4" t="inlineStr">
        <is>
          <t>28d</t>
        </is>
      </c>
      <c r="E869" s="13" t="n">
        <v>224.2</v>
      </c>
      <c r="F869" s="12" t="n">
        <v>0.009998321533203125</v>
      </c>
      <c r="G869" s="4" t="n">
        <v>0</v>
      </c>
      <c r="H869" s="4">
        <f>IF(OR(N(F869)&gt;=0.5,G869&gt;=4),3,IF(OR(N(F869)&gt;=0.3,G869=3),2,IF(OR(N(F869)&gt;=0.1,G869&gt;=1),1,0)))</f>
        <v/>
      </c>
      <c r="I869" s="4">
        <f>CHOOSE(H869+1,"Kein Risiko","Gering","Mittel","Hoch")</f>
        <v/>
      </c>
    </row>
    <row r="870">
      <c r="A870" s="4" t="n">
        <v>866</v>
      </c>
      <c r="B870" s="4" t="inlineStr">
        <is>
          <t>yes</t>
        </is>
      </c>
      <c r="C870" s="4" t="inlineStr">
        <is>
          <t>Prinz-Friedrich-Straße</t>
        </is>
      </c>
      <c r="D870" s="4" t="inlineStr">
        <is>
          <t>28g, 28h</t>
        </is>
      </c>
      <c r="E870" s="13" t="n">
        <v>258.4</v>
      </c>
      <c r="F870" s="12" t="n">
        <v>0.03000259399414062</v>
      </c>
      <c r="G870" s="4" t="n">
        <v>0</v>
      </c>
      <c r="H870" s="4">
        <f>IF(OR(N(F870)&gt;=0.5,G870&gt;=4),3,IF(OR(N(F870)&gt;=0.3,G870=3),2,IF(OR(N(F870)&gt;=0.1,G870&gt;=1),1,0)))</f>
        <v/>
      </c>
      <c r="I870" s="4">
        <f>CHOOSE(H870+1,"Kein Risiko","Gering","Mittel","Hoch")</f>
        <v/>
      </c>
    </row>
    <row r="871">
      <c r="A871" s="4" t="n">
        <v>867</v>
      </c>
      <c r="B871" s="4" t="inlineStr">
        <is>
          <t>yes</t>
        </is>
      </c>
      <c r="C871" s="4" t="inlineStr">
        <is>
          <t>Prinz-Friedrich-Straße</t>
        </is>
      </c>
      <c r="D871" s="4" t="inlineStr">
        <is>
          <t>28f</t>
        </is>
      </c>
      <c r="E871" s="13" t="n">
        <v>144.7</v>
      </c>
      <c r="F871" s="12" t="n">
        <v>0.02000045776367188</v>
      </c>
      <c r="G871" s="4" t="n">
        <v>0</v>
      </c>
      <c r="H871" s="4">
        <f>IF(OR(N(F871)&gt;=0.5,G871&gt;=4),3,IF(OR(N(F871)&gt;=0.3,G871=3),2,IF(OR(N(F871)&gt;=0.1,G871&gt;=1),1,0)))</f>
        <v/>
      </c>
      <c r="I871" s="4">
        <f>CHOOSE(H871+1,"Kein Risiko","Gering","Mittel","Hoch")</f>
        <v/>
      </c>
    </row>
    <row r="872">
      <c r="A872" s="4" t="n">
        <v>868</v>
      </c>
      <c r="B872" s="4" t="inlineStr">
        <is>
          <t>yes</t>
        </is>
      </c>
      <c r="C872" s="4" t="inlineStr">
        <is>
          <t>Prinz-Friedrich-Straße</t>
        </is>
      </c>
      <c r="D872" s="4" t="inlineStr">
        <is>
          <t>28e</t>
        </is>
      </c>
      <c r="E872" s="13" t="n">
        <v>252.4</v>
      </c>
      <c r="F872" s="12" t="n">
        <v>0.04000091552734375</v>
      </c>
      <c r="G872" s="4" t="n">
        <v>0</v>
      </c>
      <c r="H872" s="4">
        <f>IF(OR(N(F872)&gt;=0.5,G872&gt;=4),3,IF(OR(N(F872)&gt;=0.3,G872=3),2,IF(OR(N(F872)&gt;=0.1,G872&gt;=1),1,0)))</f>
        <v/>
      </c>
      <c r="I872" s="4">
        <f>CHOOSE(H872+1,"Kein Risiko","Gering","Mittel","Hoch")</f>
        <v/>
      </c>
    </row>
    <row r="873">
      <c r="A873" s="4" t="n">
        <v>869</v>
      </c>
      <c r="B873" s="4" t="inlineStr">
        <is>
          <t>yes</t>
        </is>
      </c>
      <c r="C873" s="4" t="inlineStr">
        <is>
          <t>Provesthöhe</t>
        </is>
      </c>
      <c r="D873" s="4" t="inlineStr">
        <is>
          <t>15</t>
        </is>
      </c>
      <c r="E873" s="13" t="n">
        <v>155.3</v>
      </c>
      <c r="F873" s="12" t="n">
        <v>0</v>
      </c>
      <c r="G873" s="4" t="n">
        <v>0</v>
      </c>
      <c r="H873" s="4">
        <f>IF(OR(N(F873)&gt;=0.5,G873&gt;=4),3,IF(OR(N(F873)&gt;=0.3,G873=3),2,IF(OR(N(F873)&gt;=0.1,G873&gt;=1),1,0)))</f>
        <v/>
      </c>
      <c r="I873" s="4">
        <f>CHOOSE(H873+1,"Kein Risiko","Gering","Mittel","Hoch")</f>
        <v/>
      </c>
    </row>
    <row r="874">
      <c r="A874" s="4" t="n">
        <v>870</v>
      </c>
      <c r="B874" s="4" t="inlineStr">
        <is>
          <t>yes</t>
        </is>
      </c>
      <c r="C874" s="4" t="inlineStr">
        <is>
          <t>Hinsbecker Berg</t>
        </is>
      </c>
      <c r="D874" s="4" t="inlineStr">
        <is>
          <t>44</t>
        </is>
      </c>
      <c r="E874" s="13" t="n">
        <v>169</v>
      </c>
      <c r="F874" s="12" t="n">
        <v>0</v>
      </c>
      <c r="G874" s="4" t="n">
        <v>1</v>
      </c>
      <c r="H874" s="4">
        <f>IF(OR(N(F874)&gt;=0.5,G874&gt;=4),3,IF(OR(N(F874)&gt;=0.3,G874=3),2,IF(OR(N(F874)&gt;=0.1,G874&gt;=1),1,0)))</f>
        <v/>
      </c>
      <c r="I874" s="4">
        <f>CHOOSE(H874+1,"Kein Risiko","Gering","Mittel","Hoch")</f>
        <v/>
      </c>
    </row>
    <row r="875">
      <c r="A875" s="4" t="n">
        <v>871</v>
      </c>
      <c r="B875" s="4" t="inlineStr">
        <is>
          <t>yes</t>
        </is>
      </c>
      <c r="C875" s="4" t="inlineStr">
        <is>
          <t>Provesthöhe</t>
        </is>
      </c>
      <c r="D875" s="4" t="inlineStr">
        <is>
          <t>19</t>
        </is>
      </c>
      <c r="E875" s="13" t="n">
        <v>204</v>
      </c>
      <c r="F875" s="12" t="n">
        <v>0</v>
      </c>
      <c r="G875" s="4" t="n">
        <v>0</v>
      </c>
      <c r="H875" s="4">
        <f>IF(OR(N(F875)&gt;=0.5,G875&gt;=4),3,IF(OR(N(F875)&gt;=0.3,G875=3),2,IF(OR(N(F875)&gt;=0.1,G875&gt;=1),1,0)))</f>
        <v/>
      </c>
      <c r="I875" s="4">
        <f>CHOOSE(H875+1,"Kein Risiko","Gering","Mittel","Hoch")</f>
        <v/>
      </c>
    </row>
    <row r="876">
      <c r="A876" s="4" t="n">
        <v>872</v>
      </c>
      <c r="B876" s="4" t="inlineStr">
        <is>
          <t>yes</t>
        </is>
      </c>
      <c r="C876" s="4" t="inlineStr">
        <is>
          <t>Provesthöhe</t>
        </is>
      </c>
      <c r="D876" s="4" t="inlineStr">
        <is>
          <t>21</t>
        </is>
      </c>
      <c r="E876" s="13" t="n">
        <v>174.5</v>
      </c>
      <c r="F876" s="12" t="n">
        <v>0</v>
      </c>
      <c r="G876" s="4" t="n">
        <v>0</v>
      </c>
      <c r="H876" s="4">
        <f>IF(OR(N(F876)&gt;=0.5,G876&gt;=4),3,IF(OR(N(F876)&gt;=0.3,G876=3),2,IF(OR(N(F876)&gt;=0.1,G876&gt;=1),1,0)))</f>
        <v/>
      </c>
      <c r="I876" s="4">
        <f>CHOOSE(H876+1,"Kein Risiko","Gering","Mittel","Hoch")</f>
        <v/>
      </c>
    </row>
    <row r="877">
      <c r="A877" s="4" t="n">
        <v>873</v>
      </c>
      <c r="B877" s="4" t="inlineStr">
        <is>
          <t>yes</t>
        </is>
      </c>
      <c r="C877" s="4" t="inlineStr">
        <is>
          <t>Hinsbecker Berg</t>
        </is>
      </c>
      <c r="D877" s="4" t="inlineStr">
        <is>
          <t>54</t>
        </is>
      </c>
      <c r="E877" s="13" t="n">
        <v>120.8</v>
      </c>
      <c r="F877" s="12" t="n">
        <v>0</v>
      </c>
      <c r="G877" s="4" t="n">
        <v>1</v>
      </c>
      <c r="H877" s="4">
        <f>IF(OR(N(F877)&gt;=0.5,G877&gt;=4),3,IF(OR(N(F877)&gt;=0.3,G877=3),2,IF(OR(N(F877)&gt;=0.1,G877&gt;=1),1,0)))</f>
        <v/>
      </c>
      <c r="I877" s="4">
        <f>CHOOSE(H877+1,"Kein Risiko","Gering","Mittel","Hoch")</f>
        <v/>
      </c>
    </row>
    <row r="878">
      <c r="A878" s="4" t="n">
        <v>874</v>
      </c>
      <c r="B878" s="4" t="inlineStr">
        <is>
          <t>yes</t>
        </is>
      </c>
      <c r="C878" s="4" t="inlineStr">
        <is>
          <t>Byfanger Straße</t>
        </is>
      </c>
      <c r="D878" s="4" t="inlineStr">
        <is>
          <t>93</t>
        </is>
      </c>
      <c r="E878" s="13" t="n">
        <v>106.2</v>
      </c>
      <c r="F878" s="12" t="n">
        <v>0</v>
      </c>
      <c r="G878" s="4" t="n">
        <v>0</v>
      </c>
      <c r="H878" s="4">
        <f>IF(OR(N(F878)&gt;=0.5,G878&gt;=4),3,IF(OR(N(F878)&gt;=0.3,G878=3),2,IF(OR(N(F878)&gt;=0.1,G878&gt;=1),1,0)))</f>
        <v/>
      </c>
      <c r="I878" s="4">
        <f>CHOOSE(H878+1,"Kein Risiko","Gering","Mittel","Hoch")</f>
        <v/>
      </c>
    </row>
    <row r="879">
      <c r="A879" s="4" t="n">
        <v>875</v>
      </c>
      <c r="B879" s="4" t="inlineStr">
        <is>
          <t>yes</t>
        </is>
      </c>
      <c r="C879" s="4" t="inlineStr">
        <is>
          <t>Hinsbecker Berg</t>
        </is>
      </c>
      <c r="D879" s="4" t="inlineStr">
        <is>
          <t>60</t>
        </is>
      </c>
      <c r="E879" s="13" t="n">
        <v>146.5</v>
      </c>
      <c r="F879" s="12" t="n">
        <v>0.5100021362304688</v>
      </c>
      <c r="G879" s="4" t="n">
        <v>0</v>
      </c>
      <c r="H879" s="4">
        <f>IF(OR(N(F879)&gt;=0.5,G879&gt;=4),3,IF(OR(N(F879)&gt;=0.3,G879=3),2,IF(OR(N(F879)&gt;=0.1,G879&gt;=1),1,0)))</f>
        <v/>
      </c>
      <c r="I879" s="4">
        <f>CHOOSE(H879+1,"Kein Risiko","Gering","Mittel","Hoch")</f>
        <v/>
      </c>
    </row>
    <row r="880">
      <c r="A880" s="4" t="n">
        <v>876</v>
      </c>
      <c r="B880" s="4" t="inlineStr">
        <is>
          <t>yes</t>
        </is>
      </c>
      <c r="C880" s="4" t="inlineStr">
        <is>
          <t>Hinsbecker Berg</t>
        </is>
      </c>
      <c r="D880" s="4" t="inlineStr">
        <is>
          <t>58</t>
        </is>
      </c>
      <c r="E880" s="13" t="n">
        <v>182.6</v>
      </c>
      <c r="F880" s="12" t="n">
        <v>0.029998779296875</v>
      </c>
      <c r="G880" s="4" t="n">
        <v>0</v>
      </c>
      <c r="H880" s="4">
        <f>IF(OR(N(F880)&gt;=0.5,G880&gt;=4),3,IF(OR(N(F880)&gt;=0.3,G880=3),2,IF(OR(N(F880)&gt;=0.1,G880&gt;=1),1,0)))</f>
        <v/>
      </c>
      <c r="I880" s="4">
        <f>CHOOSE(H880+1,"Kein Risiko","Gering","Mittel","Hoch")</f>
        <v/>
      </c>
    </row>
    <row r="881">
      <c r="A881" s="4" t="n">
        <v>877</v>
      </c>
      <c r="B881" s="4" t="inlineStr">
        <is>
          <t>yes</t>
        </is>
      </c>
      <c r="C881" s="4" t="inlineStr"/>
      <c r="D881" s="4" t="inlineStr"/>
      <c r="E881" s="13" t="n">
        <v>62</v>
      </c>
      <c r="F881" s="12" t="n">
        <v>0</v>
      </c>
      <c r="G881" s="4" t="n">
        <v>0</v>
      </c>
      <c r="H881" s="4">
        <f>IF(OR(N(F881)&gt;=0.5,G881&gt;=4),3,IF(OR(N(F881)&gt;=0.3,G881=3),2,IF(OR(N(F881)&gt;=0.1,G881&gt;=1),1,0)))</f>
        <v/>
      </c>
      <c r="I881" s="4">
        <f>CHOOSE(H881+1,"Kein Risiko","Gering","Mittel","Hoch")</f>
        <v/>
      </c>
    </row>
    <row r="882">
      <c r="A882" s="4" t="n">
        <v>878</v>
      </c>
      <c r="B882" s="4" t="inlineStr">
        <is>
          <t>yes</t>
        </is>
      </c>
      <c r="C882" s="4" t="inlineStr">
        <is>
          <t>Hinsbecker Berg</t>
        </is>
      </c>
      <c r="D882" s="4" t="inlineStr">
        <is>
          <t>62</t>
        </is>
      </c>
      <c r="E882" s="13" t="n">
        <v>141.8</v>
      </c>
      <c r="F882" s="12" t="n">
        <v>0.09999847412109375</v>
      </c>
      <c r="G882" s="4" t="n">
        <v>0</v>
      </c>
      <c r="H882" s="4">
        <f>IF(OR(N(F882)&gt;=0.5,G882&gt;=4),3,IF(OR(N(F882)&gt;=0.3,G882=3),2,IF(OR(N(F882)&gt;=0.1,G882&gt;=1),1,0)))</f>
        <v/>
      </c>
      <c r="I882" s="4">
        <f>CHOOSE(H882+1,"Kein Risiko","Gering","Mittel","Hoch")</f>
        <v/>
      </c>
    </row>
    <row r="883">
      <c r="A883" s="4" t="n">
        <v>879</v>
      </c>
      <c r="B883" s="4" t="inlineStr">
        <is>
          <t>apartments</t>
        </is>
      </c>
      <c r="C883" s="4" t="inlineStr">
        <is>
          <t>Sandstraße</t>
        </is>
      </c>
      <c r="D883" s="4" t="inlineStr">
        <is>
          <t>12</t>
        </is>
      </c>
      <c r="E883" s="13" t="n">
        <v>113.3</v>
      </c>
      <c r="F883" s="12" t="n">
        <v>0</v>
      </c>
      <c r="G883" s="4" t="n">
        <v>3</v>
      </c>
      <c r="H883" s="4">
        <f>IF(OR(N(F883)&gt;=0.5,G883&gt;=4),3,IF(OR(N(F883)&gt;=0.3,G883=3),2,IF(OR(N(F883)&gt;=0.1,G883&gt;=1),1,0)))</f>
        <v/>
      </c>
      <c r="I883" s="4">
        <f>CHOOSE(H883+1,"Kein Risiko","Gering","Mittel","Hoch")</f>
        <v/>
      </c>
    </row>
    <row r="884">
      <c r="A884" s="4" t="n">
        <v>880</v>
      </c>
      <c r="B884" s="4" t="inlineStr">
        <is>
          <t>detached</t>
        </is>
      </c>
      <c r="C884" s="4" t="inlineStr">
        <is>
          <t>Schwermannstraße</t>
        </is>
      </c>
      <c r="D884" s="4" t="inlineStr">
        <is>
          <t>61</t>
        </is>
      </c>
      <c r="E884" s="13" t="n">
        <v>139.1</v>
      </c>
      <c r="F884" s="12" t="n">
        <v>0</v>
      </c>
      <c r="G884" s="4" t="n">
        <v>0</v>
      </c>
      <c r="H884" s="4">
        <f>IF(OR(N(F884)&gt;=0.5,G884&gt;=4),3,IF(OR(N(F884)&gt;=0.3,G884=3),2,IF(OR(N(F884)&gt;=0.1,G884&gt;=1),1,0)))</f>
        <v/>
      </c>
      <c r="I884" s="4">
        <f>CHOOSE(H884+1,"Kein Risiko","Gering","Mittel","Hoch")</f>
        <v/>
      </c>
    </row>
    <row r="885">
      <c r="A885" s="4" t="n">
        <v>881</v>
      </c>
      <c r="B885" s="4" t="inlineStr">
        <is>
          <t>commercial</t>
        </is>
      </c>
      <c r="C885" s="4" t="inlineStr">
        <is>
          <t>Kupferdreher Straße</t>
        </is>
      </c>
      <c r="D885" s="4" t="inlineStr">
        <is>
          <t>97a</t>
        </is>
      </c>
      <c r="E885" s="13" t="n">
        <v>100.2</v>
      </c>
      <c r="F885" s="12" t="n">
        <v>0.02000045776367188</v>
      </c>
      <c r="G885" s="4" t="n">
        <v>1</v>
      </c>
      <c r="H885" s="4">
        <f>IF(OR(N(F885)&gt;=0.5,G885&gt;=4),3,IF(OR(N(F885)&gt;=0.3,G885=3),2,IF(OR(N(F885)&gt;=0.1,G885&gt;=1),1,0)))</f>
        <v/>
      </c>
      <c r="I885" s="4">
        <f>CHOOSE(H885+1,"Kein Risiko","Gering","Mittel","Hoch")</f>
        <v/>
      </c>
    </row>
    <row r="886">
      <c r="A886" s="4" t="n">
        <v>882</v>
      </c>
      <c r="B886" s="4" t="inlineStr">
        <is>
          <t>apartments</t>
        </is>
      </c>
      <c r="C886" s="4" t="inlineStr">
        <is>
          <t>Kupferdreher Straße</t>
        </is>
      </c>
      <c r="D886" s="4" t="inlineStr">
        <is>
          <t>101</t>
        </is>
      </c>
      <c r="E886" s="13" t="n">
        <v>151.3</v>
      </c>
      <c r="F886" s="12" t="n">
        <v>0</v>
      </c>
      <c r="G886" s="4" t="n">
        <v>0</v>
      </c>
      <c r="H886" s="4">
        <f>IF(OR(N(F886)&gt;=0.5,G886&gt;=4),3,IF(OR(N(F886)&gt;=0.3,G886=3),2,IF(OR(N(F886)&gt;=0.1,G886&gt;=1),1,0)))</f>
        <v/>
      </c>
      <c r="I886" s="4">
        <f>CHOOSE(H886+1,"Kein Risiko","Gering","Mittel","Hoch")</f>
        <v/>
      </c>
    </row>
    <row r="887">
      <c r="A887" s="4" t="n">
        <v>883</v>
      </c>
      <c r="B887" s="4" t="inlineStr">
        <is>
          <t>apartments</t>
        </is>
      </c>
      <c r="C887" s="4" t="inlineStr">
        <is>
          <t>Kupferdreher Straße</t>
        </is>
      </c>
      <c r="D887" s="4" t="inlineStr">
        <is>
          <t>145</t>
        </is>
      </c>
      <c r="E887" s="13" t="n">
        <v>144.8</v>
      </c>
      <c r="F887" s="12" t="n">
        <v>0</v>
      </c>
      <c r="G887" s="4" t="n">
        <v>1</v>
      </c>
      <c r="H887" s="4">
        <f>IF(OR(N(F887)&gt;=0.5,G887&gt;=4),3,IF(OR(N(F887)&gt;=0.3,G887=3),2,IF(OR(N(F887)&gt;=0.1,G887&gt;=1),1,0)))</f>
        <v/>
      </c>
      <c r="I887" s="4">
        <f>CHOOSE(H887+1,"Kein Risiko","Gering","Mittel","Hoch")</f>
        <v/>
      </c>
    </row>
    <row r="888">
      <c r="A888" s="4" t="n">
        <v>884</v>
      </c>
      <c r="B888" s="4" t="inlineStr">
        <is>
          <t>yes</t>
        </is>
      </c>
      <c r="C888" s="4" t="inlineStr">
        <is>
          <t>Anstockstraße</t>
        </is>
      </c>
      <c r="D888" s="4" t="inlineStr">
        <is>
          <t>6</t>
        </is>
      </c>
      <c r="E888" s="13" t="n">
        <v>184.3</v>
      </c>
      <c r="F888" s="12" t="n">
        <v>0.1100006103515625</v>
      </c>
      <c r="G888" s="4" t="n">
        <v>1</v>
      </c>
      <c r="H888" s="4">
        <f>IF(OR(N(F888)&gt;=0.5,G888&gt;=4),3,IF(OR(N(F888)&gt;=0.3,G888=3),2,IF(OR(N(F888)&gt;=0.1,G888&gt;=1),1,0)))</f>
        <v/>
      </c>
      <c r="I888" s="4">
        <f>CHOOSE(H888+1,"Kein Risiko","Gering","Mittel","Hoch")</f>
        <v/>
      </c>
    </row>
    <row r="889">
      <c r="A889" s="4" t="n">
        <v>885</v>
      </c>
      <c r="B889" s="4" t="inlineStr">
        <is>
          <t>school</t>
        </is>
      </c>
      <c r="C889" s="4" t="inlineStr">
        <is>
          <t>Schwermannstraße</t>
        </is>
      </c>
      <c r="D889" s="4" t="inlineStr">
        <is>
          <t>9</t>
        </is>
      </c>
      <c r="E889" s="13" t="n">
        <v>365</v>
      </c>
      <c r="F889" s="12" t="n">
        <v>0</v>
      </c>
      <c r="G889" s="4" t="n">
        <v>1</v>
      </c>
      <c r="H889" s="4">
        <f>IF(OR(N(F889)&gt;=0.5,G889&gt;=4),3,IF(OR(N(F889)&gt;=0.3,G889=3),2,IF(OR(N(F889)&gt;=0.1,G889&gt;=1),1,0)))</f>
        <v/>
      </c>
      <c r="I889" s="4">
        <f>CHOOSE(H889+1,"Kein Risiko","Gering","Mittel","Hoch")</f>
        <v/>
      </c>
    </row>
    <row r="890">
      <c r="A890" s="4" t="n">
        <v>886</v>
      </c>
      <c r="B890" s="4" t="inlineStr">
        <is>
          <t>yes</t>
        </is>
      </c>
      <c r="C890" s="4" t="inlineStr">
        <is>
          <t>Kupferdreher Straße</t>
        </is>
      </c>
      <c r="D890" s="4" t="inlineStr">
        <is>
          <t>155</t>
        </is>
      </c>
      <c r="E890" s="13" t="n">
        <v>112.2</v>
      </c>
      <c r="F890" s="12" t="n">
        <v>0</v>
      </c>
      <c r="G890" s="4" t="n">
        <v>0</v>
      </c>
      <c r="H890" s="4">
        <f>IF(OR(N(F890)&gt;=0.5,G890&gt;=4),3,IF(OR(N(F890)&gt;=0.3,G890=3),2,IF(OR(N(F890)&gt;=0.1,G890&gt;=1),1,0)))</f>
        <v/>
      </c>
      <c r="I890" s="4">
        <f>CHOOSE(H890+1,"Kein Risiko","Gering","Mittel","Hoch")</f>
        <v/>
      </c>
    </row>
    <row r="891">
      <c r="A891" s="4" t="n">
        <v>887</v>
      </c>
      <c r="B891" s="4" t="inlineStr">
        <is>
          <t>yes</t>
        </is>
      </c>
      <c r="C891" s="4" t="inlineStr">
        <is>
          <t>Kupferdreher Straße</t>
        </is>
      </c>
      <c r="D891" s="4" t="inlineStr">
        <is>
          <t>165a</t>
        </is>
      </c>
      <c r="E891" s="13" t="n">
        <v>144</v>
      </c>
      <c r="F891" s="12" t="n">
        <v>0</v>
      </c>
      <c r="G891" s="4" t="n">
        <v>0</v>
      </c>
      <c r="H891" s="4">
        <f>IF(OR(N(F891)&gt;=0.5,G891&gt;=4),3,IF(OR(N(F891)&gt;=0.3,G891=3),2,IF(OR(N(F891)&gt;=0.1,G891&gt;=1),1,0)))</f>
        <v/>
      </c>
      <c r="I891" s="4">
        <f>CHOOSE(H891+1,"Kein Risiko","Gering","Mittel","Hoch")</f>
        <v/>
      </c>
    </row>
    <row r="892">
      <c r="A892" s="4" t="n">
        <v>888</v>
      </c>
      <c r="B892" s="4" t="inlineStr">
        <is>
          <t>yes</t>
        </is>
      </c>
      <c r="C892" s="4" t="inlineStr"/>
      <c r="D892" s="4" t="inlineStr"/>
      <c r="E892" s="13" t="n">
        <v>306.1</v>
      </c>
      <c r="F892" s="12" t="n">
        <v>1.729999542236328</v>
      </c>
      <c r="G892" s="4" t="n">
        <v>0</v>
      </c>
      <c r="H892" s="4">
        <f>IF(OR(N(F892)&gt;=0.5,G892&gt;=4),3,IF(OR(N(F892)&gt;=0.3,G892=3),2,IF(OR(N(F892)&gt;=0.1,G892&gt;=1),1,0)))</f>
        <v/>
      </c>
      <c r="I892" s="4">
        <f>CHOOSE(H892+1,"Kein Risiko","Gering","Mittel","Hoch")</f>
        <v/>
      </c>
    </row>
    <row r="893">
      <c r="A893" s="4" t="n">
        <v>889</v>
      </c>
      <c r="B893" s="4" t="inlineStr">
        <is>
          <t>apartments</t>
        </is>
      </c>
      <c r="C893" s="4" t="inlineStr">
        <is>
          <t>Kupferdreher Straße</t>
        </is>
      </c>
      <c r="D893" s="4" t="inlineStr">
        <is>
          <t>100</t>
        </is>
      </c>
      <c r="E893" s="13" t="n">
        <v>190.1</v>
      </c>
      <c r="F893" s="12" t="n">
        <v>1.659999847412109</v>
      </c>
      <c r="G893" s="4" t="n">
        <v>3</v>
      </c>
      <c r="H893" s="4">
        <f>IF(OR(N(F893)&gt;=0.5,G893&gt;=4),3,IF(OR(N(F893)&gt;=0.3,G893=3),2,IF(OR(N(F893)&gt;=0.1,G893&gt;=1),1,0)))</f>
        <v/>
      </c>
      <c r="I893" s="4">
        <f>CHOOSE(H893+1,"Kein Risiko","Gering","Mittel","Hoch")</f>
        <v/>
      </c>
    </row>
    <row r="894">
      <c r="A894" s="4" t="n">
        <v>890</v>
      </c>
      <c r="B894" s="4" t="inlineStr">
        <is>
          <t>apartments</t>
        </is>
      </c>
      <c r="C894" s="4" t="inlineStr">
        <is>
          <t>Hinsbecker Löh</t>
        </is>
      </c>
      <c r="D894" s="4" t="inlineStr">
        <is>
          <t>5</t>
        </is>
      </c>
      <c r="E894" s="13" t="n">
        <v>152.9</v>
      </c>
      <c r="F894" s="12" t="n">
        <v>0.7999992370605469</v>
      </c>
      <c r="G894" s="4" t="n">
        <v>1</v>
      </c>
      <c r="H894" s="4">
        <f>IF(OR(N(F894)&gt;=0.5,G894&gt;=4),3,IF(OR(N(F894)&gt;=0.3,G894=3),2,IF(OR(N(F894)&gt;=0.1,G894&gt;=1),1,0)))</f>
        <v/>
      </c>
      <c r="I894" s="4">
        <f>CHOOSE(H894+1,"Kein Risiko","Gering","Mittel","Hoch")</f>
        <v/>
      </c>
    </row>
    <row r="895">
      <c r="A895" s="4" t="n">
        <v>891</v>
      </c>
      <c r="B895" s="4" t="inlineStr">
        <is>
          <t>detached</t>
        </is>
      </c>
      <c r="C895" s="4" t="inlineStr">
        <is>
          <t>Kupferdreher Straße</t>
        </is>
      </c>
      <c r="D895" s="4" t="inlineStr">
        <is>
          <t>102</t>
        </is>
      </c>
      <c r="E895" s="13" t="n">
        <v>83.5</v>
      </c>
      <c r="F895" s="12" t="n">
        <v>1.090000152587891</v>
      </c>
      <c r="G895" s="4" t="n">
        <v>0</v>
      </c>
      <c r="H895" s="4">
        <f>IF(OR(N(F895)&gt;=0.5,G895&gt;=4),3,IF(OR(N(F895)&gt;=0.3,G895=3),2,IF(OR(N(F895)&gt;=0.1,G895&gt;=1),1,0)))</f>
        <v/>
      </c>
      <c r="I895" s="4">
        <f>CHOOSE(H895+1,"Kein Risiko","Gering","Mittel","Hoch")</f>
        <v/>
      </c>
    </row>
    <row r="896">
      <c r="A896" s="4" t="n">
        <v>892</v>
      </c>
      <c r="B896" s="4" t="inlineStr">
        <is>
          <t>house</t>
        </is>
      </c>
      <c r="C896" s="4" t="inlineStr">
        <is>
          <t>Hinsbecker Löh</t>
        </is>
      </c>
      <c r="D896" s="4" t="inlineStr">
        <is>
          <t>7a</t>
        </is>
      </c>
      <c r="E896" s="13" t="n">
        <v>72.3</v>
      </c>
      <c r="F896" s="12" t="n">
        <v>0.7299995422363281</v>
      </c>
      <c r="G896" s="4" t="n">
        <v>5</v>
      </c>
      <c r="H896" s="4">
        <f>IF(OR(N(F896)&gt;=0.5,G896&gt;=4),3,IF(OR(N(F896)&gt;=0.3,G896=3),2,IF(OR(N(F896)&gt;=0.1,G896&gt;=1),1,0)))</f>
        <v/>
      </c>
      <c r="I896" s="4">
        <f>CHOOSE(H896+1,"Kein Risiko","Gering","Mittel","Hoch")</f>
        <v/>
      </c>
    </row>
    <row r="897">
      <c r="A897" s="4" t="n">
        <v>893</v>
      </c>
      <c r="B897" s="4" t="inlineStr">
        <is>
          <t>yes</t>
        </is>
      </c>
      <c r="C897" s="4" t="inlineStr"/>
      <c r="D897" s="4" t="inlineStr"/>
      <c r="E897" s="13" t="n">
        <v>797.1</v>
      </c>
      <c r="F897" s="12" t="n">
        <v>0.3299980163574219</v>
      </c>
      <c r="G897" s="4" t="n">
        <v>2</v>
      </c>
      <c r="H897" s="4">
        <f>IF(OR(N(F897)&gt;=0.5,G897&gt;=4),3,IF(OR(N(F897)&gt;=0.3,G897=3),2,IF(OR(N(F897)&gt;=0.1,G897&gt;=1),1,0)))</f>
        <v/>
      </c>
      <c r="I897" s="4">
        <f>CHOOSE(H897+1,"Kein Risiko","Gering","Mittel","Hoch")</f>
        <v/>
      </c>
    </row>
    <row r="898">
      <c r="A898" s="4" t="n">
        <v>894</v>
      </c>
      <c r="B898" s="4" t="inlineStr">
        <is>
          <t>yes</t>
        </is>
      </c>
      <c r="C898" s="4" t="inlineStr"/>
      <c r="D898" s="4" t="inlineStr"/>
      <c r="E898" s="13" t="n">
        <v>626.2</v>
      </c>
      <c r="F898" s="12" t="n">
        <v>0.03000259399414062</v>
      </c>
      <c r="G898" s="4" t="n">
        <v>2</v>
      </c>
      <c r="H898" s="4">
        <f>IF(OR(N(F898)&gt;=0.5,G898&gt;=4),3,IF(OR(N(F898)&gt;=0.3,G898=3),2,IF(OR(N(F898)&gt;=0.1,G898&gt;=1),1,0)))</f>
        <v/>
      </c>
      <c r="I898" s="4">
        <f>CHOOSE(H898+1,"Kein Risiko","Gering","Mittel","Hoch")</f>
        <v/>
      </c>
    </row>
    <row r="899">
      <c r="A899" s="4" t="n">
        <v>895</v>
      </c>
      <c r="B899" s="4" t="inlineStr">
        <is>
          <t>yes</t>
        </is>
      </c>
      <c r="C899" s="4" t="inlineStr">
        <is>
          <t>Gasstraße</t>
        </is>
      </c>
      <c r="D899" s="4" t="inlineStr">
        <is>
          <t>12</t>
        </is>
      </c>
      <c r="E899" s="13" t="n">
        <v>152.1</v>
      </c>
      <c r="F899" s="12" t="n">
        <v>0.1800003051757812</v>
      </c>
      <c r="G899" s="4" t="n">
        <v>1</v>
      </c>
      <c r="H899" s="4">
        <f>IF(OR(N(F899)&gt;=0.5,G899&gt;=4),3,IF(OR(N(F899)&gt;=0.3,G899=3),2,IF(OR(N(F899)&gt;=0.1,G899&gt;=1),1,0)))</f>
        <v/>
      </c>
      <c r="I899" s="4">
        <f>CHOOSE(H899+1,"Kein Risiko","Gering","Mittel","Hoch")</f>
        <v/>
      </c>
    </row>
    <row r="900">
      <c r="A900" s="4" t="n">
        <v>896</v>
      </c>
      <c r="B900" s="4" t="inlineStr">
        <is>
          <t>industrial</t>
        </is>
      </c>
      <c r="C900" s="4" t="inlineStr">
        <is>
          <t>Gasstraße</t>
        </is>
      </c>
      <c r="D900" s="4" t="inlineStr">
        <is>
          <t>2a</t>
        </is>
      </c>
      <c r="E900" s="13" t="n">
        <v>11590.6</v>
      </c>
      <c r="F900" s="12" t="n">
        <v>0.03000259399414062</v>
      </c>
      <c r="G900" s="4" t="n">
        <v>0</v>
      </c>
      <c r="H900" s="4">
        <f>IF(OR(N(F900)&gt;=0.5,G900&gt;=4),3,IF(OR(N(F900)&gt;=0.3,G900=3),2,IF(OR(N(F900)&gt;=0.1,G900&gt;=1),1,0)))</f>
        <v/>
      </c>
      <c r="I900" s="4">
        <f>CHOOSE(H900+1,"Kein Risiko","Gering","Mittel","Hoch")</f>
        <v/>
      </c>
    </row>
    <row r="901">
      <c r="A901" s="4" t="n">
        <v>897</v>
      </c>
      <c r="B901" s="4" t="inlineStr">
        <is>
          <t>yes</t>
        </is>
      </c>
      <c r="C901" s="4" t="inlineStr">
        <is>
          <t>Hinsbecker Berg</t>
        </is>
      </c>
      <c r="D901" s="4" t="inlineStr">
        <is>
          <t>45</t>
        </is>
      </c>
      <c r="E901" s="13" t="n">
        <v>153.8</v>
      </c>
      <c r="F901" s="12" t="n">
        <v>0</v>
      </c>
      <c r="G901" s="4" t="n">
        <v>0</v>
      </c>
      <c r="H901" s="4">
        <f>IF(OR(N(F901)&gt;=0.5,G901&gt;=4),3,IF(OR(N(F901)&gt;=0.3,G901=3),2,IF(OR(N(F901)&gt;=0.1,G901&gt;=1),1,0)))</f>
        <v/>
      </c>
      <c r="I901" s="4">
        <f>CHOOSE(H901+1,"Kein Risiko","Gering","Mittel","Hoch")</f>
        <v/>
      </c>
    </row>
    <row r="902">
      <c r="A902" s="4" t="n">
        <v>898</v>
      </c>
      <c r="B902" s="4" t="inlineStr">
        <is>
          <t>yes</t>
        </is>
      </c>
      <c r="C902" s="4" t="inlineStr">
        <is>
          <t>Provesthöhe</t>
        </is>
      </c>
      <c r="D902" s="4" t="inlineStr">
        <is>
          <t>23</t>
        </is>
      </c>
      <c r="E902" s="13" t="n">
        <v>168</v>
      </c>
      <c r="F902" s="12" t="n">
        <v>0</v>
      </c>
      <c r="G902" s="4" t="n">
        <v>0</v>
      </c>
      <c r="H902" s="4">
        <f>IF(OR(N(F902)&gt;=0.5,G902&gt;=4),3,IF(OR(N(F902)&gt;=0.3,G902=3),2,IF(OR(N(F902)&gt;=0.1,G902&gt;=1),1,0)))</f>
        <v/>
      </c>
      <c r="I902" s="4">
        <f>CHOOSE(H902+1,"Kein Risiko","Gering","Mittel","Hoch")</f>
        <v/>
      </c>
    </row>
    <row r="903">
      <c r="A903" s="4" t="n">
        <v>899</v>
      </c>
      <c r="B903" s="4" t="inlineStr">
        <is>
          <t>yes</t>
        </is>
      </c>
      <c r="C903" s="4" t="inlineStr">
        <is>
          <t>Provesthöhe</t>
        </is>
      </c>
      <c r="D903" s="4" t="inlineStr">
        <is>
          <t>32</t>
        </is>
      </c>
      <c r="E903" s="13" t="n">
        <v>89.40000000000001</v>
      </c>
      <c r="F903" s="12" t="n">
        <v>0</v>
      </c>
      <c r="G903" s="4" t="n">
        <v>1</v>
      </c>
      <c r="H903" s="4">
        <f>IF(OR(N(F903)&gt;=0.5,G903&gt;=4),3,IF(OR(N(F903)&gt;=0.3,G903=3),2,IF(OR(N(F903)&gt;=0.1,G903&gt;=1),1,0)))</f>
        <v/>
      </c>
      <c r="I903" s="4">
        <f>CHOOSE(H903+1,"Kein Risiko","Gering","Mittel","Hoch")</f>
        <v/>
      </c>
    </row>
    <row r="904">
      <c r="A904" s="4" t="n">
        <v>900</v>
      </c>
      <c r="B904" s="4" t="inlineStr">
        <is>
          <t>yes</t>
        </is>
      </c>
      <c r="C904" s="4" t="inlineStr">
        <is>
          <t>Provesthöhe</t>
        </is>
      </c>
      <c r="D904" s="4" t="inlineStr">
        <is>
          <t>25</t>
        </is>
      </c>
      <c r="E904" s="13" t="n">
        <v>161.7</v>
      </c>
      <c r="F904" s="12" t="n">
        <v>0.04999542236328125</v>
      </c>
      <c r="G904" s="4" t="n">
        <v>0</v>
      </c>
      <c r="H904" s="4">
        <f>IF(OR(N(F904)&gt;=0.5,G904&gt;=4),3,IF(OR(N(F904)&gt;=0.3,G904=3),2,IF(OR(N(F904)&gt;=0.1,G904&gt;=1),1,0)))</f>
        <v/>
      </c>
      <c r="I904" s="4">
        <f>CHOOSE(H904+1,"Kein Risiko","Gering","Mittel","Hoch")</f>
        <v/>
      </c>
    </row>
    <row r="905">
      <c r="A905" s="4" t="n">
        <v>901</v>
      </c>
      <c r="B905" s="4" t="inlineStr">
        <is>
          <t>yes</t>
        </is>
      </c>
      <c r="C905" s="4" t="inlineStr">
        <is>
          <t>Provesthöhe</t>
        </is>
      </c>
      <c r="D905" s="4" t="inlineStr">
        <is>
          <t>31</t>
        </is>
      </c>
      <c r="E905" s="13" t="n">
        <v>95.40000000000001</v>
      </c>
      <c r="F905" s="12" t="n">
        <v>0</v>
      </c>
      <c r="G905" s="4" t="n">
        <v>3</v>
      </c>
      <c r="H905" s="4">
        <f>IF(OR(N(F905)&gt;=0.5,G905&gt;=4),3,IF(OR(N(F905)&gt;=0.3,G905=3),2,IF(OR(N(F905)&gt;=0.1,G905&gt;=1),1,0)))</f>
        <v/>
      </c>
      <c r="I905" s="4">
        <f>CHOOSE(H905+1,"Kein Risiko","Gering","Mittel","Hoch")</f>
        <v/>
      </c>
    </row>
    <row r="906">
      <c r="A906" s="4" t="n">
        <v>902</v>
      </c>
      <c r="B906" s="4" t="inlineStr">
        <is>
          <t>yes</t>
        </is>
      </c>
      <c r="C906" s="4" t="inlineStr">
        <is>
          <t>Bovermanns Kamp</t>
        </is>
      </c>
      <c r="D906" s="4" t="inlineStr">
        <is>
          <t>18b</t>
        </is>
      </c>
      <c r="E906" s="13" t="n">
        <v>139.7</v>
      </c>
      <c r="F906" s="12" t="n">
        <v>0.01999664306640625</v>
      </c>
      <c r="G906" s="4" t="n">
        <v>0</v>
      </c>
      <c r="H906" s="4">
        <f>IF(OR(N(F906)&gt;=0.5,G906&gt;=4),3,IF(OR(N(F906)&gt;=0.3,G906=3),2,IF(OR(N(F906)&gt;=0.1,G906&gt;=1),1,0)))</f>
        <v/>
      </c>
      <c r="I906" s="4">
        <f>CHOOSE(H906+1,"Kein Risiko","Gering","Mittel","Hoch")</f>
        <v/>
      </c>
    </row>
    <row r="907">
      <c r="A907" s="4" t="n">
        <v>903</v>
      </c>
      <c r="B907" s="4" t="inlineStr">
        <is>
          <t>yes</t>
        </is>
      </c>
      <c r="C907" s="4" t="inlineStr">
        <is>
          <t>Hinsbecker Berg</t>
        </is>
      </c>
      <c r="D907" s="4" t="inlineStr">
        <is>
          <t>65</t>
        </is>
      </c>
      <c r="E907" s="13" t="n">
        <v>195.6</v>
      </c>
      <c r="F907" s="12" t="n">
        <v>0.09000396728515625</v>
      </c>
      <c r="G907" s="4" t="n">
        <v>0</v>
      </c>
      <c r="H907" s="4">
        <f>IF(OR(N(F907)&gt;=0.5,G907&gt;=4),3,IF(OR(N(F907)&gt;=0.3,G907=3),2,IF(OR(N(F907)&gt;=0.1,G907&gt;=1),1,0)))</f>
        <v/>
      </c>
      <c r="I907" s="4">
        <f>CHOOSE(H907+1,"Kein Risiko","Gering","Mittel","Hoch")</f>
        <v/>
      </c>
    </row>
    <row r="908">
      <c r="A908" s="4" t="n">
        <v>904</v>
      </c>
      <c r="B908" s="4" t="inlineStr">
        <is>
          <t>detached</t>
        </is>
      </c>
      <c r="C908" s="4" t="inlineStr">
        <is>
          <t>Bovermanns Kamp</t>
        </is>
      </c>
      <c r="D908" s="4" t="inlineStr">
        <is>
          <t>11</t>
        </is>
      </c>
      <c r="E908" s="13" t="n">
        <v>78.40000000000001</v>
      </c>
      <c r="F908" s="12" t="n">
        <v>0</v>
      </c>
      <c r="G908" s="4" t="n">
        <v>0</v>
      </c>
      <c r="H908" s="4">
        <f>IF(OR(N(F908)&gt;=0.5,G908&gt;=4),3,IF(OR(N(F908)&gt;=0.3,G908=3),2,IF(OR(N(F908)&gt;=0.1,G908&gt;=1),1,0)))</f>
        <v/>
      </c>
      <c r="I908" s="4">
        <f>CHOOSE(H908+1,"Kein Risiko","Gering","Mittel","Hoch")</f>
        <v/>
      </c>
    </row>
    <row r="909">
      <c r="A909" s="4" t="n">
        <v>905</v>
      </c>
      <c r="B909" s="4" t="inlineStr">
        <is>
          <t>yes</t>
        </is>
      </c>
      <c r="C909" s="4" t="inlineStr">
        <is>
          <t>Hinsbecker Berg</t>
        </is>
      </c>
      <c r="D909" s="4" t="inlineStr">
        <is>
          <t>59</t>
        </is>
      </c>
      <c r="E909" s="13" t="n">
        <v>130</v>
      </c>
      <c r="F909" s="12" t="n">
        <v>0</v>
      </c>
      <c r="G909" s="4" t="n">
        <v>0</v>
      </c>
      <c r="H909" s="4">
        <f>IF(OR(N(F909)&gt;=0.5,G909&gt;=4),3,IF(OR(N(F909)&gt;=0.3,G909=3),2,IF(OR(N(F909)&gt;=0.1,G909&gt;=1),1,0)))</f>
        <v/>
      </c>
      <c r="I909" s="4">
        <f>CHOOSE(H909+1,"Kein Risiko","Gering","Mittel","Hoch")</f>
        <v/>
      </c>
    </row>
    <row r="910">
      <c r="A910" s="4" t="n">
        <v>906</v>
      </c>
      <c r="B910" s="4" t="inlineStr">
        <is>
          <t>yes</t>
        </is>
      </c>
      <c r="C910" s="4" t="inlineStr">
        <is>
          <t>Hinsbecker Berg</t>
        </is>
      </c>
      <c r="D910" s="4" t="inlineStr">
        <is>
          <t>67</t>
        </is>
      </c>
      <c r="E910" s="13" t="n">
        <v>86.7</v>
      </c>
      <c r="F910" s="12" t="n">
        <v>0</v>
      </c>
      <c r="G910" s="4" t="n">
        <v>0</v>
      </c>
      <c r="H910" s="4">
        <f>IF(OR(N(F910)&gt;=0.5,G910&gt;=4),3,IF(OR(N(F910)&gt;=0.3,G910=3),2,IF(OR(N(F910)&gt;=0.1,G910&gt;=1),1,0)))</f>
        <v/>
      </c>
      <c r="I910" s="4">
        <f>CHOOSE(H910+1,"Kein Risiko","Gering","Mittel","Hoch")</f>
        <v/>
      </c>
    </row>
    <row r="911">
      <c r="A911" s="4" t="n">
        <v>907</v>
      </c>
      <c r="B911" s="4" t="inlineStr">
        <is>
          <t>yes</t>
        </is>
      </c>
      <c r="C911" s="4" t="inlineStr">
        <is>
          <t>Byfanger Straße</t>
        </is>
      </c>
      <c r="D911" s="4" t="inlineStr">
        <is>
          <t>97</t>
        </is>
      </c>
      <c r="E911" s="13" t="n">
        <v>115.2</v>
      </c>
      <c r="F911" s="12" t="n">
        <v>0.04000091552734375</v>
      </c>
      <c r="G911" s="4" t="n">
        <v>0</v>
      </c>
      <c r="H911" s="4">
        <f>IF(OR(N(F911)&gt;=0.5,G911&gt;=4),3,IF(OR(N(F911)&gt;=0.3,G911=3),2,IF(OR(N(F911)&gt;=0.1,G911&gt;=1),1,0)))</f>
        <v/>
      </c>
      <c r="I911" s="4">
        <f>CHOOSE(H911+1,"Kein Risiko","Gering","Mittel","Hoch")</f>
        <v/>
      </c>
    </row>
    <row r="912">
      <c r="A912" s="4" t="n">
        <v>908</v>
      </c>
      <c r="B912" s="4" t="inlineStr">
        <is>
          <t>yes</t>
        </is>
      </c>
      <c r="C912" s="4" t="inlineStr">
        <is>
          <t>Hinsbecker Berg</t>
        </is>
      </c>
      <c r="D912" s="4" t="inlineStr">
        <is>
          <t>63</t>
        </is>
      </c>
      <c r="E912" s="13" t="n">
        <v>144</v>
      </c>
      <c r="F912" s="12" t="n">
        <v>0</v>
      </c>
      <c r="G912" s="4" t="n">
        <v>0</v>
      </c>
      <c r="H912" s="4">
        <f>IF(OR(N(F912)&gt;=0.5,G912&gt;=4),3,IF(OR(N(F912)&gt;=0.3,G912=3),2,IF(OR(N(F912)&gt;=0.1,G912&gt;=1),1,0)))</f>
        <v/>
      </c>
      <c r="I912" s="4">
        <f>CHOOSE(H912+1,"Kein Risiko","Gering","Mittel","Hoch")</f>
        <v/>
      </c>
    </row>
    <row r="913">
      <c r="A913" s="4" t="n">
        <v>909</v>
      </c>
      <c r="B913" s="4" t="inlineStr">
        <is>
          <t>yes</t>
        </is>
      </c>
      <c r="C913" s="4" t="inlineStr">
        <is>
          <t>Hinsbecker Berg</t>
        </is>
      </c>
      <c r="D913" s="4" t="inlineStr">
        <is>
          <t>57</t>
        </is>
      </c>
      <c r="E913" s="13" t="n">
        <v>95.7</v>
      </c>
      <c r="F913" s="12" t="n">
        <v>0</v>
      </c>
      <c r="G913" s="4" t="n">
        <v>1</v>
      </c>
      <c r="H913" s="4">
        <f>IF(OR(N(F913)&gt;=0.5,G913&gt;=4),3,IF(OR(N(F913)&gt;=0.3,G913=3),2,IF(OR(N(F913)&gt;=0.1,G913&gt;=1),1,0)))</f>
        <v/>
      </c>
      <c r="I913" s="4">
        <f>CHOOSE(H913+1,"Kein Risiko","Gering","Mittel","Hoch")</f>
        <v/>
      </c>
    </row>
    <row r="914">
      <c r="A914" s="4" t="n">
        <v>910</v>
      </c>
      <c r="B914" s="4" t="inlineStr">
        <is>
          <t>yes</t>
        </is>
      </c>
      <c r="C914" s="4" t="inlineStr">
        <is>
          <t>Byfanger Straße</t>
        </is>
      </c>
      <c r="D914" s="4" t="inlineStr">
        <is>
          <t>120</t>
        </is>
      </c>
      <c r="E914" s="13" t="n">
        <v>101.8</v>
      </c>
      <c r="F914" s="12" t="n">
        <v>0</v>
      </c>
      <c r="G914" s="4" t="n">
        <v>0</v>
      </c>
      <c r="H914" s="4">
        <f>IF(OR(N(F914)&gt;=0.5,G914&gt;=4),3,IF(OR(N(F914)&gt;=0.3,G914=3),2,IF(OR(N(F914)&gt;=0.1,G914&gt;=1),1,0)))</f>
        <v/>
      </c>
      <c r="I914" s="4">
        <f>CHOOSE(H914+1,"Kein Risiko","Gering","Mittel","Hoch")</f>
        <v/>
      </c>
    </row>
    <row r="915">
      <c r="A915" s="4" t="n">
        <v>911</v>
      </c>
      <c r="B915" s="4" t="inlineStr">
        <is>
          <t>yes</t>
        </is>
      </c>
      <c r="C915" s="4" t="inlineStr">
        <is>
          <t>Byfanger Straße</t>
        </is>
      </c>
      <c r="D915" s="4" t="inlineStr">
        <is>
          <t>100</t>
        </is>
      </c>
      <c r="E915" s="13" t="n">
        <v>107.9</v>
      </c>
      <c r="F915" s="12" t="n">
        <v>0.04000091552734375</v>
      </c>
      <c r="G915" s="4" t="n">
        <v>0</v>
      </c>
      <c r="H915" s="4">
        <f>IF(OR(N(F915)&gt;=0.5,G915&gt;=4),3,IF(OR(N(F915)&gt;=0.3,G915=3),2,IF(OR(N(F915)&gt;=0.1,G915&gt;=1),1,0)))</f>
        <v/>
      </c>
      <c r="I915" s="4">
        <f>CHOOSE(H915+1,"Kein Risiko","Gering","Mittel","Hoch")</f>
        <v/>
      </c>
    </row>
    <row r="916">
      <c r="A916" s="4" t="n">
        <v>912</v>
      </c>
      <c r="B916" s="4" t="inlineStr">
        <is>
          <t>yes</t>
        </is>
      </c>
      <c r="C916" s="4" t="inlineStr">
        <is>
          <t>Grotestraße</t>
        </is>
      </c>
      <c r="D916" s="4" t="inlineStr">
        <is>
          <t>1</t>
        </is>
      </c>
      <c r="E916" s="13" t="n">
        <v>82.8</v>
      </c>
      <c r="F916" s="12" t="n">
        <v>0</v>
      </c>
      <c r="G916" s="4" t="n">
        <v>0</v>
      </c>
      <c r="H916" s="4">
        <f>IF(OR(N(F916)&gt;=0.5,G916&gt;=4),3,IF(OR(N(F916)&gt;=0.3,G916=3),2,IF(OR(N(F916)&gt;=0.1,G916&gt;=1),1,0)))</f>
        <v/>
      </c>
      <c r="I916" s="4">
        <f>CHOOSE(H916+1,"Kein Risiko","Gering","Mittel","Hoch")</f>
        <v/>
      </c>
    </row>
    <row r="917">
      <c r="A917" s="4" t="n">
        <v>913</v>
      </c>
      <c r="B917" s="4" t="inlineStr">
        <is>
          <t>yes</t>
        </is>
      </c>
      <c r="C917" s="4" t="inlineStr">
        <is>
          <t>Byfanger Straße</t>
        </is>
      </c>
      <c r="D917" s="4" t="inlineStr">
        <is>
          <t>142</t>
        </is>
      </c>
      <c r="E917" s="13" t="n">
        <v>58.9</v>
      </c>
      <c r="F917" s="12" t="n">
        <v>0</v>
      </c>
      <c r="G917" s="4" t="n">
        <v>1</v>
      </c>
      <c r="H917" s="4">
        <f>IF(OR(N(F917)&gt;=0.5,G917&gt;=4),3,IF(OR(N(F917)&gt;=0.3,G917=3),2,IF(OR(N(F917)&gt;=0.1,G917&gt;=1),1,0)))</f>
        <v/>
      </c>
      <c r="I917" s="4">
        <f>CHOOSE(H917+1,"Kein Risiko","Gering","Mittel","Hoch")</f>
        <v/>
      </c>
    </row>
    <row r="918">
      <c r="A918" s="4" t="n">
        <v>914</v>
      </c>
      <c r="B918" s="4" t="inlineStr">
        <is>
          <t>yes</t>
        </is>
      </c>
      <c r="C918" s="4" t="inlineStr">
        <is>
          <t>Byfanger Straße</t>
        </is>
      </c>
      <c r="D918" s="4" t="inlineStr">
        <is>
          <t>166</t>
        </is>
      </c>
      <c r="E918" s="13" t="n">
        <v>115.1</v>
      </c>
      <c r="F918" s="12" t="n">
        <v>0.01999664306640625</v>
      </c>
      <c r="G918" s="4" t="n">
        <v>0</v>
      </c>
      <c r="H918" s="4">
        <f>IF(OR(N(F918)&gt;=0.5,G918&gt;=4),3,IF(OR(N(F918)&gt;=0.3,G918=3),2,IF(OR(N(F918)&gt;=0.1,G918&gt;=1),1,0)))</f>
        <v/>
      </c>
      <c r="I918" s="4">
        <f>CHOOSE(H918+1,"Kein Risiko","Gering","Mittel","Hoch")</f>
        <v/>
      </c>
    </row>
    <row r="919">
      <c r="A919" s="4" t="n">
        <v>915</v>
      </c>
      <c r="B919" s="4" t="inlineStr">
        <is>
          <t>yes</t>
        </is>
      </c>
      <c r="C919" s="4" t="inlineStr">
        <is>
          <t>Byfanger Straße</t>
        </is>
      </c>
      <c r="D919" s="4" t="inlineStr">
        <is>
          <t>162</t>
        </is>
      </c>
      <c r="E919" s="13" t="n">
        <v>114.3</v>
      </c>
      <c r="F919" s="12" t="n">
        <v>0</v>
      </c>
      <c r="G919" s="4" t="n">
        <v>2</v>
      </c>
      <c r="H919" s="4">
        <f>IF(OR(N(F919)&gt;=0.5,G919&gt;=4),3,IF(OR(N(F919)&gt;=0.3,G919=3),2,IF(OR(N(F919)&gt;=0.1,G919&gt;=1),1,0)))</f>
        <v/>
      </c>
      <c r="I919" s="4">
        <f>CHOOSE(H919+1,"Kein Risiko","Gering","Mittel","Hoch")</f>
        <v/>
      </c>
    </row>
    <row r="920">
      <c r="A920" s="4" t="n">
        <v>916</v>
      </c>
      <c r="B920" s="4" t="inlineStr">
        <is>
          <t>yes</t>
        </is>
      </c>
      <c r="C920" s="4" t="inlineStr">
        <is>
          <t>Byfanger Straße</t>
        </is>
      </c>
      <c r="D920" s="4" t="inlineStr">
        <is>
          <t>158</t>
        </is>
      </c>
      <c r="E920" s="13" t="n">
        <v>141.6</v>
      </c>
      <c r="F920" s="12" t="n">
        <v>0.01000213623046875</v>
      </c>
      <c r="G920" s="4" t="n">
        <v>0</v>
      </c>
      <c r="H920" s="4">
        <f>IF(OR(N(F920)&gt;=0.5,G920&gt;=4),3,IF(OR(N(F920)&gt;=0.3,G920=3),2,IF(OR(N(F920)&gt;=0.1,G920&gt;=1),1,0)))</f>
        <v/>
      </c>
      <c r="I920" s="4">
        <f>CHOOSE(H920+1,"Kein Risiko","Gering","Mittel","Hoch")</f>
        <v/>
      </c>
    </row>
    <row r="921">
      <c r="A921" s="4" t="n">
        <v>917</v>
      </c>
      <c r="B921" s="4" t="inlineStr">
        <is>
          <t>yes</t>
        </is>
      </c>
      <c r="C921" s="4" t="inlineStr">
        <is>
          <t>Byfanger Straße</t>
        </is>
      </c>
      <c r="D921" s="4" t="inlineStr">
        <is>
          <t>186</t>
        </is>
      </c>
      <c r="E921" s="13" t="n">
        <v>75.7</v>
      </c>
      <c r="F921" s="12" t="n">
        <v>0</v>
      </c>
      <c r="G921" s="4" t="n">
        <v>0</v>
      </c>
      <c r="H921" s="4">
        <f>IF(OR(N(F921)&gt;=0.5,G921&gt;=4),3,IF(OR(N(F921)&gt;=0.3,G921=3),2,IF(OR(N(F921)&gt;=0.1,G921&gt;=1),1,0)))</f>
        <v/>
      </c>
      <c r="I921" s="4">
        <f>CHOOSE(H921+1,"Kein Risiko","Gering","Mittel","Hoch")</f>
        <v/>
      </c>
    </row>
    <row r="922">
      <c r="A922" s="4" t="n">
        <v>918</v>
      </c>
      <c r="B922" s="4" t="inlineStr">
        <is>
          <t>yes</t>
        </is>
      </c>
      <c r="C922" s="4" t="inlineStr">
        <is>
          <t>Byfanger Straße</t>
        </is>
      </c>
      <c r="D922" s="4" t="inlineStr">
        <is>
          <t>178</t>
        </is>
      </c>
      <c r="E922" s="13" t="n">
        <v>87.8</v>
      </c>
      <c r="F922" s="12" t="n">
        <v>0.0200042724609375</v>
      </c>
      <c r="G922" s="4" t="n">
        <v>0</v>
      </c>
      <c r="H922" s="4">
        <f>IF(OR(N(F922)&gt;=0.5,G922&gt;=4),3,IF(OR(N(F922)&gt;=0.3,G922=3),2,IF(OR(N(F922)&gt;=0.1,G922&gt;=1),1,0)))</f>
        <v/>
      </c>
      <c r="I922" s="4">
        <f>CHOOSE(H922+1,"Kein Risiko","Gering","Mittel","Hoch")</f>
        <v/>
      </c>
    </row>
    <row r="923">
      <c r="A923" s="4" t="n">
        <v>919</v>
      </c>
      <c r="B923" s="4" t="inlineStr">
        <is>
          <t>yes</t>
        </is>
      </c>
      <c r="C923" s="4" t="inlineStr">
        <is>
          <t>Byfanger Straße</t>
        </is>
      </c>
      <c r="D923" s="4" t="inlineStr">
        <is>
          <t>174</t>
        </is>
      </c>
      <c r="E923" s="13" t="n">
        <v>107.3</v>
      </c>
      <c r="F923" s="12" t="n">
        <v>0.01999664306640625</v>
      </c>
      <c r="G923" s="4" t="n">
        <v>1</v>
      </c>
      <c r="H923" s="4">
        <f>IF(OR(N(F923)&gt;=0.5,G923&gt;=4),3,IF(OR(N(F923)&gt;=0.3,G923=3),2,IF(OR(N(F923)&gt;=0.1,G923&gt;=1),1,0)))</f>
        <v/>
      </c>
      <c r="I923" s="4">
        <f>CHOOSE(H923+1,"Kein Risiko","Gering","Mittel","Hoch")</f>
        <v/>
      </c>
    </row>
    <row r="924">
      <c r="A924" s="4" t="n">
        <v>920</v>
      </c>
      <c r="B924" s="4" t="inlineStr">
        <is>
          <t>yes</t>
        </is>
      </c>
      <c r="C924" s="4" t="inlineStr">
        <is>
          <t>Provesthöhe</t>
        </is>
      </c>
      <c r="D924" s="4" t="inlineStr">
        <is>
          <t>30</t>
        </is>
      </c>
      <c r="E924" s="13" t="n">
        <v>85.90000000000001</v>
      </c>
      <c r="F924" s="12" t="n">
        <v>0.160003662109375</v>
      </c>
      <c r="G924" s="4" t="n">
        <v>0</v>
      </c>
      <c r="H924" s="4">
        <f>IF(OR(N(F924)&gt;=0.5,G924&gt;=4),3,IF(OR(N(F924)&gt;=0.3,G924=3),2,IF(OR(N(F924)&gt;=0.1,G924&gt;=1),1,0)))</f>
        <v/>
      </c>
      <c r="I924" s="4">
        <f>CHOOSE(H924+1,"Kein Risiko","Gering","Mittel","Hoch")</f>
        <v/>
      </c>
    </row>
    <row r="925">
      <c r="A925" s="4" t="n">
        <v>921</v>
      </c>
      <c r="B925" s="4" t="inlineStr">
        <is>
          <t>detached</t>
        </is>
      </c>
      <c r="C925" s="4" t="inlineStr">
        <is>
          <t>Bovermanns Kamp</t>
        </is>
      </c>
      <c r="D925" s="4" t="inlineStr">
        <is>
          <t>10</t>
        </is>
      </c>
      <c r="E925" s="13" t="n">
        <v>122.7</v>
      </c>
      <c r="F925" s="12" t="n">
        <v>0.029998779296875</v>
      </c>
      <c r="G925" s="4" t="n">
        <v>0</v>
      </c>
      <c r="H925" s="4">
        <f>IF(OR(N(F925)&gt;=0.5,G925&gt;=4),3,IF(OR(N(F925)&gt;=0.3,G925=3),2,IF(OR(N(F925)&gt;=0.1,G925&gt;=1),1,0)))</f>
        <v/>
      </c>
      <c r="I925" s="4">
        <f>CHOOSE(H925+1,"Kein Risiko","Gering","Mittel","Hoch")</f>
        <v/>
      </c>
    </row>
    <row r="926">
      <c r="A926" s="4" t="n">
        <v>922</v>
      </c>
      <c r="B926" s="4" t="inlineStr">
        <is>
          <t>yes</t>
        </is>
      </c>
      <c r="C926" s="4" t="inlineStr">
        <is>
          <t>Bovermanns Kamp</t>
        </is>
      </c>
      <c r="D926" s="4" t="inlineStr">
        <is>
          <t>16</t>
        </is>
      </c>
      <c r="E926" s="13" t="n">
        <v>106.2</v>
      </c>
      <c r="F926" s="12" t="n">
        <v>0</v>
      </c>
      <c r="G926" s="4" t="n">
        <v>2</v>
      </c>
      <c r="H926" s="4">
        <f>IF(OR(N(F926)&gt;=0.5,G926&gt;=4),3,IF(OR(N(F926)&gt;=0.3,G926=3),2,IF(OR(N(F926)&gt;=0.1,G926&gt;=1),1,0)))</f>
        <v/>
      </c>
      <c r="I926" s="4">
        <f>CHOOSE(H926+1,"Kein Risiko","Gering","Mittel","Hoch")</f>
        <v/>
      </c>
    </row>
    <row r="927">
      <c r="A927" s="4" t="n">
        <v>923</v>
      </c>
      <c r="B927" s="4" t="inlineStr">
        <is>
          <t>apartments</t>
        </is>
      </c>
      <c r="C927" s="4" t="inlineStr">
        <is>
          <t>Bovermanns Kamp</t>
        </is>
      </c>
      <c r="D927" s="4" t="inlineStr">
        <is>
          <t>2,4</t>
        </is>
      </c>
      <c r="E927" s="13" t="n">
        <v>278</v>
      </c>
      <c r="F927" s="12" t="n">
        <v>0.0800018310546875</v>
      </c>
      <c r="G927" s="4" t="n">
        <v>2</v>
      </c>
      <c r="H927" s="4">
        <f>IF(OR(N(F927)&gt;=0.5,G927&gt;=4),3,IF(OR(N(F927)&gt;=0.3,G927=3),2,IF(OR(N(F927)&gt;=0.1,G927&gt;=1),1,0)))</f>
        <v/>
      </c>
      <c r="I927" s="4">
        <f>CHOOSE(H927+1,"Kein Risiko","Gering","Mittel","Hoch")</f>
        <v/>
      </c>
    </row>
    <row r="928">
      <c r="A928" s="4" t="n">
        <v>924</v>
      </c>
      <c r="B928" s="4" t="inlineStr">
        <is>
          <t>yes</t>
        </is>
      </c>
      <c r="C928" s="4" t="inlineStr">
        <is>
          <t>Byfanger Straße</t>
        </is>
      </c>
      <c r="D928" s="4" t="inlineStr">
        <is>
          <t>111</t>
        </is>
      </c>
      <c r="E928" s="13" t="n">
        <v>88.8</v>
      </c>
      <c r="F928" s="12" t="n">
        <v>0</v>
      </c>
      <c r="G928" s="4" t="n">
        <v>0</v>
      </c>
      <c r="H928" s="4">
        <f>IF(OR(N(F928)&gt;=0.5,G928&gt;=4),3,IF(OR(N(F928)&gt;=0.3,G928=3),2,IF(OR(N(F928)&gt;=0.1,G928&gt;=1),1,0)))</f>
        <v/>
      </c>
      <c r="I928" s="4">
        <f>CHOOSE(H928+1,"Kein Risiko","Gering","Mittel","Hoch")</f>
        <v/>
      </c>
    </row>
    <row r="929">
      <c r="A929" s="4" t="n">
        <v>925</v>
      </c>
      <c r="B929" s="4" t="inlineStr">
        <is>
          <t>yes</t>
        </is>
      </c>
      <c r="C929" s="4" t="inlineStr">
        <is>
          <t>Byfanger Straße</t>
        </is>
      </c>
      <c r="D929" s="4" t="inlineStr">
        <is>
          <t>115</t>
        </is>
      </c>
      <c r="E929" s="13" t="n">
        <v>60.1</v>
      </c>
      <c r="F929" s="12" t="n">
        <v>0</v>
      </c>
      <c r="G929" s="4" t="n">
        <v>0</v>
      </c>
      <c r="H929" s="4">
        <f>IF(OR(N(F929)&gt;=0.5,G929&gt;=4),3,IF(OR(N(F929)&gt;=0.3,G929=3),2,IF(OR(N(F929)&gt;=0.1,G929&gt;=1),1,0)))</f>
        <v/>
      </c>
      <c r="I929" s="4">
        <f>CHOOSE(H929+1,"Kein Risiko","Gering","Mittel","Hoch")</f>
        <v/>
      </c>
    </row>
    <row r="930">
      <c r="A930" s="4" t="n">
        <v>926</v>
      </c>
      <c r="B930" s="4" t="inlineStr">
        <is>
          <t>yes</t>
        </is>
      </c>
      <c r="C930" s="4" t="inlineStr">
        <is>
          <t>Grotehang</t>
        </is>
      </c>
      <c r="D930" s="4" t="inlineStr">
        <is>
          <t>16</t>
        </is>
      </c>
      <c r="E930" s="13" t="n">
        <v>77.5</v>
      </c>
      <c r="F930" s="12" t="n">
        <v>0</v>
      </c>
      <c r="G930" s="4" t="n">
        <v>0</v>
      </c>
      <c r="H930" s="4">
        <f>IF(OR(N(F930)&gt;=0.5,G930&gt;=4),3,IF(OR(N(F930)&gt;=0.3,G930=3),2,IF(OR(N(F930)&gt;=0.1,G930&gt;=1),1,0)))</f>
        <v/>
      </c>
      <c r="I930" s="4">
        <f>CHOOSE(H930+1,"Kein Risiko","Gering","Mittel","Hoch")</f>
        <v/>
      </c>
    </row>
    <row r="931">
      <c r="A931" s="4" t="n">
        <v>927</v>
      </c>
      <c r="B931" s="4" t="inlineStr">
        <is>
          <t>apartments</t>
        </is>
      </c>
      <c r="C931" s="4" t="inlineStr">
        <is>
          <t>Niederweniger Straße</t>
        </is>
      </c>
      <c r="D931" s="4" t="inlineStr">
        <is>
          <t>21</t>
        </is>
      </c>
      <c r="E931" s="13" t="n">
        <v>127.7</v>
      </c>
      <c r="F931" s="12" t="n">
        <v>0.3000030517578125</v>
      </c>
      <c r="G931" s="4" t="n">
        <v>0</v>
      </c>
      <c r="H931" s="4">
        <f>IF(OR(N(F931)&gt;=0.5,G931&gt;=4),3,IF(OR(N(F931)&gt;=0.3,G931=3),2,IF(OR(N(F931)&gt;=0.1,G931&gt;=1),1,0)))</f>
        <v/>
      </c>
      <c r="I931" s="4">
        <f>CHOOSE(H931+1,"Kein Risiko","Gering","Mittel","Hoch")</f>
        <v/>
      </c>
    </row>
    <row r="932">
      <c r="A932" s="4" t="n">
        <v>928</v>
      </c>
      <c r="B932" s="4" t="inlineStr">
        <is>
          <t>yes</t>
        </is>
      </c>
      <c r="C932" s="4" t="inlineStr">
        <is>
          <t>Grotehang</t>
        </is>
      </c>
      <c r="D932" s="4" t="inlineStr">
        <is>
          <t>18</t>
        </is>
      </c>
      <c r="E932" s="13" t="n">
        <v>132.7</v>
      </c>
      <c r="F932" s="12" t="n">
        <v>0</v>
      </c>
      <c r="G932" s="4" t="n">
        <v>0</v>
      </c>
      <c r="H932" s="4">
        <f>IF(OR(N(F932)&gt;=0.5,G932&gt;=4),3,IF(OR(N(F932)&gt;=0.3,G932=3),2,IF(OR(N(F932)&gt;=0.1,G932&gt;=1),1,0)))</f>
        <v/>
      </c>
      <c r="I932" s="4">
        <f>CHOOSE(H932+1,"Kein Risiko","Gering","Mittel","Hoch")</f>
        <v/>
      </c>
    </row>
    <row r="933">
      <c r="A933" s="4" t="n">
        <v>929</v>
      </c>
      <c r="B933" s="4" t="inlineStr">
        <is>
          <t>apartments</t>
        </is>
      </c>
      <c r="C933" s="4" t="inlineStr">
        <is>
          <t>Niederweniger Straße</t>
        </is>
      </c>
      <c r="D933" s="4" t="inlineStr">
        <is>
          <t>25</t>
        </is>
      </c>
      <c r="E933" s="13" t="n">
        <v>152</v>
      </c>
      <c r="F933" s="12" t="n">
        <v>0</v>
      </c>
      <c r="G933" s="4" t="n">
        <v>0</v>
      </c>
      <c r="H933" s="4">
        <f>IF(OR(N(F933)&gt;=0.5,G933&gt;=4),3,IF(OR(N(F933)&gt;=0.3,G933=3),2,IF(OR(N(F933)&gt;=0.1,G933&gt;=1),1,0)))</f>
        <v/>
      </c>
      <c r="I933" s="4">
        <f>CHOOSE(H933+1,"Kein Risiko","Gering","Mittel","Hoch")</f>
        <v/>
      </c>
    </row>
    <row r="934">
      <c r="A934" s="4" t="n">
        <v>930</v>
      </c>
      <c r="B934" s="4" t="inlineStr">
        <is>
          <t>yes</t>
        </is>
      </c>
      <c r="C934" s="4" t="inlineStr">
        <is>
          <t>Grotehang</t>
        </is>
      </c>
      <c r="D934" s="4" t="inlineStr">
        <is>
          <t>14</t>
        </is>
      </c>
      <c r="E934" s="13" t="n">
        <v>71.90000000000001</v>
      </c>
      <c r="F934" s="12" t="n">
        <v>0</v>
      </c>
      <c r="G934" s="4" t="n">
        <v>0</v>
      </c>
      <c r="H934" s="4">
        <f>IF(OR(N(F934)&gt;=0.5,G934&gt;=4),3,IF(OR(N(F934)&gt;=0.3,G934=3),2,IF(OR(N(F934)&gt;=0.1,G934&gt;=1),1,0)))</f>
        <v/>
      </c>
      <c r="I934" s="4">
        <f>CHOOSE(H934+1,"Kein Risiko","Gering","Mittel","Hoch")</f>
        <v/>
      </c>
    </row>
    <row r="935">
      <c r="A935" s="4" t="n">
        <v>931</v>
      </c>
      <c r="B935" s="4" t="inlineStr">
        <is>
          <t>yes</t>
        </is>
      </c>
      <c r="C935" s="4" t="inlineStr">
        <is>
          <t>Grotehang</t>
        </is>
      </c>
      <c r="D935" s="4" t="inlineStr">
        <is>
          <t>12</t>
        </is>
      </c>
      <c r="E935" s="13" t="n">
        <v>87.2</v>
      </c>
      <c r="F935" s="12" t="n">
        <v>0</v>
      </c>
      <c r="G935" s="4" t="n">
        <v>0</v>
      </c>
      <c r="H935" s="4">
        <f>IF(OR(N(F935)&gt;=0.5,G935&gt;=4),3,IF(OR(N(F935)&gt;=0.3,G935=3),2,IF(OR(N(F935)&gt;=0.1,G935&gt;=1),1,0)))</f>
        <v/>
      </c>
      <c r="I935" s="4">
        <f>CHOOSE(H935+1,"Kein Risiko","Gering","Mittel","Hoch")</f>
        <v/>
      </c>
    </row>
    <row r="936">
      <c r="A936" s="4" t="n">
        <v>932</v>
      </c>
      <c r="B936" s="4" t="inlineStr">
        <is>
          <t>apartments</t>
        </is>
      </c>
      <c r="C936" s="4" t="inlineStr">
        <is>
          <t>Grotehang</t>
        </is>
      </c>
      <c r="D936" s="4" t="inlineStr">
        <is>
          <t>11</t>
        </is>
      </c>
      <c r="E936" s="13" t="n">
        <v>81.7</v>
      </c>
      <c r="F936" s="12" t="n">
        <v>0</v>
      </c>
      <c r="G936" s="4" t="n">
        <v>0</v>
      </c>
      <c r="H936" s="4">
        <f>IF(OR(N(F936)&gt;=0.5,G936&gt;=4),3,IF(OR(N(F936)&gt;=0.3,G936=3),2,IF(OR(N(F936)&gt;=0.1,G936&gt;=1),1,0)))</f>
        <v/>
      </c>
      <c r="I936" s="4">
        <f>CHOOSE(H936+1,"Kein Risiko","Gering","Mittel","Hoch")</f>
        <v/>
      </c>
    </row>
    <row r="937">
      <c r="A937" s="4" t="n">
        <v>933</v>
      </c>
      <c r="B937" s="4" t="inlineStr">
        <is>
          <t>yes</t>
        </is>
      </c>
      <c r="C937" s="4" t="inlineStr">
        <is>
          <t>Grotehang</t>
        </is>
      </c>
      <c r="D937" s="4" t="inlineStr">
        <is>
          <t>5</t>
        </is>
      </c>
      <c r="E937" s="13" t="n">
        <v>89.90000000000001</v>
      </c>
      <c r="F937" s="12" t="n">
        <v>0</v>
      </c>
      <c r="G937" s="4" t="n">
        <v>0</v>
      </c>
      <c r="H937" s="4">
        <f>IF(OR(N(F937)&gt;=0.5,G937&gt;=4),3,IF(OR(N(F937)&gt;=0.3,G937=3),2,IF(OR(N(F937)&gt;=0.1,G937&gt;=1),1,0)))</f>
        <v/>
      </c>
      <c r="I937" s="4">
        <f>CHOOSE(H937+1,"Kein Risiko","Gering","Mittel","Hoch")</f>
        <v/>
      </c>
    </row>
    <row r="938">
      <c r="A938" s="4" t="n">
        <v>934</v>
      </c>
      <c r="B938" s="4" t="inlineStr">
        <is>
          <t>yes</t>
        </is>
      </c>
      <c r="C938" s="4" t="inlineStr">
        <is>
          <t>An den Friedhöfen</t>
        </is>
      </c>
      <c r="D938" s="4" t="inlineStr">
        <is>
          <t>4</t>
        </is>
      </c>
      <c r="E938" s="13" t="n">
        <v>242.1</v>
      </c>
      <c r="F938" s="12" t="n">
        <v>0.07999420166015625</v>
      </c>
      <c r="G938" s="4" t="n">
        <v>0</v>
      </c>
      <c r="H938" s="4">
        <f>IF(OR(N(F938)&gt;=0.5,G938&gt;=4),3,IF(OR(N(F938)&gt;=0.3,G938=3),2,IF(OR(N(F938)&gt;=0.1,G938&gt;=1),1,0)))</f>
        <v/>
      </c>
      <c r="I938" s="4">
        <f>CHOOSE(H938+1,"Kein Risiko","Gering","Mittel","Hoch")</f>
        <v/>
      </c>
    </row>
    <row r="939">
      <c r="A939" s="4" t="n">
        <v>935</v>
      </c>
      <c r="B939" s="4" t="inlineStr">
        <is>
          <t>yes</t>
        </is>
      </c>
      <c r="C939" s="4" t="inlineStr">
        <is>
          <t>An den Friedhöfen</t>
        </is>
      </c>
      <c r="D939" s="4" t="inlineStr">
        <is>
          <t>20</t>
        </is>
      </c>
      <c r="E939" s="13" t="n">
        <v>122.6</v>
      </c>
      <c r="F939" s="12" t="n">
        <v>0.01000213623046875</v>
      </c>
      <c r="G939" s="4" t="n">
        <v>0</v>
      </c>
      <c r="H939" s="4">
        <f>IF(OR(N(F939)&gt;=0.5,G939&gt;=4),3,IF(OR(N(F939)&gt;=0.3,G939=3),2,IF(OR(N(F939)&gt;=0.1,G939&gt;=1),1,0)))</f>
        <v/>
      </c>
      <c r="I939" s="4">
        <f>CHOOSE(H939+1,"Kein Risiko","Gering","Mittel","Hoch")</f>
        <v/>
      </c>
    </row>
    <row r="940">
      <c r="A940" s="4" t="n">
        <v>936</v>
      </c>
      <c r="B940" s="4" t="inlineStr">
        <is>
          <t>apartments</t>
        </is>
      </c>
      <c r="C940" s="4" t="inlineStr">
        <is>
          <t>Niederweniger Straße</t>
        </is>
      </c>
      <c r="D940" s="4" t="inlineStr">
        <is>
          <t>37,39</t>
        </is>
      </c>
      <c r="E940" s="13" t="n">
        <v>378.4</v>
      </c>
      <c r="F940" s="12" t="n">
        <v>0.0800018310546875</v>
      </c>
      <c r="G940" s="4" t="n">
        <v>0</v>
      </c>
      <c r="H940" s="4">
        <f>IF(OR(N(F940)&gt;=0.5,G940&gt;=4),3,IF(OR(N(F940)&gt;=0.3,G940=3),2,IF(OR(N(F940)&gt;=0.1,G940&gt;=1),1,0)))</f>
        <v/>
      </c>
      <c r="I940" s="4">
        <f>CHOOSE(H940+1,"Kein Risiko","Gering","Mittel","Hoch")</f>
        <v/>
      </c>
    </row>
    <row r="941">
      <c r="A941" s="4" t="n">
        <v>937</v>
      </c>
      <c r="B941" s="4" t="inlineStr">
        <is>
          <t>apartments</t>
        </is>
      </c>
      <c r="C941" s="4" t="inlineStr">
        <is>
          <t>Niederweniger Straße</t>
        </is>
      </c>
      <c r="D941" s="4" t="inlineStr">
        <is>
          <t>53</t>
        </is>
      </c>
      <c r="E941" s="13" t="n">
        <v>124</v>
      </c>
      <c r="F941" s="12" t="n">
        <v>0.029998779296875</v>
      </c>
      <c r="G941" s="4" t="n">
        <v>0</v>
      </c>
      <c r="H941" s="4">
        <f>IF(OR(N(F941)&gt;=0.5,G941&gt;=4),3,IF(OR(N(F941)&gt;=0.3,G941=3),2,IF(OR(N(F941)&gt;=0.1,G941&gt;=1),1,0)))</f>
        <v/>
      </c>
      <c r="I941" s="4">
        <f>CHOOSE(H941+1,"Kein Risiko","Gering","Mittel","Hoch")</f>
        <v/>
      </c>
    </row>
    <row r="942">
      <c r="A942" s="4" t="n">
        <v>938</v>
      </c>
      <c r="B942" s="4" t="inlineStr">
        <is>
          <t>apartments</t>
        </is>
      </c>
      <c r="C942" s="4" t="inlineStr">
        <is>
          <t>Niederweniger Straße</t>
        </is>
      </c>
      <c r="D942" s="4" t="inlineStr">
        <is>
          <t>49</t>
        </is>
      </c>
      <c r="E942" s="13" t="n">
        <v>140.2</v>
      </c>
      <c r="F942" s="12" t="n">
        <v>0.01000213623046875</v>
      </c>
      <c r="G942" s="4" t="n">
        <v>0</v>
      </c>
      <c r="H942" s="4">
        <f>IF(OR(N(F942)&gt;=0.5,G942&gt;=4),3,IF(OR(N(F942)&gt;=0.3,G942=3),2,IF(OR(N(F942)&gt;=0.1,G942&gt;=1),1,0)))</f>
        <v/>
      </c>
      <c r="I942" s="4">
        <f>CHOOSE(H942+1,"Kein Risiko","Gering","Mittel","Hoch")</f>
        <v/>
      </c>
    </row>
    <row r="943">
      <c r="A943" s="4" t="n">
        <v>939</v>
      </c>
      <c r="B943" s="4" t="inlineStr">
        <is>
          <t>yes</t>
        </is>
      </c>
      <c r="C943" s="4" t="inlineStr">
        <is>
          <t>Niederweniger Straße</t>
        </is>
      </c>
      <c r="D943" s="4" t="inlineStr">
        <is>
          <t>59</t>
        </is>
      </c>
      <c r="E943" s="13" t="n">
        <v>141.4</v>
      </c>
      <c r="F943" s="12" t="n">
        <v>0.05999755859375</v>
      </c>
      <c r="G943" s="4" t="n">
        <v>0</v>
      </c>
      <c r="H943" s="4">
        <f>IF(OR(N(F943)&gt;=0.5,G943&gt;=4),3,IF(OR(N(F943)&gt;=0.3,G943=3),2,IF(OR(N(F943)&gt;=0.1,G943&gt;=1),1,0)))</f>
        <v/>
      </c>
      <c r="I943" s="4">
        <f>CHOOSE(H943+1,"Kein Risiko","Gering","Mittel","Hoch")</f>
        <v/>
      </c>
    </row>
    <row r="944">
      <c r="A944" s="4" t="n">
        <v>940</v>
      </c>
      <c r="B944" s="4" t="inlineStr">
        <is>
          <t>apartments</t>
        </is>
      </c>
      <c r="C944" s="4" t="inlineStr">
        <is>
          <t>Niederweniger Straße</t>
        </is>
      </c>
      <c r="D944" s="4" t="inlineStr">
        <is>
          <t>45</t>
        </is>
      </c>
      <c r="E944" s="13" t="n">
        <v>223.3</v>
      </c>
      <c r="F944" s="12" t="n">
        <v>0.05999755859375</v>
      </c>
      <c r="G944" s="4" t="n">
        <v>0</v>
      </c>
      <c r="H944" s="4">
        <f>IF(OR(N(F944)&gt;=0.5,G944&gt;=4),3,IF(OR(N(F944)&gt;=0.3,G944=3),2,IF(OR(N(F944)&gt;=0.1,G944&gt;=1),1,0)))</f>
        <v/>
      </c>
      <c r="I944" s="4">
        <f>CHOOSE(H944+1,"Kein Risiko","Gering","Mittel","Hoch")</f>
        <v/>
      </c>
    </row>
    <row r="945">
      <c r="A945" s="4" t="n">
        <v>941</v>
      </c>
      <c r="B945" s="4" t="inlineStr">
        <is>
          <t>apartments</t>
        </is>
      </c>
      <c r="C945" s="4" t="inlineStr">
        <is>
          <t>Niederweniger Straße</t>
        </is>
      </c>
      <c r="D945" s="4" t="inlineStr">
        <is>
          <t>47</t>
        </is>
      </c>
      <c r="E945" s="13" t="n">
        <v>93.5</v>
      </c>
      <c r="F945" s="12" t="n">
        <v>0</v>
      </c>
      <c r="G945" s="4" t="n">
        <v>0</v>
      </c>
      <c r="H945" s="4">
        <f>IF(OR(N(F945)&gt;=0.5,G945&gt;=4),3,IF(OR(N(F945)&gt;=0.3,G945=3),2,IF(OR(N(F945)&gt;=0.1,G945&gt;=1),1,0)))</f>
        <v/>
      </c>
      <c r="I945" s="4">
        <f>CHOOSE(H945+1,"Kein Risiko","Gering","Mittel","Hoch")</f>
        <v/>
      </c>
    </row>
    <row r="946">
      <c r="A946" s="4" t="n">
        <v>942</v>
      </c>
      <c r="B946" s="4" t="inlineStr">
        <is>
          <t>yes</t>
        </is>
      </c>
      <c r="C946" s="4" t="inlineStr">
        <is>
          <t>Niederweniger Straße</t>
        </is>
      </c>
      <c r="D946" s="4" t="inlineStr">
        <is>
          <t>57</t>
        </is>
      </c>
      <c r="E946" s="13" t="n">
        <v>81</v>
      </c>
      <c r="F946" s="12" t="n">
        <v>0</v>
      </c>
      <c r="G946" s="4" t="n">
        <v>0</v>
      </c>
      <c r="H946" s="4">
        <f>IF(OR(N(F946)&gt;=0.5,G946&gt;=4),3,IF(OR(N(F946)&gt;=0.3,G946=3),2,IF(OR(N(F946)&gt;=0.1,G946&gt;=1),1,0)))</f>
        <v/>
      </c>
      <c r="I946" s="4">
        <f>CHOOSE(H946+1,"Kein Risiko","Gering","Mittel","Hoch")</f>
        <v/>
      </c>
    </row>
    <row r="947">
      <c r="A947" s="4" t="n">
        <v>943</v>
      </c>
      <c r="B947" s="4" t="inlineStr">
        <is>
          <t>yes</t>
        </is>
      </c>
      <c r="C947" s="4" t="inlineStr">
        <is>
          <t>Niederweniger Straße</t>
        </is>
      </c>
      <c r="D947" s="4" t="inlineStr">
        <is>
          <t>73</t>
        </is>
      </c>
      <c r="E947" s="13" t="n">
        <v>191.7</v>
      </c>
      <c r="F947" s="12" t="n">
        <v>0.8799972534179688</v>
      </c>
      <c r="G947" s="4" t="n">
        <v>1</v>
      </c>
      <c r="H947" s="4">
        <f>IF(OR(N(F947)&gt;=0.5,G947&gt;=4),3,IF(OR(N(F947)&gt;=0.3,G947=3),2,IF(OR(N(F947)&gt;=0.1,G947&gt;=1),1,0)))</f>
        <v/>
      </c>
      <c r="I947" s="4">
        <f>CHOOSE(H947+1,"Kein Risiko","Gering","Mittel","Hoch")</f>
        <v/>
      </c>
    </row>
    <row r="948">
      <c r="A948" s="4" t="n">
        <v>944</v>
      </c>
      <c r="B948" s="4" t="inlineStr">
        <is>
          <t>yes</t>
        </is>
      </c>
      <c r="C948" s="4" t="inlineStr">
        <is>
          <t>Niederweniger Straße</t>
        </is>
      </c>
      <c r="D948" s="4" t="inlineStr">
        <is>
          <t>65</t>
        </is>
      </c>
      <c r="E948" s="13" t="n">
        <v>102.1</v>
      </c>
      <c r="F948" s="12" t="n">
        <v>0</v>
      </c>
      <c r="G948" s="4" t="n">
        <v>0</v>
      </c>
      <c r="H948" s="4">
        <f>IF(OR(N(F948)&gt;=0.5,G948&gt;=4),3,IF(OR(N(F948)&gt;=0.3,G948=3),2,IF(OR(N(F948)&gt;=0.1,G948&gt;=1),1,0)))</f>
        <v/>
      </c>
      <c r="I948" s="4">
        <f>CHOOSE(H948+1,"Kein Risiko","Gering","Mittel","Hoch")</f>
        <v/>
      </c>
    </row>
    <row r="949">
      <c r="A949" s="4" t="n">
        <v>945</v>
      </c>
      <c r="B949" s="4" t="inlineStr">
        <is>
          <t>yes</t>
        </is>
      </c>
      <c r="C949" s="4" t="inlineStr">
        <is>
          <t>Niederweniger Straße</t>
        </is>
      </c>
      <c r="D949" s="4" t="inlineStr">
        <is>
          <t>67, 69</t>
        </is>
      </c>
      <c r="E949" s="13" t="n">
        <v>84.2</v>
      </c>
      <c r="F949" s="12" t="n">
        <v>0.01999664306640625</v>
      </c>
      <c r="G949" s="4" t="n">
        <v>1</v>
      </c>
      <c r="H949" s="4">
        <f>IF(OR(N(F949)&gt;=0.5,G949&gt;=4),3,IF(OR(N(F949)&gt;=0.3,G949=3),2,IF(OR(N(F949)&gt;=0.1,G949&gt;=1),1,0)))</f>
        <v/>
      </c>
      <c r="I949" s="4">
        <f>CHOOSE(H949+1,"Kein Risiko","Gering","Mittel","Hoch")</f>
        <v/>
      </c>
    </row>
    <row r="950">
      <c r="A950" s="4" t="n">
        <v>946</v>
      </c>
      <c r="B950" s="4" t="inlineStr">
        <is>
          <t>yes</t>
        </is>
      </c>
      <c r="C950" s="4" t="inlineStr">
        <is>
          <t>Niederweniger Straße</t>
        </is>
      </c>
      <c r="D950" s="4" t="inlineStr">
        <is>
          <t>75</t>
        </is>
      </c>
      <c r="E950" s="13" t="n">
        <v>189.7</v>
      </c>
      <c r="F950" s="12" t="n">
        <v>0.5400009155273438</v>
      </c>
      <c r="G950" s="4" t="n">
        <v>0</v>
      </c>
      <c r="H950" s="4">
        <f>IF(OR(N(F950)&gt;=0.5,G950&gt;=4),3,IF(OR(N(F950)&gt;=0.3,G950=3),2,IF(OR(N(F950)&gt;=0.1,G950&gt;=1),1,0)))</f>
        <v/>
      </c>
      <c r="I950" s="4">
        <f>CHOOSE(H950+1,"Kein Risiko","Gering","Mittel","Hoch")</f>
        <v/>
      </c>
    </row>
    <row r="951">
      <c r="A951" s="4" t="n">
        <v>947</v>
      </c>
      <c r="B951" s="4" t="inlineStr">
        <is>
          <t>yes</t>
        </is>
      </c>
      <c r="C951" s="4" t="inlineStr">
        <is>
          <t>An den Friedhöfen</t>
        </is>
      </c>
      <c r="D951" s="4" t="inlineStr">
        <is>
          <t>47b</t>
        </is>
      </c>
      <c r="E951" s="13" t="n">
        <v>99.5</v>
      </c>
      <c r="F951" s="12" t="n">
        <v>0.01000213623046875</v>
      </c>
      <c r="G951" s="4" t="n">
        <v>0</v>
      </c>
      <c r="H951" s="4">
        <f>IF(OR(N(F951)&gt;=0.5,G951&gt;=4),3,IF(OR(N(F951)&gt;=0.3,G951=3),2,IF(OR(N(F951)&gt;=0.1,G951&gt;=1),1,0)))</f>
        <v/>
      </c>
      <c r="I951" s="4">
        <f>CHOOSE(H951+1,"Kein Risiko","Gering","Mittel","Hoch")</f>
        <v/>
      </c>
    </row>
    <row r="952">
      <c r="A952" s="4" t="n">
        <v>948</v>
      </c>
      <c r="B952" s="4" t="inlineStr">
        <is>
          <t>yes</t>
        </is>
      </c>
      <c r="C952" s="4" t="inlineStr">
        <is>
          <t>An den Friedhöfen</t>
        </is>
      </c>
      <c r="D952" s="4" t="inlineStr">
        <is>
          <t>44</t>
        </is>
      </c>
      <c r="E952" s="13" t="n">
        <v>108.8</v>
      </c>
      <c r="F952" s="12" t="n">
        <v>0</v>
      </c>
      <c r="G952" s="4" t="n">
        <v>0</v>
      </c>
      <c r="H952" s="4">
        <f>IF(OR(N(F952)&gt;=0.5,G952&gt;=4),3,IF(OR(N(F952)&gt;=0.3,G952=3),2,IF(OR(N(F952)&gt;=0.1,G952&gt;=1),1,0)))</f>
        <v/>
      </c>
      <c r="I952" s="4">
        <f>CHOOSE(H952+1,"Kein Risiko","Gering","Mittel","Hoch")</f>
        <v/>
      </c>
    </row>
    <row r="953">
      <c r="A953" s="4" t="n">
        <v>949</v>
      </c>
      <c r="B953" s="4" t="inlineStr">
        <is>
          <t>yes</t>
        </is>
      </c>
      <c r="C953" s="4" t="inlineStr">
        <is>
          <t>An den Friedhöfen</t>
        </is>
      </c>
      <c r="D953" s="4" t="inlineStr">
        <is>
          <t>53</t>
        </is>
      </c>
      <c r="E953" s="13" t="n">
        <v>122.6</v>
      </c>
      <c r="F953" s="12" t="n">
        <v>0.2700042724609375</v>
      </c>
      <c r="G953" s="4" t="n">
        <v>0</v>
      </c>
      <c r="H953" s="4">
        <f>IF(OR(N(F953)&gt;=0.5,G953&gt;=4),3,IF(OR(N(F953)&gt;=0.3,G953=3),2,IF(OR(N(F953)&gt;=0.1,G953&gt;=1),1,0)))</f>
        <v/>
      </c>
      <c r="I953" s="4">
        <f>CHOOSE(H953+1,"Kein Risiko","Gering","Mittel","Hoch")</f>
        <v/>
      </c>
    </row>
    <row r="954">
      <c r="A954" s="4" t="n">
        <v>950</v>
      </c>
      <c r="B954" s="4" t="inlineStr">
        <is>
          <t>yes</t>
        </is>
      </c>
      <c r="C954" s="4" t="inlineStr">
        <is>
          <t>An den Friedhöfen</t>
        </is>
      </c>
      <c r="D954" s="4" t="inlineStr">
        <is>
          <t>55</t>
        </is>
      </c>
      <c r="E954" s="13" t="n">
        <v>234.5</v>
      </c>
      <c r="F954" s="12" t="n">
        <v>0</v>
      </c>
      <c r="G954" s="4" t="n">
        <v>0</v>
      </c>
      <c r="H954" s="4">
        <f>IF(OR(N(F954)&gt;=0.5,G954&gt;=4),3,IF(OR(N(F954)&gt;=0.3,G954=3),2,IF(OR(N(F954)&gt;=0.1,G954&gt;=1),1,0)))</f>
        <v/>
      </c>
      <c r="I954" s="4">
        <f>CHOOSE(H954+1,"Kein Risiko","Gering","Mittel","Hoch")</f>
        <v/>
      </c>
    </row>
    <row r="955">
      <c r="A955" s="4" t="n">
        <v>951</v>
      </c>
      <c r="B955" s="4" t="inlineStr">
        <is>
          <t>yes</t>
        </is>
      </c>
      <c r="C955" s="4" t="inlineStr">
        <is>
          <t>An den Friedhöfen</t>
        </is>
      </c>
      <c r="D955" s="4" t="inlineStr">
        <is>
          <t>42a</t>
        </is>
      </c>
      <c r="E955" s="13" t="n">
        <v>69.7</v>
      </c>
      <c r="F955" s="12" t="n">
        <v>0</v>
      </c>
      <c r="G955" s="4" t="n">
        <v>0</v>
      </c>
      <c r="H955" s="4">
        <f>IF(OR(N(F955)&gt;=0.5,G955&gt;=4),3,IF(OR(N(F955)&gt;=0.3,G955=3),2,IF(OR(N(F955)&gt;=0.1,G955&gt;=1),1,0)))</f>
        <v/>
      </c>
      <c r="I955" s="4">
        <f>CHOOSE(H955+1,"Kein Risiko","Gering","Mittel","Hoch")</f>
        <v/>
      </c>
    </row>
    <row r="956">
      <c r="A956" s="4" t="n">
        <v>952</v>
      </c>
      <c r="B956" s="4" t="inlineStr">
        <is>
          <t>yes</t>
        </is>
      </c>
      <c r="C956" s="4" t="inlineStr">
        <is>
          <t>An den Friedhöfen</t>
        </is>
      </c>
      <c r="D956" s="4" t="inlineStr">
        <is>
          <t>51</t>
        </is>
      </c>
      <c r="E956" s="13" t="n">
        <v>105.7</v>
      </c>
      <c r="F956" s="12" t="n">
        <v>0</v>
      </c>
      <c r="G956" s="4" t="n">
        <v>0</v>
      </c>
      <c r="H956" s="4">
        <f>IF(OR(N(F956)&gt;=0.5,G956&gt;=4),3,IF(OR(N(F956)&gt;=0.3,G956=3),2,IF(OR(N(F956)&gt;=0.1,G956&gt;=1),1,0)))</f>
        <v/>
      </c>
      <c r="I956" s="4">
        <f>CHOOSE(H956+1,"Kein Risiko","Gering","Mittel","Hoch")</f>
        <v/>
      </c>
    </row>
    <row r="957">
      <c r="A957" s="4" t="n">
        <v>953</v>
      </c>
      <c r="B957" s="4" t="inlineStr">
        <is>
          <t>yes</t>
        </is>
      </c>
      <c r="C957" s="4" t="inlineStr">
        <is>
          <t>An den Friedhöfen</t>
        </is>
      </c>
      <c r="D957" s="4" t="inlineStr">
        <is>
          <t>47a</t>
        </is>
      </c>
      <c r="E957" s="13" t="n">
        <v>96.2</v>
      </c>
      <c r="F957" s="12" t="n">
        <v>0</v>
      </c>
      <c r="G957" s="4" t="n">
        <v>0</v>
      </c>
      <c r="H957" s="4">
        <f>IF(OR(N(F957)&gt;=0.5,G957&gt;=4),3,IF(OR(N(F957)&gt;=0.3,G957=3),2,IF(OR(N(F957)&gt;=0.1,G957&gt;=1),1,0)))</f>
        <v/>
      </c>
      <c r="I957" s="4">
        <f>CHOOSE(H957+1,"Kein Risiko","Gering","Mittel","Hoch")</f>
        <v/>
      </c>
    </row>
    <row r="958">
      <c r="A958" s="4" t="n">
        <v>954</v>
      </c>
      <c r="B958" s="4" t="inlineStr">
        <is>
          <t>detached</t>
        </is>
      </c>
      <c r="C958" s="4" t="inlineStr">
        <is>
          <t>An den Friedhöfen</t>
        </is>
      </c>
      <c r="D958" s="4" t="inlineStr">
        <is>
          <t>61</t>
        </is>
      </c>
      <c r="E958" s="13" t="n">
        <v>119</v>
      </c>
      <c r="F958" s="12" t="n">
        <v>0.04000091552734375</v>
      </c>
      <c r="G958" s="4" t="n">
        <v>0</v>
      </c>
      <c r="H958" s="4">
        <f>IF(OR(N(F958)&gt;=0.5,G958&gt;=4),3,IF(OR(N(F958)&gt;=0.3,G958=3),2,IF(OR(N(F958)&gt;=0.1,G958&gt;=1),1,0)))</f>
        <v/>
      </c>
      <c r="I958" s="4">
        <f>CHOOSE(H958+1,"Kein Risiko","Gering","Mittel","Hoch")</f>
        <v/>
      </c>
    </row>
    <row r="959">
      <c r="A959" s="4" t="n">
        <v>955</v>
      </c>
      <c r="B959" s="4" t="inlineStr">
        <is>
          <t>detached</t>
        </is>
      </c>
      <c r="C959" s="4" t="inlineStr">
        <is>
          <t>An den Friedhöfen</t>
        </is>
      </c>
      <c r="D959" s="4" t="inlineStr">
        <is>
          <t>57</t>
        </is>
      </c>
      <c r="E959" s="13" t="n">
        <v>137.6</v>
      </c>
      <c r="F959" s="12" t="n">
        <v>0.720001220703125</v>
      </c>
      <c r="G959" s="4" t="n">
        <v>0</v>
      </c>
      <c r="H959" s="4">
        <f>IF(OR(N(F959)&gt;=0.5,G959&gt;=4),3,IF(OR(N(F959)&gt;=0.3,G959=3),2,IF(OR(N(F959)&gt;=0.1,G959&gt;=1),1,0)))</f>
        <v/>
      </c>
      <c r="I959" s="4">
        <f>CHOOSE(H959+1,"Kein Risiko","Gering","Mittel","Hoch")</f>
        <v/>
      </c>
    </row>
    <row r="960">
      <c r="A960" s="4" t="n">
        <v>956</v>
      </c>
      <c r="B960" s="4" t="inlineStr">
        <is>
          <t>residential</t>
        </is>
      </c>
      <c r="C960" s="4" t="inlineStr"/>
      <c r="D960" s="4" t="inlineStr"/>
      <c r="E960" s="13" t="n">
        <v>99.5</v>
      </c>
      <c r="F960" s="12" t="n">
        <v>1.020004272460938</v>
      </c>
      <c r="G960" s="4" t="n">
        <v>0</v>
      </c>
      <c r="H960" s="4">
        <f>IF(OR(N(F960)&gt;=0.5,G960&gt;=4),3,IF(OR(N(F960)&gt;=0.3,G960=3),2,IF(OR(N(F960)&gt;=0.1,G960&gt;=1),1,0)))</f>
        <v/>
      </c>
      <c r="I960" s="4">
        <f>CHOOSE(H960+1,"Kein Risiko","Gering","Mittel","Hoch")</f>
        <v/>
      </c>
    </row>
    <row r="961">
      <c r="A961" s="4" t="n">
        <v>957</v>
      </c>
      <c r="B961" s="4" t="inlineStr">
        <is>
          <t>yes</t>
        </is>
      </c>
      <c r="C961" s="4" t="inlineStr">
        <is>
          <t>Niederweniger Straße</t>
        </is>
      </c>
      <c r="D961" s="4" t="inlineStr">
        <is>
          <t>77</t>
        </is>
      </c>
      <c r="E961" s="13" t="n">
        <v>147.9</v>
      </c>
      <c r="F961" s="12" t="n">
        <v>0.06999969482421875</v>
      </c>
      <c r="G961" s="4" t="n">
        <v>0</v>
      </c>
      <c r="H961" s="4">
        <f>IF(OR(N(F961)&gt;=0.5,G961&gt;=4),3,IF(OR(N(F961)&gt;=0.3,G961=3),2,IF(OR(N(F961)&gt;=0.1,G961&gt;=1),1,0)))</f>
        <v/>
      </c>
      <c r="I961" s="4">
        <f>CHOOSE(H961+1,"Kein Risiko","Gering","Mittel","Hoch")</f>
        <v/>
      </c>
    </row>
    <row r="962">
      <c r="A962" s="4" t="n">
        <v>958</v>
      </c>
      <c r="B962" s="4" t="inlineStr">
        <is>
          <t>yes</t>
        </is>
      </c>
      <c r="C962" s="4" t="inlineStr">
        <is>
          <t>Niederweniger Straße</t>
        </is>
      </c>
      <c r="D962" s="4" t="inlineStr">
        <is>
          <t>103</t>
        </is>
      </c>
      <c r="E962" s="13" t="n">
        <v>124.8</v>
      </c>
      <c r="F962" s="12" t="n">
        <v>0.0399932861328125</v>
      </c>
      <c r="G962" s="4" t="n">
        <v>1</v>
      </c>
      <c r="H962" s="4">
        <f>IF(OR(N(F962)&gt;=0.5,G962&gt;=4),3,IF(OR(N(F962)&gt;=0.3,G962=3),2,IF(OR(N(F962)&gt;=0.1,G962&gt;=1),1,0)))</f>
        <v/>
      </c>
      <c r="I962" s="4">
        <f>CHOOSE(H962+1,"Kein Risiko","Gering","Mittel","Hoch")</f>
        <v/>
      </c>
    </row>
    <row r="963">
      <c r="A963" s="4" t="n">
        <v>959</v>
      </c>
      <c r="B963" s="4" t="inlineStr">
        <is>
          <t>yes</t>
        </is>
      </c>
      <c r="C963" s="4" t="inlineStr">
        <is>
          <t>An den Friedhöfen</t>
        </is>
      </c>
      <c r="D963" s="4" t="inlineStr">
        <is>
          <t>40a</t>
        </is>
      </c>
      <c r="E963" s="13" t="n">
        <v>237.5</v>
      </c>
      <c r="F963" s="12" t="n">
        <v>0.03000640869140625</v>
      </c>
      <c r="G963" s="4" t="n">
        <v>0</v>
      </c>
      <c r="H963" s="4">
        <f>IF(OR(N(F963)&gt;=0.5,G963&gt;=4),3,IF(OR(N(F963)&gt;=0.3,G963=3),2,IF(OR(N(F963)&gt;=0.1,G963&gt;=1),1,0)))</f>
        <v/>
      </c>
      <c r="I963" s="4">
        <f>CHOOSE(H963+1,"Kein Risiko","Gering","Mittel","Hoch")</f>
        <v/>
      </c>
    </row>
    <row r="964">
      <c r="A964" s="4" t="n">
        <v>960</v>
      </c>
      <c r="B964" s="4" t="inlineStr">
        <is>
          <t>yes</t>
        </is>
      </c>
      <c r="C964" s="4" t="inlineStr">
        <is>
          <t>An den Friedhöfen</t>
        </is>
      </c>
      <c r="D964" s="4" t="inlineStr">
        <is>
          <t>52</t>
        </is>
      </c>
      <c r="E964" s="13" t="n">
        <v>118.2</v>
      </c>
      <c r="F964" s="12" t="n">
        <v>0</v>
      </c>
      <c r="G964" s="4" t="n">
        <v>1</v>
      </c>
      <c r="H964" s="4">
        <f>IF(OR(N(F964)&gt;=0.5,G964&gt;=4),3,IF(OR(N(F964)&gt;=0.3,G964=3),2,IF(OR(N(F964)&gt;=0.1,G964&gt;=1),1,0)))</f>
        <v/>
      </c>
      <c r="I964" s="4">
        <f>CHOOSE(H964+1,"Kein Risiko","Gering","Mittel","Hoch")</f>
        <v/>
      </c>
    </row>
    <row r="965">
      <c r="A965" s="4" t="n">
        <v>961</v>
      </c>
      <c r="B965" s="4" t="inlineStr">
        <is>
          <t>yes</t>
        </is>
      </c>
      <c r="C965" s="4" t="inlineStr">
        <is>
          <t>Niederweniger Straße</t>
        </is>
      </c>
      <c r="D965" s="4" t="inlineStr">
        <is>
          <t>87a</t>
        </is>
      </c>
      <c r="E965" s="13" t="n">
        <v>213.7</v>
      </c>
      <c r="F965" s="12" t="n">
        <v>0.029998779296875</v>
      </c>
      <c r="G965" s="4" t="n">
        <v>0</v>
      </c>
      <c r="H965" s="4">
        <f>IF(OR(N(F965)&gt;=0.5,G965&gt;=4),3,IF(OR(N(F965)&gt;=0.3,G965=3),2,IF(OR(N(F965)&gt;=0.1,G965&gt;=1),1,0)))</f>
        <v/>
      </c>
      <c r="I965" s="4">
        <f>CHOOSE(H965+1,"Kein Risiko","Gering","Mittel","Hoch")</f>
        <v/>
      </c>
    </row>
    <row r="966">
      <c r="A966" s="4" t="n">
        <v>962</v>
      </c>
      <c r="B966" s="4" t="inlineStr">
        <is>
          <t>yes</t>
        </is>
      </c>
      <c r="C966" s="4" t="inlineStr">
        <is>
          <t>Niederweniger Straße</t>
        </is>
      </c>
      <c r="D966" s="4" t="inlineStr">
        <is>
          <t>83a</t>
        </is>
      </c>
      <c r="E966" s="13" t="n">
        <v>198</v>
      </c>
      <c r="F966" s="12" t="n">
        <v>0.05999755859375</v>
      </c>
      <c r="G966" s="4" t="n">
        <v>0</v>
      </c>
      <c r="H966" s="4">
        <f>IF(OR(N(F966)&gt;=0.5,G966&gt;=4),3,IF(OR(N(F966)&gt;=0.3,G966=3),2,IF(OR(N(F966)&gt;=0.1,G966&gt;=1),1,0)))</f>
        <v/>
      </c>
      <c r="I966" s="4">
        <f>CHOOSE(H966+1,"Kein Risiko","Gering","Mittel","Hoch")</f>
        <v/>
      </c>
    </row>
    <row r="967">
      <c r="A967" s="4" t="n">
        <v>963</v>
      </c>
      <c r="B967" s="4" t="inlineStr">
        <is>
          <t>yes</t>
        </is>
      </c>
      <c r="C967" s="4" t="inlineStr">
        <is>
          <t>Niederweniger Straße</t>
        </is>
      </c>
      <c r="D967" s="4" t="inlineStr">
        <is>
          <t>81b</t>
        </is>
      </c>
      <c r="E967" s="13" t="n">
        <v>212.4</v>
      </c>
      <c r="F967" s="12" t="n">
        <v>0.01999664306640625</v>
      </c>
      <c r="G967" s="4" t="n">
        <v>0</v>
      </c>
      <c r="H967" s="4">
        <f>IF(OR(N(F967)&gt;=0.5,G967&gt;=4),3,IF(OR(N(F967)&gt;=0.3,G967=3),2,IF(OR(N(F967)&gt;=0.1,G967&gt;=1),1,0)))</f>
        <v/>
      </c>
      <c r="I967" s="4">
        <f>CHOOSE(H967+1,"Kein Risiko","Gering","Mittel","Hoch")</f>
        <v/>
      </c>
    </row>
    <row r="968">
      <c r="A968" s="4" t="n">
        <v>964</v>
      </c>
      <c r="B968" s="4" t="inlineStr">
        <is>
          <t>yes</t>
        </is>
      </c>
      <c r="C968" s="4" t="inlineStr">
        <is>
          <t>Niederweniger Straße</t>
        </is>
      </c>
      <c r="D968" s="4" t="inlineStr">
        <is>
          <t>85a</t>
        </is>
      </c>
      <c r="E968" s="13" t="n">
        <v>206</v>
      </c>
      <c r="F968" s="12" t="n">
        <v>0.1399993896484375</v>
      </c>
      <c r="G968" s="4" t="n">
        <v>1</v>
      </c>
      <c r="H968" s="4">
        <f>IF(OR(N(F968)&gt;=0.5,G968&gt;=4),3,IF(OR(N(F968)&gt;=0.3,G968=3),2,IF(OR(N(F968)&gt;=0.1,G968&gt;=1),1,0)))</f>
        <v/>
      </c>
      <c r="I968" s="4">
        <f>CHOOSE(H968+1,"Kein Risiko","Gering","Mittel","Hoch")</f>
        <v/>
      </c>
    </row>
    <row r="969">
      <c r="A969" s="4" t="n">
        <v>965</v>
      </c>
      <c r="B969" s="4" t="inlineStr">
        <is>
          <t>yes</t>
        </is>
      </c>
      <c r="C969" s="4" t="inlineStr">
        <is>
          <t>An den Friedhöfen</t>
        </is>
      </c>
      <c r="D969" s="4" t="inlineStr">
        <is>
          <t>48</t>
        </is>
      </c>
      <c r="E969" s="13" t="n">
        <v>118.9</v>
      </c>
      <c r="F969" s="12" t="n">
        <v>0</v>
      </c>
      <c r="G969" s="4" t="n">
        <v>0</v>
      </c>
      <c r="H969" s="4">
        <f>IF(OR(N(F969)&gt;=0.5,G969&gt;=4),3,IF(OR(N(F969)&gt;=0.3,G969=3),2,IF(OR(N(F969)&gt;=0.1,G969&gt;=1),1,0)))</f>
        <v/>
      </c>
      <c r="I969" s="4">
        <f>CHOOSE(H969+1,"Kein Risiko","Gering","Mittel","Hoch")</f>
        <v/>
      </c>
    </row>
    <row r="970">
      <c r="A970" s="4" t="n">
        <v>966</v>
      </c>
      <c r="B970" s="4" t="inlineStr">
        <is>
          <t>yes</t>
        </is>
      </c>
      <c r="C970" s="4" t="inlineStr">
        <is>
          <t>An den Friedhöfen</t>
        </is>
      </c>
      <c r="D970" s="4" t="inlineStr">
        <is>
          <t>50</t>
        </is>
      </c>
      <c r="E970" s="13" t="n">
        <v>162.6</v>
      </c>
      <c r="F970" s="12" t="n">
        <v>0</v>
      </c>
      <c r="G970" s="4" t="n">
        <v>1</v>
      </c>
      <c r="H970" s="4">
        <f>IF(OR(N(F970)&gt;=0.5,G970&gt;=4),3,IF(OR(N(F970)&gt;=0.3,G970=3),2,IF(OR(N(F970)&gt;=0.1,G970&gt;=1),1,0)))</f>
        <v/>
      </c>
      <c r="I970" s="4">
        <f>CHOOSE(H970+1,"Kein Risiko","Gering","Mittel","Hoch")</f>
        <v/>
      </c>
    </row>
    <row r="971">
      <c r="A971" s="4" t="n">
        <v>967</v>
      </c>
      <c r="B971" s="4" t="inlineStr">
        <is>
          <t>yes</t>
        </is>
      </c>
      <c r="C971" s="4" t="inlineStr">
        <is>
          <t>Niederweniger Straße</t>
        </is>
      </c>
      <c r="D971" s="4" t="inlineStr">
        <is>
          <t>74</t>
        </is>
      </c>
      <c r="E971" s="13" t="n">
        <v>92.59999999999999</v>
      </c>
      <c r="F971" s="12" t="n">
        <v>0.029998779296875</v>
      </c>
      <c r="G971" s="4" t="n">
        <v>2</v>
      </c>
      <c r="H971" s="4">
        <f>IF(OR(N(F971)&gt;=0.5,G971&gt;=4),3,IF(OR(N(F971)&gt;=0.3,G971=3),2,IF(OR(N(F971)&gt;=0.1,G971&gt;=1),1,0)))</f>
        <v/>
      </c>
      <c r="I971" s="4">
        <f>CHOOSE(H971+1,"Kein Risiko","Gering","Mittel","Hoch")</f>
        <v/>
      </c>
    </row>
    <row r="972">
      <c r="A972" s="4" t="n">
        <v>968</v>
      </c>
      <c r="B972" s="4" t="inlineStr">
        <is>
          <t>yes</t>
        </is>
      </c>
      <c r="C972" s="4" t="inlineStr">
        <is>
          <t>Niederweniger Straße</t>
        </is>
      </c>
      <c r="D972" s="4" t="inlineStr">
        <is>
          <t>68</t>
        </is>
      </c>
      <c r="E972" s="13" t="n">
        <v>146.4</v>
      </c>
      <c r="F972" s="12" t="n">
        <v>0.04999542236328125</v>
      </c>
      <c r="G972" s="4" t="n">
        <v>1</v>
      </c>
      <c r="H972" s="4">
        <f>IF(OR(N(F972)&gt;=0.5,G972&gt;=4),3,IF(OR(N(F972)&gt;=0.3,G972=3),2,IF(OR(N(F972)&gt;=0.1,G972&gt;=1),1,0)))</f>
        <v/>
      </c>
      <c r="I972" s="4">
        <f>CHOOSE(H972+1,"Kein Risiko","Gering","Mittel","Hoch")</f>
        <v/>
      </c>
    </row>
    <row r="973">
      <c r="A973" s="4" t="n">
        <v>969</v>
      </c>
      <c r="B973" s="4" t="inlineStr">
        <is>
          <t>yes</t>
        </is>
      </c>
      <c r="C973" s="4" t="inlineStr">
        <is>
          <t>Niederweniger Straße</t>
        </is>
      </c>
      <c r="D973" s="4" t="inlineStr">
        <is>
          <t>72</t>
        </is>
      </c>
      <c r="E973" s="13" t="n">
        <v>203.7</v>
      </c>
      <c r="F973" s="12" t="n">
        <v>0</v>
      </c>
      <c r="G973" s="4" t="n">
        <v>1</v>
      </c>
      <c r="H973" s="4">
        <f>IF(OR(N(F973)&gt;=0.5,G973&gt;=4),3,IF(OR(N(F973)&gt;=0.3,G973=3),2,IF(OR(N(F973)&gt;=0.1,G973&gt;=1),1,0)))</f>
        <v/>
      </c>
      <c r="I973" s="4">
        <f>CHOOSE(H973+1,"Kein Risiko","Gering","Mittel","Hoch")</f>
        <v/>
      </c>
    </row>
    <row r="974">
      <c r="A974" s="4" t="n">
        <v>970</v>
      </c>
      <c r="B974" s="4" t="inlineStr">
        <is>
          <t>yes</t>
        </is>
      </c>
      <c r="C974" s="4" t="inlineStr">
        <is>
          <t>Niederweniger Straße</t>
        </is>
      </c>
      <c r="D974" s="4" t="inlineStr">
        <is>
          <t>74a</t>
        </is>
      </c>
      <c r="E974" s="13" t="n">
        <v>155.1</v>
      </c>
      <c r="F974" s="12" t="n">
        <v>0</v>
      </c>
      <c r="G974" s="4" t="n">
        <v>0</v>
      </c>
      <c r="H974" s="4">
        <f>IF(OR(N(F974)&gt;=0.5,G974&gt;=4),3,IF(OR(N(F974)&gt;=0.3,G974=3),2,IF(OR(N(F974)&gt;=0.1,G974&gt;=1),1,0)))</f>
        <v/>
      </c>
      <c r="I974" s="4">
        <f>CHOOSE(H974+1,"Kein Risiko","Gering","Mittel","Hoch")</f>
        <v/>
      </c>
    </row>
    <row r="975">
      <c r="A975" s="4" t="n">
        <v>971</v>
      </c>
      <c r="B975" s="4" t="inlineStr">
        <is>
          <t>yes</t>
        </is>
      </c>
      <c r="C975" s="4" t="inlineStr">
        <is>
          <t>Niederweniger Straße</t>
        </is>
      </c>
      <c r="D975" s="4" t="inlineStr">
        <is>
          <t>76</t>
        </is>
      </c>
      <c r="E975" s="13" t="n">
        <v>103.4</v>
      </c>
      <c r="F975" s="12" t="n">
        <v>0</v>
      </c>
      <c r="G975" s="4" t="n">
        <v>1</v>
      </c>
      <c r="H975" s="4">
        <f>IF(OR(N(F975)&gt;=0.5,G975&gt;=4),3,IF(OR(N(F975)&gt;=0.3,G975=3),2,IF(OR(N(F975)&gt;=0.1,G975&gt;=1),1,0)))</f>
        <v/>
      </c>
      <c r="I975" s="4">
        <f>CHOOSE(H975+1,"Kein Risiko","Gering","Mittel","Hoch")</f>
        <v/>
      </c>
    </row>
    <row r="976">
      <c r="A976" s="4" t="n">
        <v>972</v>
      </c>
      <c r="B976" s="4" t="inlineStr">
        <is>
          <t>yes</t>
        </is>
      </c>
      <c r="C976" s="4" t="inlineStr">
        <is>
          <t>Beisemannhang</t>
        </is>
      </c>
      <c r="D976" s="4" t="inlineStr">
        <is>
          <t>20</t>
        </is>
      </c>
      <c r="E976" s="13" t="n">
        <v>149.5</v>
      </c>
      <c r="F976" s="12" t="n">
        <v>0.0800018310546875</v>
      </c>
      <c r="G976" s="4" t="n">
        <v>0</v>
      </c>
      <c r="H976" s="4">
        <f>IF(OR(N(F976)&gt;=0.5,G976&gt;=4),3,IF(OR(N(F976)&gt;=0.3,G976=3),2,IF(OR(N(F976)&gt;=0.1,G976&gt;=1),1,0)))</f>
        <v/>
      </c>
      <c r="I976" s="4">
        <f>CHOOSE(H976+1,"Kein Risiko","Gering","Mittel","Hoch")</f>
        <v/>
      </c>
    </row>
    <row r="977">
      <c r="A977" s="4" t="n">
        <v>973</v>
      </c>
      <c r="B977" s="4" t="inlineStr">
        <is>
          <t>yes</t>
        </is>
      </c>
      <c r="C977" s="4" t="inlineStr">
        <is>
          <t>Beisemannhang</t>
        </is>
      </c>
      <c r="D977" s="4" t="inlineStr">
        <is>
          <t>18</t>
        </is>
      </c>
      <c r="E977" s="13" t="n">
        <v>220.9</v>
      </c>
      <c r="F977" s="12" t="n">
        <v>0.0200042724609375</v>
      </c>
      <c r="G977" s="4" t="n">
        <v>0</v>
      </c>
      <c r="H977" s="4">
        <f>IF(OR(N(F977)&gt;=0.5,G977&gt;=4),3,IF(OR(N(F977)&gt;=0.3,G977=3),2,IF(OR(N(F977)&gt;=0.1,G977&gt;=1),1,0)))</f>
        <v/>
      </c>
      <c r="I977" s="4">
        <f>CHOOSE(H977+1,"Kein Risiko","Gering","Mittel","Hoch")</f>
        <v/>
      </c>
    </row>
    <row r="978">
      <c r="A978" s="4" t="n">
        <v>974</v>
      </c>
      <c r="B978" s="4" t="inlineStr">
        <is>
          <t>yes</t>
        </is>
      </c>
      <c r="C978" s="4" t="inlineStr">
        <is>
          <t>Beisemannhang</t>
        </is>
      </c>
      <c r="D978" s="4" t="inlineStr">
        <is>
          <t>9</t>
        </is>
      </c>
      <c r="E978" s="13" t="n">
        <v>249.7</v>
      </c>
      <c r="F978" s="12" t="n">
        <v>0.100006103515625</v>
      </c>
      <c r="G978" s="4" t="n">
        <v>0</v>
      </c>
      <c r="H978" s="4">
        <f>IF(OR(N(F978)&gt;=0.5,G978&gt;=4),3,IF(OR(N(F978)&gt;=0.3,G978=3),2,IF(OR(N(F978)&gt;=0.1,G978&gt;=1),1,0)))</f>
        <v/>
      </c>
      <c r="I978" s="4">
        <f>CHOOSE(H978+1,"Kein Risiko","Gering","Mittel","Hoch")</f>
        <v/>
      </c>
    </row>
    <row r="979">
      <c r="A979" s="4" t="n">
        <v>975</v>
      </c>
      <c r="B979" s="4" t="inlineStr">
        <is>
          <t>yes</t>
        </is>
      </c>
      <c r="C979" s="4" t="inlineStr">
        <is>
          <t>Beisemannhang</t>
        </is>
      </c>
      <c r="D979" s="4" t="inlineStr">
        <is>
          <t>15</t>
        </is>
      </c>
      <c r="E979" s="13" t="n">
        <v>177.6</v>
      </c>
      <c r="F979" s="12" t="n">
        <v>0</v>
      </c>
      <c r="G979" s="4" t="n">
        <v>0</v>
      </c>
      <c r="H979" s="4">
        <f>IF(OR(N(F979)&gt;=0.5,G979&gt;=4),3,IF(OR(N(F979)&gt;=0.3,G979=3),2,IF(OR(N(F979)&gt;=0.1,G979&gt;=1),1,0)))</f>
        <v/>
      </c>
      <c r="I979" s="4">
        <f>CHOOSE(H979+1,"Kein Risiko","Gering","Mittel","Hoch")</f>
        <v/>
      </c>
    </row>
    <row r="980">
      <c r="A980" s="4" t="n">
        <v>976</v>
      </c>
      <c r="B980" s="4" t="inlineStr">
        <is>
          <t>yes</t>
        </is>
      </c>
      <c r="C980" s="4" t="inlineStr">
        <is>
          <t>Beisemannhang</t>
        </is>
      </c>
      <c r="D980" s="4" t="inlineStr">
        <is>
          <t>7</t>
        </is>
      </c>
      <c r="E980" s="13" t="n">
        <v>118.4</v>
      </c>
      <c r="F980" s="12" t="n">
        <v>0</v>
      </c>
      <c r="G980" s="4" t="n">
        <v>0</v>
      </c>
      <c r="H980" s="4">
        <f>IF(OR(N(F980)&gt;=0.5,G980&gt;=4),3,IF(OR(N(F980)&gt;=0.3,G980=3),2,IF(OR(N(F980)&gt;=0.1,G980&gt;=1),1,0)))</f>
        <v/>
      </c>
      <c r="I980" s="4">
        <f>CHOOSE(H980+1,"Kein Risiko","Gering","Mittel","Hoch")</f>
        <v/>
      </c>
    </row>
    <row r="981">
      <c r="A981" s="4" t="n">
        <v>977</v>
      </c>
      <c r="B981" s="4" t="inlineStr">
        <is>
          <t>yes</t>
        </is>
      </c>
      <c r="C981" s="4" t="inlineStr">
        <is>
          <t>Beisemannhang</t>
        </is>
      </c>
      <c r="D981" s="4" t="inlineStr">
        <is>
          <t>11</t>
        </is>
      </c>
      <c r="E981" s="13" t="n">
        <v>218.6</v>
      </c>
      <c r="F981" s="12" t="n">
        <v>0</v>
      </c>
      <c r="G981" s="4" t="n">
        <v>1</v>
      </c>
      <c r="H981" s="4">
        <f>IF(OR(N(F981)&gt;=0.5,G981&gt;=4),3,IF(OR(N(F981)&gt;=0.3,G981=3),2,IF(OR(N(F981)&gt;=0.1,G981&gt;=1),1,0)))</f>
        <v/>
      </c>
      <c r="I981" s="4">
        <f>CHOOSE(H981+1,"Kein Risiko","Gering","Mittel","Hoch")</f>
        <v/>
      </c>
    </row>
    <row r="982">
      <c r="A982" s="4" t="n">
        <v>978</v>
      </c>
      <c r="B982" s="4" t="inlineStr">
        <is>
          <t>yes</t>
        </is>
      </c>
      <c r="C982" s="4" t="inlineStr">
        <is>
          <t>Beisemannhang</t>
        </is>
      </c>
      <c r="D982" s="4" t="inlineStr">
        <is>
          <t>13</t>
        </is>
      </c>
      <c r="E982" s="13" t="n">
        <v>259</v>
      </c>
      <c r="F982" s="12" t="n">
        <v>0</v>
      </c>
      <c r="G982" s="4" t="n">
        <v>1</v>
      </c>
      <c r="H982" s="4">
        <f>IF(OR(N(F982)&gt;=0.5,G982&gt;=4),3,IF(OR(N(F982)&gt;=0.3,G982=3),2,IF(OR(N(F982)&gt;=0.1,G982&gt;=1),1,0)))</f>
        <v/>
      </c>
      <c r="I982" s="4">
        <f>CHOOSE(H982+1,"Kein Risiko","Gering","Mittel","Hoch")</f>
        <v/>
      </c>
    </row>
    <row r="983">
      <c r="A983" s="4" t="n">
        <v>979</v>
      </c>
      <c r="B983" s="4" t="inlineStr">
        <is>
          <t>yes</t>
        </is>
      </c>
      <c r="C983" s="4" t="inlineStr">
        <is>
          <t>Beisemannhang</t>
        </is>
      </c>
      <c r="D983" s="4" t="inlineStr">
        <is>
          <t>12</t>
        </is>
      </c>
      <c r="E983" s="13" t="n">
        <v>169.2</v>
      </c>
      <c r="F983" s="12" t="n">
        <v>0.0200042724609375</v>
      </c>
      <c r="G983" s="4" t="n">
        <v>0</v>
      </c>
      <c r="H983" s="4">
        <f>IF(OR(N(F983)&gt;=0.5,G983&gt;=4),3,IF(OR(N(F983)&gt;=0.3,G983=3),2,IF(OR(N(F983)&gt;=0.1,G983&gt;=1),1,0)))</f>
        <v/>
      </c>
      <c r="I983" s="4">
        <f>CHOOSE(H983+1,"Kein Risiko","Gering","Mittel","Hoch")</f>
        <v/>
      </c>
    </row>
    <row r="984">
      <c r="A984" s="4" t="n">
        <v>980</v>
      </c>
      <c r="B984" s="4" t="inlineStr">
        <is>
          <t>yes</t>
        </is>
      </c>
      <c r="C984" s="4" t="inlineStr"/>
      <c r="D984" s="4" t="inlineStr"/>
      <c r="E984" s="13" t="n">
        <v>36.8</v>
      </c>
      <c r="F984" s="12" t="n">
        <v>0</v>
      </c>
      <c r="G984" s="4" t="n">
        <v>0</v>
      </c>
      <c r="H984" s="4">
        <f>IF(OR(N(F984)&gt;=0.5,G984&gt;=4),3,IF(OR(N(F984)&gt;=0.3,G984=3),2,IF(OR(N(F984)&gt;=0.1,G984&gt;=1),1,0)))</f>
        <v/>
      </c>
      <c r="I984" s="4">
        <f>CHOOSE(H984+1,"Kein Risiko","Gering","Mittel","Hoch")</f>
        <v/>
      </c>
    </row>
    <row r="985">
      <c r="A985" s="4" t="n">
        <v>981</v>
      </c>
      <c r="B985" s="4" t="inlineStr">
        <is>
          <t>yes</t>
        </is>
      </c>
      <c r="C985" s="4" t="inlineStr">
        <is>
          <t>Beisemannhang</t>
        </is>
      </c>
      <c r="D985" s="4" t="inlineStr">
        <is>
          <t>10</t>
        </is>
      </c>
      <c r="E985" s="13" t="n">
        <v>188.3</v>
      </c>
      <c r="F985" s="12" t="n">
        <v>0</v>
      </c>
      <c r="G985" s="4" t="n">
        <v>0</v>
      </c>
      <c r="H985" s="4">
        <f>IF(OR(N(F985)&gt;=0.5,G985&gt;=4),3,IF(OR(N(F985)&gt;=0.3,G985=3),2,IF(OR(N(F985)&gt;=0.1,G985&gt;=1),1,0)))</f>
        <v/>
      </c>
      <c r="I985" s="4">
        <f>CHOOSE(H985+1,"Kein Risiko","Gering","Mittel","Hoch")</f>
        <v/>
      </c>
    </row>
    <row r="986">
      <c r="A986" s="4" t="n">
        <v>982</v>
      </c>
      <c r="B986" s="4" t="inlineStr">
        <is>
          <t>yes</t>
        </is>
      </c>
      <c r="C986" s="4" t="inlineStr">
        <is>
          <t>Beisemannhang</t>
        </is>
      </c>
      <c r="D986" s="4" t="inlineStr">
        <is>
          <t>1</t>
        </is>
      </c>
      <c r="E986" s="13" t="n">
        <v>196.5</v>
      </c>
      <c r="F986" s="12" t="n">
        <v>0.0200042724609375</v>
      </c>
      <c r="G986" s="4" t="n">
        <v>0</v>
      </c>
      <c r="H986" s="4">
        <f>IF(OR(N(F986)&gt;=0.5,G986&gt;=4),3,IF(OR(N(F986)&gt;=0.3,G986=3),2,IF(OR(N(F986)&gt;=0.1,G986&gt;=1),1,0)))</f>
        <v/>
      </c>
      <c r="I986" s="4">
        <f>CHOOSE(H986+1,"Kein Risiko","Gering","Mittel","Hoch")</f>
        <v/>
      </c>
    </row>
    <row r="987">
      <c r="A987" s="4" t="n">
        <v>983</v>
      </c>
      <c r="B987" s="4" t="inlineStr">
        <is>
          <t>residential</t>
        </is>
      </c>
      <c r="C987" s="4" t="inlineStr"/>
      <c r="D987" s="4" t="inlineStr"/>
      <c r="E987" s="13" t="n">
        <v>238.7</v>
      </c>
      <c r="F987" s="12" t="n">
        <v>0</v>
      </c>
      <c r="G987" s="4" t="n">
        <v>0</v>
      </c>
      <c r="H987" s="4">
        <f>IF(OR(N(F987)&gt;=0.5,G987&gt;=4),3,IF(OR(N(F987)&gt;=0.3,G987=3),2,IF(OR(N(F987)&gt;=0.1,G987&gt;=1),1,0)))</f>
        <v/>
      </c>
      <c r="I987" s="4">
        <f>CHOOSE(H987+1,"Kein Risiko","Gering","Mittel","Hoch")</f>
        <v/>
      </c>
    </row>
    <row r="988">
      <c r="A988" s="4" t="n">
        <v>984</v>
      </c>
      <c r="B988" s="4" t="inlineStr">
        <is>
          <t>yes</t>
        </is>
      </c>
      <c r="C988" s="4" t="inlineStr">
        <is>
          <t>Beisemannhang</t>
        </is>
      </c>
      <c r="D988" s="4" t="inlineStr">
        <is>
          <t>6</t>
        </is>
      </c>
      <c r="E988" s="13" t="n">
        <v>196</v>
      </c>
      <c r="F988" s="12" t="n">
        <v>0.029998779296875</v>
      </c>
      <c r="G988" s="4" t="n">
        <v>0</v>
      </c>
      <c r="H988" s="4">
        <f>IF(OR(N(F988)&gt;=0.5,G988&gt;=4),3,IF(OR(N(F988)&gt;=0.3,G988=3),2,IF(OR(N(F988)&gt;=0.1,G988&gt;=1),1,0)))</f>
        <v/>
      </c>
      <c r="I988" s="4">
        <f>CHOOSE(H988+1,"Kein Risiko","Gering","Mittel","Hoch")</f>
        <v/>
      </c>
    </row>
    <row r="989">
      <c r="A989" s="4" t="n">
        <v>985</v>
      </c>
      <c r="B989" s="4" t="inlineStr">
        <is>
          <t>yes</t>
        </is>
      </c>
      <c r="C989" s="4" t="inlineStr">
        <is>
          <t>Niederweniger Straße</t>
        </is>
      </c>
      <c r="D989" s="4" t="inlineStr">
        <is>
          <t>98</t>
        </is>
      </c>
      <c r="E989" s="13" t="n">
        <v>197.6</v>
      </c>
      <c r="F989" s="12" t="n">
        <v>0.089996337890625</v>
      </c>
      <c r="G989" s="4" t="n">
        <v>0</v>
      </c>
      <c r="H989" s="4">
        <f>IF(OR(N(F989)&gt;=0.5,G989&gt;=4),3,IF(OR(N(F989)&gt;=0.3,G989=3),2,IF(OR(N(F989)&gt;=0.1,G989&gt;=1),1,0)))</f>
        <v/>
      </c>
      <c r="I989" s="4">
        <f>CHOOSE(H989+1,"Kein Risiko","Gering","Mittel","Hoch")</f>
        <v/>
      </c>
    </row>
    <row r="990">
      <c r="A990" s="4" t="n">
        <v>986</v>
      </c>
      <c r="B990" s="4" t="inlineStr">
        <is>
          <t>yes</t>
        </is>
      </c>
      <c r="C990" s="4" t="inlineStr"/>
      <c r="D990" s="4" t="inlineStr"/>
      <c r="E990" s="13" t="n">
        <v>73.90000000000001</v>
      </c>
      <c r="F990" s="12" t="n">
        <v>0</v>
      </c>
      <c r="G990" s="4" t="n">
        <v>0</v>
      </c>
      <c r="H990" s="4">
        <f>IF(OR(N(F990)&gt;=0.5,G990&gt;=4),3,IF(OR(N(F990)&gt;=0.3,G990=3),2,IF(OR(N(F990)&gt;=0.1,G990&gt;=1),1,0)))</f>
        <v/>
      </c>
      <c r="I990" s="4">
        <f>CHOOSE(H990+1,"Kein Risiko","Gering","Mittel","Hoch")</f>
        <v/>
      </c>
    </row>
    <row r="991">
      <c r="A991" s="4" t="n">
        <v>987</v>
      </c>
      <c r="B991" s="4" t="inlineStr">
        <is>
          <t>yes</t>
        </is>
      </c>
      <c r="C991" s="4" t="inlineStr">
        <is>
          <t>Niederweniger Straße</t>
        </is>
      </c>
      <c r="D991" s="4" t="inlineStr">
        <is>
          <t>100</t>
        </is>
      </c>
      <c r="E991" s="13" t="n">
        <v>172.7</v>
      </c>
      <c r="F991" s="12" t="n">
        <v>0.0800018310546875</v>
      </c>
      <c r="G991" s="4" t="n">
        <v>0</v>
      </c>
      <c r="H991" s="4">
        <f>IF(OR(N(F991)&gt;=0.5,G991&gt;=4),3,IF(OR(N(F991)&gt;=0.3,G991=3),2,IF(OR(N(F991)&gt;=0.1,G991&gt;=1),1,0)))</f>
        <v/>
      </c>
      <c r="I991" s="4">
        <f>CHOOSE(H991+1,"Kein Risiko","Gering","Mittel","Hoch")</f>
        <v/>
      </c>
    </row>
    <row r="992">
      <c r="A992" s="4" t="n">
        <v>988</v>
      </c>
      <c r="B992" s="4" t="inlineStr">
        <is>
          <t>yes</t>
        </is>
      </c>
      <c r="C992" s="4" t="inlineStr">
        <is>
          <t>Niederweniger Straße</t>
        </is>
      </c>
      <c r="D992" s="4" t="inlineStr">
        <is>
          <t>96</t>
        </is>
      </c>
      <c r="E992" s="13" t="n">
        <v>158.1</v>
      </c>
      <c r="F992" s="12" t="n">
        <v>0.269989013671875</v>
      </c>
      <c r="G992" s="4" t="n">
        <v>0</v>
      </c>
      <c r="H992" s="4">
        <f>IF(OR(N(F992)&gt;=0.5,G992&gt;=4),3,IF(OR(N(F992)&gt;=0.3,G992=3),2,IF(OR(N(F992)&gt;=0.1,G992&gt;=1),1,0)))</f>
        <v/>
      </c>
      <c r="I992" s="4">
        <f>CHOOSE(H992+1,"Kein Risiko","Gering","Mittel","Hoch")</f>
        <v/>
      </c>
    </row>
    <row r="993">
      <c r="A993" s="4" t="n">
        <v>989</v>
      </c>
      <c r="B993" s="4" t="inlineStr">
        <is>
          <t>yes</t>
        </is>
      </c>
      <c r="C993" s="4" t="inlineStr">
        <is>
          <t>Niederweniger Straße</t>
        </is>
      </c>
      <c r="D993" s="4" t="inlineStr">
        <is>
          <t>93</t>
        </is>
      </c>
      <c r="E993" s="13" t="n">
        <v>167.5</v>
      </c>
      <c r="F993" s="12" t="n">
        <v>0</v>
      </c>
      <c r="G993" s="4" t="n">
        <v>0</v>
      </c>
      <c r="H993" s="4">
        <f>IF(OR(N(F993)&gt;=0.5,G993&gt;=4),3,IF(OR(N(F993)&gt;=0.3,G993=3),2,IF(OR(N(F993)&gt;=0.1,G993&gt;=1),1,0)))</f>
        <v/>
      </c>
      <c r="I993" s="4">
        <f>CHOOSE(H993+1,"Kein Risiko","Gering","Mittel","Hoch")</f>
        <v/>
      </c>
    </row>
    <row r="994">
      <c r="A994" s="4" t="n">
        <v>990</v>
      </c>
      <c r="B994" s="4" t="inlineStr">
        <is>
          <t>yes</t>
        </is>
      </c>
      <c r="C994" s="4" t="inlineStr">
        <is>
          <t>Niederweniger Straße</t>
        </is>
      </c>
      <c r="D994" s="4" t="inlineStr">
        <is>
          <t>82</t>
        </is>
      </c>
      <c r="E994" s="13" t="n">
        <v>134.8</v>
      </c>
      <c r="F994" s="12" t="n">
        <v>0</v>
      </c>
      <c r="G994" s="4" t="n">
        <v>0</v>
      </c>
      <c r="H994" s="4">
        <f>IF(OR(N(F994)&gt;=0.5,G994&gt;=4),3,IF(OR(N(F994)&gt;=0.3,G994=3),2,IF(OR(N(F994)&gt;=0.1,G994&gt;=1),1,0)))</f>
        <v/>
      </c>
      <c r="I994" s="4">
        <f>CHOOSE(H994+1,"Kein Risiko","Gering","Mittel","Hoch")</f>
        <v/>
      </c>
    </row>
    <row r="995">
      <c r="A995" s="4" t="n">
        <v>991</v>
      </c>
      <c r="B995" s="4" t="inlineStr">
        <is>
          <t>yes</t>
        </is>
      </c>
      <c r="C995" s="4" t="inlineStr">
        <is>
          <t>Schliepersberg</t>
        </is>
      </c>
      <c r="D995" s="4" t="inlineStr">
        <is>
          <t>32b</t>
        </is>
      </c>
      <c r="E995" s="13" t="n">
        <v>101.7</v>
      </c>
      <c r="F995" s="12" t="n">
        <v>0.0500030517578125</v>
      </c>
      <c r="G995" s="4" t="n">
        <v>0</v>
      </c>
      <c r="H995" s="4">
        <f>IF(OR(N(F995)&gt;=0.5,G995&gt;=4),3,IF(OR(N(F995)&gt;=0.3,G995=3),2,IF(OR(N(F995)&gt;=0.1,G995&gt;=1),1,0)))</f>
        <v/>
      </c>
      <c r="I995" s="4">
        <f>CHOOSE(H995+1,"Kein Risiko","Gering","Mittel","Hoch")</f>
        <v/>
      </c>
    </row>
    <row r="996">
      <c r="A996" s="4" t="n">
        <v>992</v>
      </c>
      <c r="B996" s="4" t="inlineStr">
        <is>
          <t>yes</t>
        </is>
      </c>
      <c r="C996" s="4" t="inlineStr">
        <is>
          <t>Schliepersberg</t>
        </is>
      </c>
      <c r="D996" s="4" t="inlineStr">
        <is>
          <t>34b</t>
        </is>
      </c>
      <c r="E996" s="13" t="n">
        <v>93.3</v>
      </c>
      <c r="F996" s="12" t="n">
        <v>0</v>
      </c>
      <c r="G996" s="4" t="n">
        <v>0</v>
      </c>
      <c r="H996" s="4">
        <f>IF(OR(N(F996)&gt;=0.5,G996&gt;=4),3,IF(OR(N(F996)&gt;=0.3,G996=3),2,IF(OR(N(F996)&gt;=0.1,G996&gt;=1),1,0)))</f>
        <v/>
      </c>
      <c r="I996" s="4">
        <f>CHOOSE(H996+1,"Kein Risiko","Gering","Mittel","Hoch")</f>
        <v/>
      </c>
    </row>
    <row r="997">
      <c r="A997" s="4" t="n">
        <v>993</v>
      </c>
      <c r="B997" s="4" t="inlineStr">
        <is>
          <t>yes</t>
        </is>
      </c>
      <c r="C997" s="4" t="inlineStr">
        <is>
          <t>Schliepersberg</t>
        </is>
      </c>
      <c r="D997" s="4" t="inlineStr">
        <is>
          <t>30b</t>
        </is>
      </c>
      <c r="E997" s="13" t="n">
        <v>149.2</v>
      </c>
      <c r="F997" s="12" t="n">
        <v>0</v>
      </c>
      <c r="G997" s="4" t="n">
        <v>0</v>
      </c>
      <c r="H997" s="4">
        <f>IF(OR(N(F997)&gt;=0.5,G997&gt;=4),3,IF(OR(N(F997)&gt;=0.3,G997=3),2,IF(OR(N(F997)&gt;=0.1,G997&gt;=1),1,0)))</f>
        <v/>
      </c>
      <c r="I997" s="4">
        <f>CHOOSE(H997+1,"Kein Risiko","Gering","Mittel","Hoch")</f>
        <v/>
      </c>
    </row>
    <row r="998">
      <c r="A998" s="4" t="n">
        <v>994</v>
      </c>
      <c r="B998" s="4" t="inlineStr">
        <is>
          <t>yes</t>
        </is>
      </c>
      <c r="C998" s="4" t="inlineStr">
        <is>
          <t>Schliepersberg</t>
        </is>
      </c>
      <c r="D998" s="4" t="inlineStr">
        <is>
          <t>36b</t>
        </is>
      </c>
      <c r="E998" s="13" t="n">
        <v>105.6</v>
      </c>
      <c r="F998" s="12" t="n">
        <v>0.1100006103515625</v>
      </c>
      <c r="G998" s="4" t="n">
        <v>0</v>
      </c>
      <c r="H998" s="4">
        <f>IF(OR(N(F998)&gt;=0.5,G998&gt;=4),3,IF(OR(N(F998)&gt;=0.3,G998=3),2,IF(OR(N(F998)&gt;=0.1,G998&gt;=1),1,0)))</f>
        <v/>
      </c>
      <c r="I998" s="4">
        <f>CHOOSE(H998+1,"Kein Risiko","Gering","Mittel","Hoch")</f>
        <v/>
      </c>
    </row>
    <row r="999">
      <c r="A999" s="4" t="n">
        <v>995</v>
      </c>
      <c r="B999" s="4" t="inlineStr">
        <is>
          <t>yes</t>
        </is>
      </c>
      <c r="C999" s="4" t="inlineStr">
        <is>
          <t>Schliepersberg</t>
        </is>
      </c>
      <c r="D999" s="4" t="inlineStr">
        <is>
          <t>28</t>
        </is>
      </c>
      <c r="E999" s="13" t="n">
        <v>160.5</v>
      </c>
      <c r="F999" s="12" t="n">
        <v>0</v>
      </c>
      <c r="G999" s="4" t="n">
        <v>1</v>
      </c>
      <c r="H999" s="4">
        <f>IF(OR(N(F999)&gt;=0.5,G999&gt;=4),3,IF(OR(N(F999)&gt;=0.3,G999=3),2,IF(OR(N(F999)&gt;=0.1,G999&gt;=1),1,0)))</f>
        <v/>
      </c>
      <c r="I999" s="4">
        <f>CHOOSE(H999+1,"Kein Risiko","Gering","Mittel","Hoch")</f>
        <v/>
      </c>
    </row>
    <row r="1000">
      <c r="A1000" s="4" t="n">
        <v>996</v>
      </c>
      <c r="B1000" s="4" t="inlineStr">
        <is>
          <t>yes</t>
        </is>
      </c>
      <c r="C1000" s="4" t="inlineStr">
        <is>
          <t>Niederweniger Straße</t>
        </is>
      </c>
      <c r="D1000" s="4" t="inlineStr">
        <is>
          <t>118</t>
        </is>
      </c>
      <c r="E1000" s="13" t="n">
        <v>91.2</v>
      </c>
      <c r="F1000" s="12" t="n">
        <v>0</v>
      </c>
      <c r="G1000" s="4" t="n">
        <v>0</v>
      </c>
      <c r="H1000" s="4">
        <f>IF(OR(N(F1000)&gt;=0.5,G1000&gt;=4),3,IF(OR(N(F1000)&gt;=0.3,G1000=3),2,IF(OR(N(F1000)&gt;=0.1,G1000&gt;=1),1,0)))</f>
        <v/>
      </c>
      <c r="I1000" s="4">
        <f>CHOOSE(H1000+1,"Kein Risiko","Gering","Mittel","Hoch")</f>
        <v/>
      </c>
    </row>
    <row r="1001">
      <c r="A1001" s="4" t="n">
        <v>997</v>
      </c>
      <c r="B1001" s="4" t="inlineStr">
        <is>
          <t>yes</t>
        </is>
      </c>
      <c r="C1001" s="4" t="inlineStr">
        <is>
          <t>Niederweniger Straße</t>
        </is>
      </c>
      <c r="D1001" s="4" t="inlineStr">
        <is>
          <t>126a</t>
        </is>
      </c>
      <c r="E1001" s="13" t="n">
        <v>89.2</v>
      </c>
      <c r="F1001" s="12" t="n">
        <v>0.0699920654296875</v>
      </c>
      <c r="G1001" s="4" t="n">
        <v>0</v>
      </c>
      <c r="H1001" s="4">
        <f>IF(OR(N(F1001)&gt;=0.5,G1001&gt;=4),3,IF(OR(N(F1001)&gt;=0.3,G1001=3),2,IF(OR(N(F1001)&gt;=0.1,G1001&gt;=1),1,0)))</f>
        <v/>
      </c>
      <c r="I1001" s="4">
        <f>CHOOSE(H1001+1,"Kein Risiko","Gering","Mittel","Hoch")</f>
        <v/>
      </c>
    </row>
    <row r="1002">
      <c r="A1002" s="4" t="n">
        <v>998</v>
      </c>
      <c r="B1002" s="4" t="inlineStr">
        <is>
          <t>yes</t>
        </is>
      </c>
      <c r="C1002" s="4" t="inlineStr">
        <is>
          <t>Niederweniger Straße</t>
        </is>
      </c>
      <c r="D1002" s="4" t="inlineStr">
        <is>
          <t>136</t>
        </is>
      </c>
      <c r="E1002" s="13" t="n">
        <v>131.6</v>
      </c>
      <c r="F1002" s="12" t="n">
        <v>0.0099945068359375</v>
      </c>
      <c r="G1002" s="4" t="n">
        <v>0</v>
      </c>
      <c r="H1002" s="4">
        <f>IF(OR(N(F1002)&gt;=0.5,G1002&gt;=4),3,IF(OR(N(F1002)&gt;=0.3,G1002=3),2,IF(OR(N(F1002)&gt;=0.1,G1002&gt;=1),1,0)))</f>
        <v/>
      </c>
      <c r="I1002" s="4">
        <f>CHOOSE(H1002+1,"Kein Risiko","Gering","Mittel","Hoch")</f>
        <v/>
      </c>
    </row>
    <row r="1003">
      <c r="A1003" s="4" t="n">
        <v>999</v>
      </c>
      <c r="B1003" s="4" t="inlineStr">
        <is>
          <t>yes</t>
        </is>
      </c>
      <c r="C1003" s="4" t="inlineStr">
        <is>
          <t>Niederweniger Straße</t>
        </is>
      </c>
      <c r="D1003" s="4" t="inlineStr">
        <is>
          <t>124a</t>
        </is>
      </c>
      <c r="E1003" s="13" t="n">
        <v>88.5</v>
      </c>
      <c r="F1003" s="12" t="n">
        <v>0.0399932861328125</v>
      </c>
      <c r="G1003" s="4" t="n">
        <v>0</v>
      </c>
      <c r="H1003" s="4">
        <f>IF(OR(N(F1003)&gt;=0.5,G1003&gt;=4),3,IF(OR(N(F1003)&gt;=0.3,G1003=3),2,IF(OR(N(F1003)&gt;=0.1,G1003&gt;=1),1,0)))</f>
        <v/>
      </c>
      <c r="I1003" s="4">
        <f>CHOOSE(H1003+1,"Kein Risiko","Gering","Mittel","Hoch")</f>
        <v/>
      </c>
    </row>
    <row r="1004">
      <c r="A1004" s="4" t="n">
        <v>1000</v>
      </c>
      <c r="B1004" s="4" t="inlineStr">
        <is>
          <t>yes</t>
        </is>
      </c>
      <c r="C1004" s="4" t="inlineStr">
        <is>
          <t>Niederweniger Straße</t>
        </is>
      </c>
      <c r="D1004" s="4" t="inlineStr">
        <is>
          <t>130</t>
        </is>
      </c>
      <c r="E1004" s="13" t="n">
        <v>224.8</v>
      </c>
      <c r="F1004" s="12" t="n">
        <v>0.089996337890625</v>
      </c>
      <c r="G1004" s="4" t="n">
        <v>1</v>
      </c>
      <c r="H1004" s="4">
        <f>IF(OR(N(F1004)&gt;=0.5,G1004&gt;=4),3,IF(OR(N(F1004)&gt;=0.3,G1004=3),2,IF(OR(N(F1004)&gt;=0.1,G1004&gt;=1),1,0)))</f>
        <v/>
      </c>
      <c r="I1004" s="4">
        <f>CHOOSE(H1004+1,"Kein Risiko","Gering","Mittel","Hoch")</f>
        <v/>
      </c>
    </row>
    <row r="1005">
      <c r="A1005" s="4" t="n">
        <v>1001</v>
      </c>
      <c r="B1005" s="4" t="inlineStr">
        <is>
          <t>yes</t>
        </is>
      </c>
      <c r="C1005" s="4" t="inlineStr">
        <is>
          <t>Niederweniger Straße</t>
        </is>
      </c>
      <c r="D1005" s="4" t="inlineStr">
        <is>
          <t>132</t>
        </is>
      </c>
      <c r="E1005" s="13" t="n">
        <v>115.1</v>
      </c>
      <c r="F1005" s="12" t="n">
        <v>0</v>
      </c>
      <c r="G1005" s="4" t="n">
        <v>0</v>
      </c>
      <c r="H1005" s="4">
        <f>IF(OR(N(F1005)&gt;=0.5,G1005&gt;=4),3,IF(OR(N(F1005)&gt;=0.3,G1005=3),2,IF(OR(N(F1005)&gt;=0.1,G1005&gt;=1),1,0)))</f>
        <v/>
      </c>
      <c r="I1005" s="4">
        <f>CHOOSE(H1005+1,"Kein Risiko","Gering","Mittel","Hoch")</f>
        <v/>
      </c>
    </row>
    <row r="1006">
      <c r="A1006" s="4" t="n">
        <v>1002</v>
      </c>
      <c r="B1006" s="4" t="inlineStr">
        <is>
          <t>yes</t>
        </is>
      </c>
      <c r="C1006" s="4" t="inlineStr">
        <is>
          <t>Niederweniger Straße</t>
        </is>
      </c>
      <c r="D1006" s="4" t="inlineStr">
        <is>
          <t>122a</t>
        </is>
      </c>
      <c r="E1006" s="13" t="n">
        <v>89.8</v>
      </c>
      <c r="F1006" s="12" t="n">
        <v>0</v>
      </c>
      <c r="G1006" s="4" t="n">
        <v>0</v>
      </c>
      <c r="H1006" s="4">
        <f>IF(OR(N(F1006)&gt;=0.5,G1006&gt;=4),3,IF(OR(N(F1006)&gt;=0.3,G1006=3),2,IF(OR(N(F1006)&gt;=0.1,G1006&gt;=1),1,0)))</f>
        <v/>
      </c>
      <c r="I1006" s="4">
        <f>CHOOSE(H1006+1,"Kein Risiko","Gering","Mittel","Hoch")</f>
        <v/>
      </c>
    </row>
    <row r="1007">
      <c r="A1007" s="4" t="n">
        <v>1003</v>
      </c>
      <c r="B1007" s="4" t="inlineStr">
        <is>
          <t>yes</t>
        </is>
      </c>
      <c r="C1007" s="4" t="inlineStr">
        <is>
          <t>Niederweniger Straße</t>
        </is>
      </c>
      <c r="D1007" s="4" t="inlineStr">
        <is>
          <t>134</t>
        </is>
      </c>
      <c r="E1007" s="13" t="n">
        <v>226.8</v>
      </c>
      <c r="F1007" s="12" t="n">
        <v>0.040008544921875</v>
      </c>
      <c r="G1007" s="4" t="n">
        <v>1</v>
      </c>
      <c r="H1007" s="4">
        <f>IF(OR(N(F1007)&gt;=0.5,G1007&gt;=4),3,IF(OR(N(F1007)&gt;=0.3,G1007=3),2,IF(OR(N(F1007)&gt;=0.1,G1007&gt;=1),1,0)))</f>
        <v/>
      </c>
      <c r="I1007" s="4">
        <f>CHOOSE(H1007+1,"Kein Risiko","Gering","Mittel","Hoch")</f>
        <v/>
      </c>
    </row>
    <row r="1008">
      <c r="A1008" s="4" t="n">
        <v>1004</v>
      </c>
      <c r="B1008" s="4" t="inlineStr">
        <is>
          <t>yes</t>
        </is>
      </c>
      <c r="C1008" s="4" t="inlineStr">
        <is>
          <t>Schliepersberg</t>
        </is>
      </c>
      <c r="D1008" s="4" t="inlineStr">
        <is>
          <t>24</t>
        </is>
      </c>
      <c r="E1008" s="13" t="n">
        <v>146.9</v>
      </c>
      <c r="F1008" s="12" t="n">
        <v>0.470001220703125</v>
      </c>
      <c r="G1008" s="4" t="n">
        <v>0</v>
      </c>
      <c r="H1008" s="4">
        <f>IF(OR(N(F1008)&gt;=0.5,G1008&gt;=4),3,IF(OR(N(F1008)&gt;=0.3,G1008=3),2,IF(OR(N(F1008)&gt;=0.1,G1008&gt;=1),1,0)))</f>
        <v/>
      </c>
      <c r="I1008" s="4">
        <f>CHOOSE(H1008+1,"Kein Risiko","Gering","Mittel","Hoch")</f>
        <v/>
      </c>
    </row>
    <row r="1009">
      <c r="A1009" s="4" t="n">
        <v>1005</v>
      </c>
      <c r="B1009" s="4" t="inlineStr">
        <is>
          <t>residential</t>
        </is>
      </c>
      <c r="C1009" s="4" t="inlineStr">
        <is>
          <t>Schliepersberg</t>
        </is>
      </c>
      <c r="D1009" s="4" t="inlineStr">
        <is>
          <t>26a-26b</t>
        </is>
      </c>
      <c r="E1009" s="13" t="n">
        <v>171.8</v>
      </c>
      <c r="F1009" s="12" t="n">
        <v>0</v>
      </c>
      <c r="G1009" s="4" t="n">
        <v>0</v>
      </c>
      <c r="H1009" s="4">
        <f>IF(OR(N(F1009)&gt;=0.5,G1009&gt;=4),3,IF(OR(N(F1009)&gt;=0.3,G1009=3),2,IF(OR(N(F1009)&gt;=0.1,G1009&gt;=1),1,0)))</f>
        <v/>
      </c>
      <c r="I1009" s="4">
        <f>CHOOSE(H1009+1,"Kein Risiko","Gering","Mittel","Hoch")</f>
        <v/>
      </c>
    </row>
    <row r="1010">
      <c r="A1010" s="4" t="n">
        <v>1006</v>
      </c>
      <c r="B1010" s="4" t="inlineStr">
        <is>
          <t>yes</t>
        </is>
      </c>
      <c r="C1010" s="4" t="inlineStr">
        <is>
          <t>Möllneys Nocken</t>
        </is>
      </c>
      <c r="D1010" s="4" t="inlineStr">
        <is>
          <t>4b</t>
        </is>
      </c>
      <c r="E1010" s="13" t="n">
        <v>221.4</v>
      </c>
      <c r="F1010" s="12" t="n">
        <v>0.3499984741210938</v>
      </c>
      <c r="G1010" s="4" t="n">
        <v>2</v>
      </c>
      <c r="H1010" s="4">
        <f>IF(OR(N(F1010)&gt;=0.5,G1010&gt;=4),3,IF(OR(N(F1010)&gt;=0.3,G1010=3),2,IF(OR(N(F1010)&gt;=0.1,G1010&gt;=1),1,0)))</f>
        <v/>
      </c>
      <c r="I1010" s="4">
        <f>CHOOSE(H1010+1,"Kein Risiko","Gering","Mittel","Hoch")</f>
        <v/>
      </c>
    </row>
    <row r="1011">
      <c r="A1011" s="4" t="n">
        <v>1007</v>
      </c>
      <c r="B1011" s="4" t="inlineStr">
        <is>
          <t>yes</t>
        </is>
      </c>
      <c r="C1011" s="4" t="inlineStr">
        <is>
          <t>Möllneys Nocken</t>
        </is>
      </c>
      <c r="D1011" s="4" t="inlineStr">
        <is>
          <t>14</t>
        </is>
      </c>
      <c r="E1011" s="13" t="n">
        <v>285.2</v>
      </c>
      <c r="F1011" s="12" t="n">
        <v>0</v>
      </c>
      <c r="G1011" s="4" t="n">
        <v>0</v>
      </c>
      <c r="H1011" s="4">
        <f>IF(OR(N(F1011)&gt;=0.5,G1011&gt;=4),3,IF(OR(N(F1011)&gt;=0.3,G1011=3),2,IF(OR(N(F1011)&gt;=0.1,G1011&gt;=1),1,0)))</f>
        <v/>
      </c>
      <c r="I1011" s="4">
        <f>CHOOSE(H1011+1,"Kein Risiko","Gering","Mittel","Hoch")</f>
        <v/>
      </c>
    </row>
    <row r="1012">
      <c r="A1012" s="4" t="n">
        <v>1008</v>
      </c>
      <c r="B1012" s="4" t="inlineStr">
        <is>
          <t>yes</t>
        </is>
      </c>
      <c r="C1012" s="4" t="inlineStr">
        <is>
          <t>Möllneys Nocken</t>
        </is>
      </c>
      <c r="D1012" s="4" t="inlineStr">
        <is>
          <t>6b</t>
        </is>
      </c>
      <c r="E1012" s="13" t="n">
        <v>163.5</v>
      </c>
      <c r="F1012" s="12" t="n">
        <v>0</v>
      </c>
      <c r="G1012" s="4" t="n">
        <v>0</v>
      </c>
      <c r="H1012" s="4">
        <f>IF(OR(N(F1012)&gt;=0.5,G1012&gt;=4),3,IF(OR(N(F1012)&gt;=0.3,G1012=3),2,IF(OR(N(F1012)&gt;=0.1,G1012&gt;=1),1,0)))</f>
        <v/>
      </c>
      <c r="I1012" s="4">
        <f>CHOOSE(H1012+1,"Kein Risiko","Gering","Mittel","Hoch")</f>
        <v/>
      </c>
    </row>
    <row r="1013">
      <c r="A1013" s="4" t="n">
        <v>1009</v>
      </c>
      <c r="B1013" s="4" t="inlineStr">
        <is>
          <t>yes</t>
        </is>
      </c>
      <c r="C1013" s="4" t="inlineStr">
        <is>
          <t>Möllneys Nocken</t>
        </is>
      </c>
      <c r="D1013" s="4" t="inlineStr">
        <is>
          <t>4a</t>
        </is>
      </c>
      <c r="E1013" s="13" t="n">
        <v>168.4</v>
      </c>
      <c r="F1013" s="12" t="n">
        <v>0</v>
      </c>
      <c r="G1013" s="4" t="n">
        <v>1</v>
      </c>
      <c r="H1013" s="4">
        <f>IF(OR(N(F1013)&gt;=0.5,G1013&gt;=4),3,IF(OR(N(F1013)&gt;=0.3,G1013=3),2,IF(OR(N(F1013)&gt;=0.1,G1013&gt;=1),1,0)))</f>
        <v/>
      </c>
      <c r="I1013" s="4">
        <f>CHOOSE(H1013+1,"Kein Risiko","Gering","Mittel","Hoch")</f>
        <v/>
      </c>
    </row>
    <row r="1014">
      <c r="A1014" s="4" t="n">
        <v>1010</v>
      </c>
      <c r="B1014" s="4" t="inlineStr">
        <is>
          <t>semidetached_house</t>
        </is>
      </c>
      <c r="C1014" s="4" t="inlineStr">
        <is>
          <t>Möllneys Nocken</t>
        </is>
      </c>
      <c r="D1014" s="4" t="inlineStr">
        <is>
          <t>10</t>
        </is>
      </c>
      <c r="E1014" s="13" t="n">
        <v>111.4</v>
      </c>
      <c r="F1014" s="12" t="n">
        <v>0</v>
      </c>
      <c r="G1014" s="4" t="n">
        <v>0</v>
      </c>
      <c r="H1014" s="4">
        <f>IF(OR(N(F1014)&gt;=0.5,G1014&gt;=4),3,IF(OR(N(F1014)&gt;=0.3,G1014=3),2,IF(OR(N(F1014)&gt;=0.1,G1014&gt;=1),1,0)))</f>
        <v/>
      </c>
      <c r="I1014" s="4">
        <f>CHOOSE(H1014+1,"Kein Risiko","Gering","Mittel","Hoch")</f>
        <v/>
      </c>
    </row>
    <row r="1015">
      <c r="A1015" s="4" t="n">
        <v>1011</v>
      </c>
      <c r="B1015" s="4" t="inlineStr">
        <is>
          <t>yes</t>
        </is>
      </c>
      <c r="C1015" s="4" t="inlineStr">
        <is>
          <t>Dixbäume</t>
        </is>
      </c>
      <c r="D1015" s="4" t="inlineStr">
        <is>
          <t>15b</t>
        </is>
      </c>
      <c r="E1015" s="13" t="n">
        <v>144.9</v>
      </c>
      <c r="F1015" s="12" t="n">
        <v>0.1200027465820312</v>
      </c>
      <c r="G1015" s="4" t="n">
        <v>0</v>
      </c>
      <c r="H1015" s="4">
        <f>IF(OR(N(F1015)&gt;=0.5,G1015&gt;=4),3,IF(OR(N(F1015)&gt;=0.3,G1015=3),2,IF(OR(N(F1015)&gt;=0.1,G1015&gt;=1),1,0)))</f>
        <v/>
      </c>
      <c r="I1015" s="4">
        <f>CHOOSE(H1015+1,"Kein Risiko","Gering","Mittel","Hoch")</f>
        <v/>
      </c>
    </row>
    <row r="1016">
      <c r="A1016" s="4" t="n">
        <v>1012</v>
      </c>
      <c r="B1016" s="4" t="inlineStr">
        <is>
          <t>yes</t>
        </is>
      </c>
      <c r="C1016" s="4" t="inlineStr"/>
      <c r="D1016" s="4" t="inlineStr"/>
      <c r="E1016" s="13" t="n">
        <v>52.1</v>
      </c>
      <c r="F1016" s="12" t="n">
        <v>0</v>
      </c>
      <c r="G1016" s="4" t="n">
        <v>2</v>
      </c>
      <c r="H1016" s="4">
        <f>IF(OR(N(F1016)&gt;=0.5,G1016&gt;=4),3,IF(OR(N(F1016)&gt;=0.3,G1016=3),2,IF(OR(N(F1016)&gt;=0.1,G1016&gt;=1),1,0)))</f>
        <v/>
      </c>
      <c r="I1016" s="4">
        <f>CHOOSE(H1016+1,"Kein Risiko","Gering","Mittel","Hoch")</f>
        <v/>
      </c>
    </row>
    <row r="1017">
      <c r="A1017" s="4" t="n">
        <v>1013</v>
      </c>
      <c r="B1017" s="4" t="inlineStr">
        <is>
          <t>residential</t>
        </is>
      </c>
      <c r="C1017" s="4" t="inlineStr">
        <is>
          <t>Dixbäume</t>
        </is>
      </c>
      <c r="D1017" s="4" t="inlineStr">
        <is>
          <t>9d</t>
        </is>
      </c>
      <c r="E1017" s="13" t="n">
        <v>157.1</v>
      </c>
      <c r="F1017" s="12" t="n">
        <v>0.1299972534179688</v>
      </c>
      <c r="G1017" s="4" t="n">
        <v>1</v>
      </c>
      <c r="H1017" s="4">
        <f>IF(OR(N(F1017)&gt;=0.5,G1017&gt;=4),3,IF(OR(N(F1017)&gt;=0.3,G1017=3),2,IF(OR(N(F1017)&gt;=0.1,G1017&gt;=1),1,0)))</f>
        <v/>
      </c>
      <c r="I1017" s="4">
        <f>CHOOSE(H1017+1,"Kein Risiko","Gering","Mittel","Hoch")</f>
        <v/>
      </c>
    </row>
    <row r="1018">
      <c r="A1018" s="4" t="n">
        <v>1014</v>
      </c>
      <c r="B1018" s="4" t="inlineStr">
        <is>
          <t>residential</t>
        </is>
      </c>
      <c r="C1018" s="4" t="inlineStr">
        <is>
          <t>Dixbäume</t>
        </is>
      </c>
      <c r="D1018" s="4" t="inlineStr">
        <is>
          <t>9b</t>
        </is>
      </c>
      <c r="E1018" s="13" t="n">
        <v>130.8</v>
      </c>
      <c r="F1018" s="12" t="n">
        <v>0</v>
      </c>
      <c r="G1018" s="4" t="n">
        <v>0</v>
      </c>
      <c r="H1018" s="4">
        <f>IF(OR(N(F1018)&gt;=0.5,G1018&gt;=4),3,IF(OR(N(F1018)&gt;=0.3,G1018=3),2,IF(OR(N(F1018)&gt;=0.1,G1018&gt;=1),1,0)))</f>
        <v/>
      </c>
      <c r="I1018" s="4">
        <f>CHOOSE(H1018+1,"Kein Risiko","Gering","Mittel","Hoch")</f>
        <v/>
      </c>
    </row>
    <row r="1019">
      <c r="A1019" s="4" t="n">
        <v>1015</v>
      </c>
      <c r="B1019" s="4" t="inlineStr">
        <is>
          <t>yes</t>
        </is>
      </c>
      <c r="C1019" s="4" t="inlineStr">
        <is>
          <t>Dixbäume</t>
        </is>
      </c>
      <c r="D1019" s="4" t="inlineStr">
        <is>
          <t>15d</t>
        </is>
      </c>
      <c r="E1019" s="13" t="n">
        <v>127.8</v>
      </c>
      <c r="F1019" s="12" t="n">
        <v>0</v>
      </c>
      <c r="G1019" s="4" t="n">
        <v>0</v>
      </c>
      <c r="H1019" s="4">
        <f>IF(OR(N(F1019)&gt;=0.5,G1019&gt;=4),3,IF(OR(N(F1019)&gt;=0.3,G1019=3),2,IF(OR(N(F1019)&gt;=0.1,G1019&gt;=1),1,0)))</f>
        <v/>
      </c>
      <c r="I1019" s="4">
        <f>CHOOSE(H1019+1,"Kein Risiko","Gering","Mittel","Hoch")</f>
        <v/>
      </c>
    </row>
    <row r="1020">
      <c r="A1020" s="4" t="n">
        <v>1016</v>
      </c>
      <c r="B1020" s="4" t="inlineStr">
        <is>
          <t>residential</t>
        </is>
      </c>
      <c r="C1020" s="4" t="inlineStr">
        <is>
          <t>Dixbäume</t>
        </is>
      </c>
      <c r="D1020" s="4" t="inlineStr">
        <is>
          <t>9e</t>
        </is>
      </c>
      <c r="E1020" s="13" t="n">
        <v>100.4</v>
      </c>
      <c r="F1020" s="12" t="n">
        <v>0</v>
      </c>
      <c r="G1020" s="4" t="n">
        <v>0</v>
      </c>
      <c r="H1020" s="4">
        <f>IF(OR(N(F1020)&gt;=0.5,G1020&gt;=4),3,IF(OR(N(F1020)&gt;=0.3,G1020=3),2,IF(OR(N(F1020)&gt;=0.1,G1020&gt;=1),1,0)))</f>
        <v/>
      </c>
      <c r="I1020" s="4">
        <f>CHOOSE(H1020+1,"Kein Risiko","Gering","Mittel","Hoch")</f>
        <v/>
      </c>
    </row>
    <row r="1021">
      <c r="A1021" s="4" t="n">
        <v>1017</v>
      </c>
      <c r="B1021" s="4" t="inlineStr">
        <is>
          <t>house</t>
        </is>
      </c>
      <c r="C1021" s="4" t="inlineStr">
        <is>
          <t>Schliepersberg</t>
        </is>
      </c>
      <c r="D1021" s="4" t="inlineStr">
        <is>
          <t>104</t>
        </is>
      </c>
      <c r="E1021" s="13" t="n">
        <v>104.1</v>
      </c>
      <c r="F1021" s="12" t="n">
        <v>0</v>
      </c>
      <c r="G1021" s="4" t="n">
        <v>0</v>
      </c>
      <c r="H1021" s="4">
        <f>IF(OR(N(F1021)&gt;=0.5,G1021&gt;=4),3,IF(OR(N(F1021)&gt;=0.3,G1021=3),2,IF(OR(N(F1021)&gt;=0.1,G1021&gt;=1),1,0)))</f>
        <v/>
      </c>
      <c r="I1021" s="4">
        <f>CHOOSE(H1021+1,"Kein Risiko","Gering","Mittel","Hoch")</f>
        <v/>
      </c>
    </row>
    <row r="1022">
      <c r="A1022" s="4" t="n">
        <v>1018</v>
      </c>
      <c r="B1022" s="4" t="inlineStr">
        <is>
          <t>residential</t>
        </is>
      </c>
      <c r="C1022" s="4" t="inlineStr">
        <is>
          <t>Dixbäume</t>
        </is>
      </c>
      <c r="D1022" s="4" t="inlineStr">
        <is>
          <t>9f</t>
        </is>
      </c>
      <c r="E1022" s="13" t="n">
        <v>185.8</v>
      </c>
      <c r="F1022" s="12" t="n">
        <v>0.01000213623046875</v>
      </c>
      <c r="G1022" s="4" t="n">
        <v>0</v>
      </c>
      <c r="H1022" s="4">
        <f>IF(OR(N(F1022)&gt;=0.5,G1022&gt;=4),3,IF(OR(N(F1022)&gt;=0.3,G1022=3),2,IF(OR(N(F1022)&gt;=0.1,G1022&gt;=1),1,0)))</f>
        <v/>
      </c>
      <c r="I1022" s="4">
        <f>CHOOSE(H1022+1,"Kein Risiko","Gering","Mittel","Hoch")</f>
        <v/>
      </c>
    </row>
    <row r="1023">
      <c r="A1023" s="4" t="n">
        <v>1019</v>
      </c>
      <c r="B1023" s="4" t="inlineStr">
        <is>
          <t>yes</t>
        </is>
      </c>
      <c r="C1023" s="4" t="inlineStr">
        <is>
          <t>Dixbäume</t>
        </is>
      </c>
      <c r="D1023" s="4" t="inlineStr">
        <is>
          <t>15c</t>
        </is>
      </c>
      <c r="E1023" s="13" t="n">
        <v>121</v>
      </c>
      <c r="F1023" s="12" t="n">
        <v>0</v>
      </c>
      <c r="G1023" s="4" t="n">
        <v>1</v>
      </c>
      <c r="H1023" s="4">
        <f>IF(OR(N(F1023)&gt;=0.5,G1023&gt;=4),3,IF(OR(N(F1023)&gt;=0.3,G1023=3),2,IF(OR(N(F1023)&gt;=0.1,G1023&gt;=1),1,0)))</f>
        <v/>
      </c>
      <c r="I1023" s="4">
        <f>CHOOSE(H1023+1,"Kein Risiko","Gering","Mittel","Hoch")</f>
        <v/>
      </c>
    </row>
    <row r="1024">
      <c r="A1024" s="4" t="n">
        <v>1020</v>
      </c>
      <c r="B1024" s="4" t="inlineStr">
        <is>
          <t>apartments</t>
        </is>
      </c>
      <c r="C1024" s="4" t="inlineStr">
        <is>
          <t>Schliepersberg</t>
        </is>
      </c>
      <c r="D1024" s="4" t="inlineStr">
        <is>
          <t>76</t>
        </is>
      </c>
      <c r="E1024" s="13" t="n">
        <v>164.6</v>
      </c>
      <c r="F1024" s="12" t="n">
        <v>0</v>
      </c>
      <c r="G1024" s="4" t="n">
        <v>0</v>
      </c>
      <c r="H1024" s="4">
        <f>IF(OR(N(F1024)&gt;=0.5,G1024&gt;=4),3,IF(OR(N(F1024)&gt;=0.3,G1024=3),2,IF(OR(N(F1024)&gt;=0.1,G1024&gt;=1),1,0)))</f>
        <v/>
      </c>
      <c r="I1024" s="4">
        <f>CHOOSE(H1024+1,"Kein Risiko","Gering","Mittel","Hoch")</f>
        <v/>
      </c>
    </row>
    <row r="1025">
      <c r="A1025" s="4" t="n">
        <v>1021</v>
      </c>
      <c r="B1025" s="4" t="inlineStr">
        <is>
          <t>yes</t>
        </is>
      </c>
      <c r="C1025" s="4" t="inlineStr">
        <is>
          <t>Schliepersberg</t>
        </is>
      </c>
      <c r="D1025" s="4" t="inlineStr">
        <is>
          <t>74</t>
        </is>
      </c>
      <c r="E1025" s="13" t="n">
        <v>216.4</v>
      </c>
      <c r="F1025" s="12" t="n">
        <v>0.029998779296875</v>
      </c>
      <c r="G1025" s="4" t="n">
        <v>1</v>
      </c>
      <c r="H1025" s="4">
        <f>IF(OR(N(F1025)&gt;=0.5,G1025&gt;=4),3,IF(OR(N(F1025)&gt;=0.3,G1025=3),2,IF(OR(N(F1025)&gt;=0.1,G1025&gt;=1),1,0)))</f>
        <v/>
      </c>
      <c r="I1025" s="4">
        <f>CHOOSE(H1025+1,"Kein Risiko","Gering","Mittel","Hoch")</f>
        <v/>
      </c>
    </row>
    <row r="1026">
      <c r="A1026" s="4" t="n">
        <v>1022</v>
      </c>
      <c r="B1026" s="4" t="inlineStr">
        <is>
          <t>yes</t>
        </is>
      </c>
      <c r="C1026" s="4" t="inlineStr">
        <is>
          <t>Schliepersberg</t>
        </is>
      </c>
      <c r="D1026" s="4" t="inlineStr">
        <is>
          <t>70</t>
        </is>
      </c>
      <c r="E1026" s="13" t="n">
        <v>217.6</v>
      </c>
      <c r="F1026" s="12" t="n">
        <v>0</v>
      </c>
      <c r="G1026" s="4" t="n">
        <v>4</v>
      </c>
      <c r="H1026" s="4">
        <f>IF(OR(N(F1026)&gt;=0.5,G1026&gt;=4),3,IF(OR(N(F1026)&gt;=0.3,G1026=3),2,IF(OR(N(F1026)&gt;=0.1,G1026&gt;=1),1,0)))</f>
        <v/>
      </c>
      <c r="I1026" s="4">
        <f>CHOOSE(H1026+1,"Kein Risiko","Gering","Mittel","Hoch")</f>
        <v/>
      </c>
    </row>
    <row r="1027">
      <c r="A1027" s="4" t="n">
        <v>1023</v>
      </c>
      <c r="B1027" s="4" t="inlineStr">
        <is>
          <t>yes</t>
        </is>
      </c>
      <c r="C1027" s="4" t="inlineStr">
        <is>
          <t>Leibergweg</t>
        </is>
      </c>
      <c r="D1027" s="4" t="inlineStr">
        <is>
          <t>3</t>
        </is>
      </c>
      <c r="E1027" s="13" t="n">
        <v>131.1</v>
      </c>
      <c r="F1027" s="12" t="n">
        <v>0</v>
      </c>
      <c r="G1027" s="4" t="n">
        <v>0</v>
      </c>
      <c r="H1027" s="4">
        <f>IF(OR(N(F1027)&gt;=0.5,G1027&gt;=4),3,IF(OR(N(F1027)&gt;=0.3,G1027=3),2,IF(OR(N(F1027)&gt;=0.1,G1027&gt;=1),1,0)))</f>
        <v/>
      </c>
      <c r="I1027" s="4">
        <f>CHOOSE(H1027+1,"Kein Risiko","Gering","Mittel","Hoch")</f>
        <v/>
      </c>
    </row>
    <row r="1028">
      <c r="A1028" s="4" t="n">
        <v>1024</v>
      </c>
      <c r="B1028" s="4" t="inlineStr">
        <is>
          <t>yes</t>
        </is>
      </c>
      <c r="C1028" s="4" t="inlineStr">
        <is>
          <t>Schliepersberg</t>
        </is>
      </c>
      <c r="D1028" s="4" t="inlineStr">
        <is>
          <t>105</t>
        </is>
      </c>
      <c r="E1028" s="13" t="n">
        <v>91.7</v>
      </c>
      <c r="F1028" s="12" t="n">
        <v>0</v>
      </c>
      <c r="G1028" s="4" t="n">
        <v>0</v>
      </c>
      <c r="H1028" s="4">
        <f>IF(OR(N(F1028)&gt;=0.5,G1028&gt;=4),3,IF(OR(N(F1028)&gt;=0.3,G1028=3),2,IF(OR(N(F1028)&gt;=0.1,G1028&gt;=1),1,0)))</f>
        <v/>
      </c>
      <c r="I1028" s="4">
        <f>CHOOSE(H1028+1,"Kein Risiko","Gering","Mittel","Hoch")</f>
        <v/>
      </c>
    </row>
    <row r="1029">
      <c r="A1029" s="4" t="n">
        <v>1025</v>
      </c>
      <c r="B1029" s="4" t="inlineStr">
        <is>
          <t>yes</t>
        </is>
      </c>
      <c r="C1029" s="4" t="inlineStr">
        <is>
          <t>Schliepersberg</t>
        </is>
      </c>
      <c r="D1029" s="4" t="inlineStr">
        <is>
          <t>72</t>
        </is>
      </c>
      <c r="E1029" s="13" t="n">
        <v>136.2</v>
      </c>
      <c r="F1029" s="12" t="n">
        <v>0</v>
      </c>
      <c r="G1029" s="4" t="n">
        <v>0</v>
      </c>
      <c r="H1029" s="4">
        <f>IF(OR(N(F1029)&gt;=0.5,G1029&gt;=4),3,IF(OR(N(F1029)&gt;=0.3,G1029=3),2,IF(OR(N(F1029)&gt;=0.1,G1029&gt;=1),1,0)))</f>
        <v/>
      </c>
      <c r="I1029" s="4">
        <f>CHOOSE(H1029+1,"Kein Risiko","Gering","Mittel","Hoch")</f>
        <v/>
      </c>
    </row>
    <row r="1030">
      <c r="A1030" s="4" t="n">
        <v>1026</v>
      </c>
      <c r="B1030" s="4" t="inlineStr">
        <is>
          <t>yes</t>
        </is>
      </c>
      <c r="C1030" s="4" t="inlineStr"/>
      <c r="D1030" s="4" t="inlineStr"/>
      <c r="E1030" s="13" t="n">
        <v>80.59999999999999</v>
      </c>
      <c r="F1030" s="12" t="n">
        <v>0.0099945068359375</v>
      </c>
      <c r="G1030" s="4" t="n">
        <v>0</v>
      </c>
      <c r="H1030" s="4">
        <f>IF(OR(N(F1030)&gt;=0.5,G1030&gt;=4),3,IF(OR(N(F1030)&gt;=0.3,G1030=3),2,IF(OR(N(F1030)&gt;=0.1,G1030&gt;=1),1,0)))</f>
        <v/>
      </c>
      <c r="I1030" s="4">
        <f>CHOOSE(H1030+1,"Kein Risiko","Gering","Mittel","Hoch")</f>
        <v/>
      </c>
    </row>
    <row r="1031">
      <c r="A1031" s="4" t="n">
        <v>1027</v>
      </c>
      <c r="B1031" s="4" t="inlineStr">
        <is>
          <t>yes</t>
        </is>
      </c>
      <c r="C1031" s="4" t="inlineStr">
        <is>
          <t>An den Friedhöfen</t>
        </is>
      </c>
      <c r="D1031" s="4" t="inlineStr">
        <is>
          <t>21</t>
        </is>
      </c>
      <c r="E1031" s="13" t="n">
        <v>100.9</v>
      </c>
      <c r="F1031" s="12" t="n">
        <v>0</v>
      </c>
      <c r="G1031" s="4" t="n">
        <v>0</v>
      </c>
      <c r="H1031" s="4">
        <f>IF(OR(N(F1031)&gt;=0.5,G1031&gt;=4),3,IF(OR(N(F1031)&gt;=0.3,G1031=3),2,IF(OR(N(F1031)&gt;=0.1,G1031&gt;=1),1,0)))</f>
        <v/>
      </c>
      <c r="I1031" s="4">
        <f>CHOOSE(H1031+1,"Kein Risiko","Gering","Mittel","Hoch")</f>
        <v/>
      </c>
    </row>
    <row r="1032">
      <c r="A1032" s="4" t="n">
        <v>1028</v>
      </c>
      <c r="B1032" s="4" t="inlineStr">
        <is>
          <t>yes</t>
        </is>
      </c>
      <c r="C1032" s="4" t="inlineStr">
        <is>
          <t>An den Friedhöfen</t>
        </is>
      </c>
      <c r="D1032" s="4" t="inlineStr">
        <is>
          <t>15</t>
        </is>
      </c>
      <c r="E1032" s="13" t="n">
        <v>101</v>
      </c>
      <c r="F1032" s="12" t="n">
        <v>0.0500030517578125</v>
      </c>
      <c r="G1032" s="4" t="n">
        <v>0</v>
      </c>
      <c r="H1032" s="4">
        <f>IF(OR(N(F1032)&gt;=0.5,G1032&gt;=4),3,IF(OR(N(F1032)&gt;=0.3,G1032=3),2,IF(OR(N(F1032)&gt;=0.1,G1032&gt;=1),1,0)))</f>
        <v/>
      </c>
      <c r="I1032" s="4">
        <f>CHOOSE(H1032+1,"Kein Risiko","Gering","Mittel","Hoch")</f>
        <v/>
      </c>
    </row>
    <row r="1033">
      <c r="A1033" s="4" t="n">
        <v>1029</v>
      </c>
      <c r="B1033" s="4" t="inlineStr">
        <is>
          <t>yes</t>
        </is>
      </c>
      <c r="C1033" s="4" t="inlineStr">
        <is>
          <t>An den Friedhöfen</t>
        </is>
      </c>
      <c r="D1033" s="4" t="inlineStr">
        <is>
          <t>11</t>
        </is>
      </c>
      <c r="E1033" s="13" t="n">
        <v>106.5</v>
      </c>
      <c r="F1033" s="12" t="n">
        <v>0</v>
      </c>
      <c r="G1033" s="4" t="n">
        <v>0</v>
      </c>
      <c r="H1033" s="4">
        <f>IF(OR(N(F1033)&gt;=0.5,G1033&gt;=4),3,IF(OR(N(F1033)&gt;=0.3,G1033=3),2,IF(OR(N(F1033)&gt;=0.1,G1033&gt;=1),1,0)))</f>
        <v/>
      </c>
      <c r="I1033" s="4">
        <f>CHOOSE(H1033+1,"Kein Risiko","Gering","Mittel","Hoch")</f>
        <v/>
      </c>
    </row>
    <row r="1034">
      <c r="A1034" s="4" t="n">
        <v>1030</v>
      </c>
      <c r="B1034" s="4" t="inlineStr">
        <is>
          <t>yes</t>
        </is>
      </c>
      <c r="C1034" s="4" t="inlineStr">
        <is>
          <t>An den Friedhöfen</t>
        </is>
      </c>
      <c r="D1034" s="4" t="inlineStr">
        <is>
          <t>27</t>
        </is>
      </c>
      <c r="E1034" s="13" t="n">
        <v>97.40000000000001</v>
      </c>
      <c r="F1034" s="12" t="n">
        <v>0</v>
      </c>
      <c r="G1034" s="4" t="n">
        <v>0</v>
      </c>
      <c r="H1034" s="4">
        <f>IF(OR(N(F1034)&gt;=0.5,G1034&gt;=4),3,IF(OR(N(F1034)&gt;=0.3,G1034=3),2,IF(OR(N(F1034)&gt;=0.1,G1034&gt;=1),1,0)))</f>
        <v/>
      </c>
      <c r="I1034" s="4">
        <f>CHOOSE(H1034+1,"Kein Risiko","Gering","Mittel","Hoch")</f>
        <v/>
      </c>
    </row>
    <row r="1035">
      <c r="A1035" s="4" t="n">
        <v>1031</v>
      </c>
      <c r="B1035" s="4" t="inlineStr">
        <is>
          <t>yes</t>
        </is>
      </c>
      <c r="C1035" s="4" t="inlineStr">
        <is>
          <t>An den Friedhöfen</t>
        </is>
      </c>
      <c r="D1035" s="4" t="inlineStr">
        <is>
          <t>33</t>
        </is>
      </c>
      <c r="E1035" s="13" t="n">
        <v>88.90000000000001</v>
      </c>
      <c r="F1035" s="12" t="n">
        <v>0</v>
      </c>
      <c r="G1035" s="4" t="n">
        <v>0</v>
      </c>
      <c r="H1035" s="4">
        <f>IF(OR(N(F1035)&gt;=0.5,G1035&gt;=4),3,IF(OR(N(F1035)&gt;=0.3,G1035=3),2,IF(OR(N(F1035)&gt;=0.1,G1035&gt;=1),1,0)))</f>
        <v/>
      </c>
      <c r="I1035" s="4">
        <f>CHOOSE(H1035+1,"Kein Risiko","Gering","Mittel","Hoch")</f>
        <v/>
      </c>
    </row>
    <row r="1036">
      <c r="A1036" s="4" t="n">
        <v>1032</v>
      </c>
      <c r="B1036" s="4" t="inlineStr">
        <is>
          <t>yes</t>
        </is>
      </c>
      <c r="C1036" s="4" t="inlineStr">
        <is>
          <t>An den Friedhöfen</t>
        </is>
      </c>
      <c r="D1036" s="4" t="inlineStr">
        <is>
          <t>19</t>
        </is>
      </c>
      <c r="E1036" s="13" t="n">
        <v>89.7</v>
      </c>
      <c r="F1036" s="12" t="n">
        <v>0</v>
      </c>
      <c r="G1036" s="4" t="n">
        <v>0</v>
      </c>
      <c r="H1036" s="4">
        <f>IF(OR(N(F1036)&gt;=0.5,G1036&gt;=4),3,IF(OR(N(F1036)&gt;=0.3,G1036=3),2,IF(OR(N(F1036)&gt;=0.1,G1036&gt;=1),1,0)))</f>
        <v/>
      </c>
      <c r="I1036" s="4">
        <f>CHOOSE(H1036+1,"Kein Risiko","Gering","Mittel","Hoch")</f>
        <v/>
      </c>
    </row>
    <row r="1037">
      <c r="A1037" s="4" t="n">
        <v>1033</v>
      </c>
      <c r="B1037" s="4" t="inlineStr">
        <is>
          <t>yes</t>
        </is>
      </c>
      <c r="C1037" s="4" t="inlineStr">
        <is>
          <t>An den Friedhöfen</t>
        </is>
      </c>
      <c r="D1037" s="4" t="inlineStr">
        <is>
          <t>29</t>
        </is>
      </c>
      <c r="E1037" s="13" t="n">
        <v>100.4</v>
      </c>
      <c r="F1037" s="12" t="n">
        <v>0</v>
      </c>
      <c r="G1037" s="4" t="n">
        <v>0</v>
      </c>
      <c r="H1037" s="4">
        <f>IF(OR(N(F1037)&gt;=0.5,G1037&gt;=4),3,IF(OR(N(F1037)&gt;=0.3,G1037=3),2,IF(OR(N(F1037)&gt;=0.1,G1037&gt;=1),1,0)))</f>
        <v/>
      </c>
      <c r="I1037" s="4">
        <f>CHOOSE(H1037+1,"Kein Risiko","Gering","Mittel","Hoch")</f>
        <v/>
      </c>
    </row>
    <row r="1038">
      <c r="A1038" s="4" t="n">
        <v>1034</v>
      </c>
      <c r="B1038" s="4" t="inlineStr">
        <is>
          <t>yes</t>
        </is>
      </c>
      <c r="C1038" s="4" t="inlineStr">
        <is>
          <t>An den Friedhöfen</t>
        </is>
      </c>
      <c r="D1038" s="4" t="inlineStr">
        <is>
          <t>28a</t>
        </is>
      </c>
      <c r="E1038" s="13" t="n">
        <v>282.6</v>
      </c>
      <c r="F1038" s="12" t="n">
        <v>0</v>
      </c>
      <c r="G1038" s="4" t="n">
        <v>0</v>
      </c>
      <c r="H1038" s="4">
        <f>IF(OR(N(F1038)&gt;=0.5,G1038&gt;=4),3,IF(OR(N(F1038)&gt;=0.3,G1038=3),2,IF(OR(N(F1038)&gt;=0.1,G1038&gt;=1),1,0)))</f>
        <v/>
      </c>
      <c r="I1038" s="4">
        <f>CHOOSE(H1038+1,"Kein Risiko","Gering","Mittel","Hoch")</f>
        <v/>
      </c>
    </row>
    <row r="1039">
      <c r="A1039" s="4" t="n">
        <v>1035</v>
      </c>
      <c r="B1039" s="4" t="inlineStr">
        <is>
          <t>yes</t>
        </is>
      </c>
      <c r="C1039" s="4" t="inlineStr">
        <is>
          <t>An den Friedhöfen</t>
        </is>
      </c>
      <c r="D1039" s="4" t="inlineStr">
        <is>
          <t>30</t>
        </is>
      </c>
      <c r="E1039" s="13" t="n">
        <v>134</v>
      </c>
      <c r="F1039" s="12" t="n">
        <v>0.1100006103515625</v>
      </c>
      <c r="G1039" s="4" t="n">
        <v>0</v>
      </c>
      <c r="H1039" s="4">
        <f>IF(OR(N(F1039)&gt;=0.5,G1039&gt;=4),3,IF(OR(N(F1039)&gt;=0.3,G1039=3),2,IF(OR(N(F1039)&gt;=0.1,G1039&gt;=1),1,0)))</f>
        <v/>
      </c>
      <c r="I1039" s="4">
        <f>CHOOSE(H1039+1,"Kein Risiko","Gering","Mittel","Hoch")</f>
        <v/>
      </c>
    </row>
    <row r="1040">
      <c r="A1040" s="4" t="n">
        <v>1036</v>
      </c>
      <c r="B1040" s="4" t="inlineStr">
        <is>
          <t>apartments</t>
        </is>
      </c>
      <c r="C1040" s="4" t="inlineStr">
        <is>
          <t>Niederweniger Straße</t>
        </is>
      </c>
      <c r="D1040" s="4" t="inlineStr">
        <is>
          <t>48</t>
        </is>
      </c>
      <c r="E1040" s="13" t="n">
        <v>180.3</v>
      </c>
      <c r="F1040" s="12" t="n">
        <v>0</v>
      </c>
      <c r="G1040" s="4" t="n">
        <v>0</v>
      </c>
      <c r="H1040" s="4">
        <f>IF(OR(N(F1040)&gt;=0.5,G1040&gt;=4),3,IF(OR(N(F1040)&gt;=0.3,G1040=3),2,IF(OR(N(F1040)&gt;=0.1,G1040&gt;=1),1,0)))</f>
        <v/>
      </c>
      <c r="I1040" s="4">
        <f>CHOOSE(H1040+1,"Kein Risiko","Gering","Mittel","Hoch")</f>
        <v/>
      </c>
    </row>
    <row r="1041">
      <c r="A1041" s="4" t="n">
        <v>1037</v>
      </c>
      <c r="B1041" s="4" t="inlineStr">
        <is>
          <t>yes</t>
        </is>
      </c>
      <c r="C1041" s="4" t="inlineStr">
        <is>
          <t>Niederweniger Straße</t>
        </is>
      </c>
      <c r="D1041" s="4" t="inlineStr">
        <is>
          <t>52</t>
        </is>
      </c>
      <c r="E1041" s="13" t="n">
        <v>77.5</v>
      </c>
      <c r="F1041" s="12" t="n">
        <v>0</v>
      </c>
      <c r="G1041" s="4" t="n">
        <v>0</v>
      </c>
      <c r="H1041" s="4">
        <f>IF(OR(N(F1041)&gt;=0.5,G1041&gt;=4),3,IF(OR(N(F1041)&gt;=0.3,G1041=3),2,IF(OR(N(F1041)&gt;=0.1,G1041&gt;=1),1,0)))</f>
        <v/>
      </c>
      <c r="I1041" s="4">
        <f>CHOOSE(H1041+1,"Kein Risiko","Gering","Mittel","Hoch")</f>
        <v/>
      </c>
    </row>
    <row r="1042">
      <c r="A1042" s="4" t="n">
        <v>1038</v>
      </c>
      <c r="B1042" s="4" t="inlineStr">
        <is>
          <t>yes</t>
        </is>
      </c>
      <c r="C1042" s="4" t="inlineStr">
        <is>
          <t>Niederweniger Straße</t>
        </is>
      </c>
      <c r="D1042" s="4" t="inlineStr">
        <is>
          <t>44</t>
        </is>
      </c>
      <c r="E1042" s="13" t="n">
        <v>94.7</v>
      </c>
      <c r="F1042" s="12" t="n">
        <v>0</v>
      </c>
      <c r="G1042" s="4" t="n">
        <v>1</v>
      </c>
      <c r="H1042" s="4">
        <f>IF(OR(N(F1042)&gt;=0.5,G1042&gt;=4),3,IF(OR(N(F1042)&gt;=0.3,G1042=3),2,IF(OR(N(F1042)&gt;=0.1,G1042&gt;=1),1,0)))</f>
        <v/>
      </c>
      <c r="I1042" s="4">
        <f>CHOOSE(H1042+1,"Kein Risiko","Gering","Mittel","Hoch")</f>
        <v/>
      </c>
    </row>
    <row r="1043">
      <c r="A1043" s="4" t="n">
        <v>1039</v>
      </c>
      <c r="B1043" s="4" t="inlineStr">
        <is>
          <t>yes</t>
        </is>
      </c>
      <c r="C1043" s="4" t="inlineStr">
        <is>
          <t>Leibergweg</t>
        </is>
      </c>
      <c r="D1043" s="4" t="inlineStr">
        <is>
          <t>9</t>
        </is>
      </c>
      <c r="E1043" s="13" t="n">
        <v>131.7</v>
      </c>
      <c r="F1043" s="12" t="n">
        <v>0</v>
      </c>
      <c r="G1043" s="4" t="n">
        <v>0</v>
      </c>
      <c r="H1043" s="4">
        <f>IF(OR(N(F1043)&gt;=0.5,G1043&gt;=4),3,IF(OR(N(F1043)&gt;=0.3,G1043=3),2,IF(OR(N(F1043)&gt;=0.1,G1043&gt;=1),1,0)))</f>
        <v/>
      </c>
      <c r="I1043" s="4">
        <f>CHOOSE(H1043+1,"Kein Risiko","Gering","Mittel","Hoch")</f>
        <v/>
      </c>
    </row>
    <row r="1044">
      <c r="A1044" s="4" t="n">
        <v>1040</v>
      </c>
      <c r="B1044" s="4" t="inlineStr">
        <is>
          <t>yes</t>
        </is>
      </c>
      <c r="C1044" s="4" t="inlineStr">
        <is>
          <t>Niederweniger Straße</t>
        </is>
      </c>
      <c r="D1044" s="4" t="inlineStr">
        <is>
          <t>40</t>
        </is>
      </c>
      <c r="E1044" s="13" t="n">
        <v>275.2</v>
      </c>
      <c r="F1044" s="12" t="n">
        <v>0.029998779296875</v>
      </c>
      <c r="G1044" s="4" t="n">
        <v>0</v>
      </c>
      <c r="H1044" s="4">
        <f>IF(OR(N(F1044)&gt;=0.5,G1044&gt;=4),3,IF(OR(N(F1044)&gt;=0.3,G1044=3),2,IF(OR(N(F1044)&gt;=0.1,G1044&gt;=1),1,0)))</f>
        <v/>
      </c>
      <c r="I1044" s="4">
        <f>CHOOSE(H1044+1,"Kein Risiko","Gering","Mittel","Hoch")</f>
        <v/>
      </c>
    </row>
    <row r="1045">
      <c r="A1045" s="4" t="n">
        <v>1041</v>
      </c>
      <c r="B1045" s="4" t="inlineStr">
        <is>
          <t>yes</t>
        </is>
      </c>
      <c r="C1045" s="4" t="inlineStr">
        <is>
          <t>Leibergweg</t>
        </is>
      </c>
      <c r="D1045" s="4" t="inlineStr">
        <is>
          <t>12</t>
        </is>
      </c>
      <c r="E1045" s="13" t="n">
        <v>134.2</v>
      </c>
      <c r="F1045" s="12" t="n">
        <v>0</v>
      </c>
      <c r="G1045" s="4" t="n">
        <v>1</v>
      </c>
      <c r="H1045" s="4">
        <f>IF(OR(N(F1045)&gt;=0.5,G1045&gt;=4),3,IF(OR(N(F1045)&gt;=0.3,G1045=3),2,IF(OR(N(F1045)&gt;=0.1,G1045&gt;=1),1,0)))</f>
        <v/>
      </c>
      <c r="I1045" s="4">
        <f>CHOOSE(H1045+1,"Kein Risiko","Gering","Mittel","Hoch")</f>
        <v/>
      </c>
    </row>
    <row r="1046">
      <c r="A1046" s="4" t="n">
        <v>1042</v>
      </c>
      <c r="B1046" s="4" t="inlineStr">
        <is>
          <t>yes</t>
        </is>
      </c>
      <c r="C1046" s="4" t="inlineStr">
        <is>
          <t>Leibergweg</t>
        </is>
      </c>
      <c r="D1046" s="4" t="inlineStr">
        <is>
          <t>6</t>
        </is>
      </c>
      <c r="E1046" s="13" t="n">
        <v>80.2</v>
      </c>
      <c r="F1046" s="12" t="n">
        <v>0</v>
      </c>
      <c r="G1046" s="4" t="n">
        <v>0</v>
      </c>
      <c r="H1046" s="4">
        <f>IF(OR(N(F1046)&gt;=0.5,G1046&gt;=4),3,IF(OR(N(F1046)&gt;=0.3,G1046=3),2,IF(OR(N(F1046)&gt;=0.1,G1046&gt;=1),1,0)))</f>
        <v/>
      </c>
      <c r="I1046" s="4">
        <f>CHOOSE(H1046+1,"Kein Risiko","Gering","Mittel","Hoch")</f>
        <v/>
      </c>
    </row>
    <row r="1047">
      <c r="A1047" s="4" t="n">
        <v>1043</v>
      </c>
      <c r="B1047" s="4" t="inlineStr">
        <is>
          <t>yes</t>
        </is>
      </c>
      <c r="C1047" s="4" t="inlineStr">
        <is>
          <t>Leibergweg</t>
        </is>
      </c>
      <c r="D1047" s="4" t="inlineStr">
        <is>
          <t>16</t>
        </is>
      </c>
      <c r="E1047" s="13" t="n">
        <v>76.90000000000001</v>
      </c>
      <c r="F1047" s="12" t="n">
        <v>0</v>
      </c>
      <c r="G1047" s="4" t="n">
        <v>1</v>
      </c>
      <c r="H1047" s="4">
        <f>IF(OR(N(F1047)&gt;=0.5,G1047&gt;=4),3,IF(OR(N(F1047)&gt;=0.3,G1047=3),2,IF(OR(N(F1047)&gt;=0.1,G1047&gt;=1),1,0)))</f>
        <v/>
      </c>
      <c r="I1047" s="4">
        <f>CHOOSE(H1047+1,"Kein Risiko","Gering","Mittel","Hoch")</f>
        <v/>
      </c>
    </row>
    <row r="1048">
      <c r="A1048" s="4" t="n">
        <v>1044</v>
      </c>
      <c r="B1048" s="4" t="inlineStr">
        <is>
          <t>yes</t>
        </is>
      </c>
      <c r="C1048" s="4" t="inlineStr">
        <is>
          <t>Schliepersberg</t>
        </is>
      </c>
      <c r="D1048" s="4" t="inlineStr">
        <is>
          <t>95b</t>
        </is>
      </c>
      <c r="E1048" s="13" t="n">
        <v>74</v>
      </c>
      <c r="F1048" s="12" t="n">
        <v>0</v>
      </c>
      <c r="G1048" s="4" t="n">
        <v>0</v>
      </c>
      <c r="H1048" s="4">
        <f>IF(OR(N(F1048)&gt;=0.5,G1048&gt;=4),3,IF(OR(N(F1048)&gt;=0.3,G1048=3),2,IF(OR(N(F1048)&gt;=0.1,G1048&gt;=1),1,0)))</f>
        <v/>
      </c>
      <c r="I1048" s="4">
        <f>CHOOSE(H1048+1,"Kein Risiko","Gering","Mittel","Hoch")</f>
        <v/>
      </c>
    </row>
    <row r="1049">
      <c r="A1049" s="4" t="n">
        <v>1045</v>
      </c>
      <c r="B1049" s="4" t="inlineStr">
        <is>
          <t>yes</t>
        </is>
      </c>
      <c r="C1049" s="4" t="inlineStr"/>
      <c r="D1049" s="4" t="inlineStr"/>
      <c r="E1049" s="13" t="n">
        <v>54.2</v>
      </c>
      <c r="F1049" s="12" t="n">
        <v>0</v>
      </c>
      <c r="G1049" s="4" t="n">
        <v>2</v>
      </c>
      <c r="H1049" s="4">
        <f>IF(OR(N(F1049)&gt;=0.5,G1049&gt;=4),3,IF(OR(N(F1049)&gt;=0.3,G1049=3),2,IF(OR(N(F1049)&gt;=0.1,G1049&gt;=1),1,0)))</f>
        <v/>
      </c>
      <c r="I1049" s="4">
        <f>CHOOSE(H1049+1,"Kein Risiko","Gering","Mittel","Hoch")</f>
        <v/>
      </c>
    </row>
    <row r="1050">
      <c r="A1050" s="4" t="n">
        <v>1046</v>
      </c>
      <c r="B1050" s="4" t="inlineStr">
        <is>
          <t>yes</t>
        </is>
      </c>
      <c r="C1050" s="4" t="inlineStr">
        <is>
          <t>Schliepersberg</t>
        </is>
      </c>
      <c r="D1050" s="4" t="inlineStr">
        <is>
          <t>95</t>
        </is>
      </c>
      <c r="E1050" s="13" t="n">
        <v>105.6</v>
      </c>
      <c r="F1050" s="12" t="n">
        <v>0.05999755859375</v>
      </c>
      <c r="G1050" s="4" t="n">
        <v>2</v>
      </c>
      <c r="H1050" s="4">
        <f>IF(OR(N(F1050)&gt;=0.5,G1050&gt;=4),3,IF(OR(N(F1050)&gt;=0.3,G1050=3),2,IF(OR(N(F1050)&gt;=0.1,G1050&gt;=1),1,0)))</f>
        <v/>
      </c>
      <c r="I1050" s="4">
        <f>CHOOSE(H1050+1,"Kein Risiko","Gering","Mittel","Hoch")</f>
        <v/>
      </c>
    </row>
    <row r="1051">
      <c r="A1051" s="4" t="n">
        <v>1047</v>
      </c>
      <c r="B1051" s="4" t="inlineStr">
        <is>
          <t>yes</t>
        </is>
      </c>
      <c r="C1051" s="4" t="inlineStr">
        <is>
          <t>Schliepersberg</t>
        </is>
      </c>
      <c r="D1051" s="4" t="inlineStr">
        <is>
          <t>64</t>
        </is>
      </c>
      <c r="E1051" s="13" t="n">
        <v>126.1</v>
      </c>
      <c r="F1051" s="12" t="n">
        <v>0.0399932861328125</v>
      </c>
      <c r="G1051" s="4" t="n">
        <v>0</v>
      </c>
      <c r="H1051" s="4">
        <f>IF(OR(N(F1051)&gt;=0.5,G1051&gt;=4),3,IF(OR(N(F1051)&gt;=0.3,G1051=3),2,IF(OR(N(F1051)&gt;=0.1,G1051&gt;=1),1,0)))</f>
        <v/>
      </c>
      <c r="I1051" s="4">
        <f>CHOOSE(H1051+1,"Kein Risiko","Gering","Mittel","Hoch")</f>
        <v/>
      </c>
    </row>
    <row r="1052">
      <c r="A1052" s="4" t="n">
        <v>1048</v>
      </c>
      <c r="B1052" s="4" t="inlineStr">
        <is>
          <t>yes</t>
        </is>
      </c>
      <c r="C1052" s="4" t="inlineStr">
        <is>
          <t>Schliepersberg</t>
        </is>
      </c>
      <c r="D1052" s="4" t="inlineStr">
        <is>
          <t>68</t>
        </is>
      </c>
      <c r="E1052" s="13" t="n">
        <v>136.9</v>
      </c>
      <c r="F1052" s="12" t="n">
        <v>0</v>
      </c>
      <c r="G1052" s="4" t="n">
        <v>0</v>
      </c>
      <c r="H1052" s="4">
        <f>IF(OR(N(F1052)&gt;=0.5,G1052&gt;=4),3,IF(OR(N(F1052)&gt;=0.3,G1052=3),2,IF(OR(N(F1052)&gt;=0.1,G1052&gt;=1),1,0)))</f>
        <v/>
      </c>
      <c r="I1052" s="4">
        <f>CHOOSE(H1052+1,"Kein Risiko","Gering","Mittel","Hoch")</f>
        <v/>
      </c>
    </row>
    <row r="1053">
      <c r="A1053" s="4" t="n">
        <v>1049</v>
      </c>
      <c r="B1053" s="4" t="inlineStr">
        <is>
          <t>yes</t>
        </is>
      </c>
      <c r="C1053" s="4" t="inlineStr">
        <is>
          <t>Schliepersberg</t>
        </is>
      </c>
      <c r="D1053" s="4" t="inlineStr">
        <is>
          <t>66</t>
        </is>
      </c>
      <c r="E1053" s="13" t="n">
        <v>104.8</v>
      </c>
      <c r="F1053" s="12" t="n">
        <v>0</v>
      </c>
      <c r="G1053" s="4" t="n">
        <v>0</v>
      </c>
      <c r="H1053" s="4">
        <f>IF(OR(N(F1053)&gt;=0.5,G1053&gt;=4),3,IF(OR(N(F1053)&gt;=0.3,G1053=3),2,IF(OR(N(F1053)&gt;=0.1,G1053&gt;=1),1,0)))</f>
        <v/>
      </c>
      <c r="I1053" s="4">
        <f>CHOOSE(H1053+1,"Kein Risiko","Gering","Mittel","Hoch")</f>
        <v/>
      </c>
    </row>
    <row r="1054">
      <c r="A1054" s="4" t="n">
        <v>1050</v>
      </c>
      <c r="B1054" s="4" t="inlineStr">
        <is>
          <t>yes</t>
        </is>
      </c>
      <c r="C1054" s="4" t="inlineStr">
        <is>
          <t>Schliepersberg</t>
        </is>
      </c>
      <c r="D1054" s="4" t="inlineStr">
        <is>
          <t>99</t>
        </is>
      </c>
      <c r="E1054" s="13" t="n">
        <v>166.8</v>
      </c>
      <c r="F1054" s="12" t="n">
        <v>0.1500091552734375</v>
      </c>
      <c r="G1054" s="4" t="n">
        <v>0</v>
      </c>
      <c r="H1054" s="4">
        <f>IF(OR(N(F1054)&gt;=0.5,G1054&gt;=4),3,IF(OR(N(F1054)&gt;=0.3,G1054=3),2,IF(OR(N(F1054)&gt;=0.1,G1054&gt;=1),1,0)))</f>
        <v/>
      </c>
      <c r="I1054" s="4">
        <f>CHOOSE(H1054+1,"Kein Risiko","Gering","Mittel","Hoch")</f>
        <v/>
      </c>
    </row>
    <row r="1055">
      <c r="A1055" s="4" t="n">
        <v>1051</v>
      </c>
      <c r="B1055" s="4" t="inlineStr">
        <is>
          <t>yes</t>
        </is>
      </c>
      <c r="C1055" s="4" t="inlineStr">
        <is>
          <t>Schliepersberg</t>
        </is>
      </c>
      <c r="D1055" s="4" t="inlineStr">
        <is>
          <t>97</t>
        </is>
      </c>
      <c r="E1055" s="13" t="n">
        <v>138.4</v>
      </c>
      <c r="F1055" s="12" t="n">
        <v>0</v>
      </c>
      <c r="G1055" s="4" t="n">
        <v>0</v>
      </c>
      <c r="H1055" s="4">
        <f>IF(OR(N(F1055)&gt;=0.5,G1055&gt;=4),3,IF(OR(N(F1055)&gt;=0.3,G1055=3),2,IF(OR(N(F1055)&gt;=0.1,G1055&gt;=1),1,0)))</f>
        <v/>
      </c>
      <c r="I1055" s="4">
        <f>CHOOSE(H1055+1,"Kein Risiko","Gering","Mittel","Hoch")</f>
        <v/>
      </c>
    </row>
    <row r="1056">
      <c r="A1056" s="4" t="n">
        <v>1052</v>
      </c>
      <c r="B1056" s="4" t="inlineStr">
        <is>
          <t>yes</t>
        </is>
      </c>
      <c r="C1056" s="4" t="inlineStr">
        <is>
          <t>Schliepersberg</t>
        </is>
      </c>
      <c r="D1056" s="4" t="inlineStr">
        <is>
          <t>62</t>
        </is>
      </c>
      <c r="E1056" s="13" t="n">
        <v>172.8</v>
      </c>
      <c r="F1056" s="12" t="n">
        <v>0</v>
      </c>
      <c r="G1056" s="4" t="n">
        <v>0</v>
      </c>
      <c r="H1056" s="4">
        <f>IF(OR(N(F1056)&gt;=0.5,G1056&gt;=4),3,IF(OR(N(F1056)&gt;=0.3,G1056=3),2,IF(OR(N(F1056)&gt;=0.1,G1056&gt;=1),1,0)))</f>
        <v/>
      </c>
      <c r="I1056" s="4">
        <f>CHOOSE(H1056+1,"Kein Risiko","Gering","Mittel","Hoch")</f>
        <v/>
      </c>
    </row>
    <row r="1057">
      <c r="A1057" s="4" t="n">
        <v>1053</v>
      </c>
      <c r="B1057" s="4" t="inlineStr">
        <is>
          <t>residential</t>
        </is>
      </c>
      <c r="C1057" s="4" t="inlineStr">
        <is>
          <t>Schliepersberg</t>
        </is>
      </c>
      <c r="D1057" s="4" t="inlineStr">
        <is>
          <t>89-91</t>
        </is>
      </c>
      <c r="E1057" s="13" t="n">
        <v>207.1</v>
      </c>
      <c r="F1057" s="12" t="n">
        <v>0</v>
      </c>
      <c r="G1057" s="4" t="n">
        <v>3</v>
      </c>
      <c r="H1057" s="4">
        <f>IF(OR(N(F1057)&gt;=0.5,G1057&gt;=4),3,IF(OR(N(F1057)&gt;=0.3,G1057=3),2,IF(OR(N(F1057)&gt;=0.1,G1057&gt;=1),1,0)))</f>
        <v/>
      </c>
      <c r="I1057" s="4">
        <f>CHOOSE(H1057+1,"Kein Risiko","Gering","Mittel","Hoch")</f>
        <v/>
      </c>
    </row>
    <row r="1058">
      <c r="A1058" s="4" t="n">
        <v>1054</v>
      </c>
      <c r="B1058" s="4" t="inlineStr">
        <is>
          <t>residential</t>
        </is>
      </c>
      <c r="C1058" s="4" t="inlineStr">
        <is>
          <t>Schliepersberg</t>
        </is>
      </c>
      <c r="D1058" s="4" t="inlineStr">
        <is>
          <t>87</t>
        </is>
      </c>
      <c r="E1058" s="13" t="n">
        <v>83.7</v>
      </c>
      <c r="F1058" s="12" t="n">
        <v>0</v>
      </c>
      <c r="G1058" s="4" t="n">
        <v>0</v>
      </c>
      <c r="H1058" s="4">
        <f>IF(OR(N(F1058)&gt;=0.5,G1058&gt;=4),3,IF(OR(N(F1058)&gt;=0.3,G1058=3),2,IF(OR(N(F1058)&gt;=0.1,G1058&gt;=1),1,0)))</f>
        <v/>
      </c>
      <c r="I1058" s="4">
        <f>CHOOSE(H1058+1,"Kein Risiko","Gering","Mittel","Hoch")</f>
        <v/>
      </c>
    </row>
    <row r="1059">
      <c r="A1059" s="4" t="n">
        <v>1055</v>
      </c>
      <c r="B1059" s="4" t="inlineStr">
        <is>
          <t>yes</t>
        </is>
      </c>
      <c r="C1059" s="4" t="inlineStr">
        <is>
          <t>Schliepersberg</t>
        </is>
      </c>
      <c r="D1059" s="4" t="inlineStr">
        <is>
          <t>73</t>
        </is>
      </c>
      <c r="E1059" s="13" t="n">
        <v>86.3</v>
      </c>
      <c r="F1059" s="12" t="n">
        <v>0</v>
      </c>
      <c r="G1059" s="4" t="n">
        <v>0</v>
      </c>
      <c r="H1059" s="4">
        <f>IF(OR(N(F1059)&gt;=0.5,G1059&gt;=4),3,IF(OR(N(F1059)&gt;=0.3,G1059=3),2,IF(OR(N(F1059)&gt;=0.1,G1059&gt;=1),1,0)))</f>
        <v/>
      </c>
      <c r="I1059" s="4">
        <f>CHOOSE(H1059+1,"Kein Risiko","Gering","Mittel","Hoch")</f>
        <v/>
      </c>
    </row>
    <row r="1060">
      <c r="A1060" s="4" t="n">
        <v>1056</v>
      </c>
      <c r="B1060" s="4" t="inlineStr">
        <is>
          <t>residential</t>
        </is>
      </c>
      <c r="C1060" s="4" t="inlineStr">
        <is>
          <t>Schliepersberg</t>
        </is>
      </c>
      <c r="D1060" s="4" t="inlineStr">
        <is>
          <t>85</t>
        </is>
      </c>
      <c r="E1060" s="13" t="n">
        <v>118.9</v>
      </c>
      <c r="F1060" s="12" t="n">
        <v>0</v>
      </c>
      <c r="G1060" s="4" t="n">
        <v>0</v>
      </c>
      <c r="H1060" s="4">
        <f>IF(OR(N(F1060)&gt;=0.5,G1060&gt;=4),3,IF(OR(N(F1060)&gt;=0.3,G1060=3),2,IF(OR(N(F1060)&gt;=0.1,G1060&gt;=1),1,0)))</f>
        <v/>
      </c>
      <c r="I1060" s="4">
        <f>CHOOSE(H1060+1,"Kein Risiko","Gering","Mittel","Hoch")</f>
        <v/>
      </c>
    </row>
    <row r="1061">
      <c r="A1061" s="4" t="n">
        <v>1057</v>
      </c>
      <c r="B1061" s="4" t="inlineStr">
        <is>
          <t>yes</t>
        </is>
      </c>
      <c r="C1061" s="4" t="inlineStr">
        <is>
          <t>Schliepersberg</t>
        </is>
      </c>
      <c r="D1061" s="4" t="inlineStr">
        <is>
          <t>81</t>
        </is>
      </c>
      <c r="E1061" s="13" t="n">
        <v>112.1</v>
      </c>
      <c r="F1061" s="12" t="n">
        <v>0</v>
      </c>
      <c r="G1061" s="4" t="n">
        <v>0</v>
      </c>
      <c r="H1061" s="4">
        <f>IF(OR(N(F1061)&gt;=0.5,G1061&gt;=4),3,IF(OR(N(F1061)&gt;=0.3,G1061=3),2,IF(OR(N(F1061)&gt;=0.1,G1061&gt;=1),1,0)))</f>
        <v/>
      </c>
      <c r="I1061" s="4">
        <f>CHOOSE(H1061+1,"Kein Risiko","Gering","Mittel","Hoch")</f>
        <v/>
      </c>
    </row>
    <row r="1062">
      <c r="A1062" s="4" t="n">
        <v>1058</v>
      </c>
      <c r="B1062" s="4" t="inlineStr">
        <is>
          <t>yes</t>
        </is>
      </c>
      <c r="C1062" s="4" t="inlineStr">
        <is>
          <t>Schliepersberg</t>
        </is>
      </c>
      <c r="D1062" s="4" t="inlineStr">
        <is>
          <t>52</t>
        </is>
      </c>
      <c r="E1062" s="13" t="n">
        <v>221.3</v>
      </c>
      <c r="F1062" s="12" t="n">
        <v>0</v>
      </c>
      <c r="G1062" s="4" t="n">
        <v>0</v>
      </c>
      <c r="H1062" s="4">
        <f>IF(OR(N(F1062)&gt;=0.5,G1062&gt;=4),3,IF(OR(N(F1062)&gt;=0.3,G1062=3),2,IF(OR(N(F1062)&gt;=0.1,G1062&gt;=1),1,0)))</f>
        <v/>
      </c>
      <c r="I1062" s="4">
        <f>CHOOSE(H1062+1,"Kein Risiko","Gering","Mittel","Hoch")</f>
        <v/>
      </c>
    </row>
    <row r="1063">
      <c r="A1063" s="4" t="n">
        <v>1059</v>
      </c>
      <c r="B1063" s="4" t="inlineStr">
        <is>
          <t>yes</t>
        </is>
      </c>
      <c r="C1063" s="4" t="inlineStr">
        <is>
          <t>Schliepersberg</t>
        </is>
      </c>
      <c r="D1063" s="4" t="inlineStr">
        <is>
          <t>50b</t>
        </is>
      </c>
      <c r="E1063" s="13" t="n">
        <v>82.8</v>
      </c>
      <c r="F1063" s="12" t="n">
        <v>0</v>
      </c>
      <c r="G1063" s="4" t="n">
        <v>0</v>
      </c>
      <c r="H1063" s="4">
        <f>IF(OR(N(F1063)&gt;=0.5,G1063&gt;=4),3,IF(OR(N(F1063)&gt;=0.3,G1063=3),2,IF(OR(N(F1063)&gt;=0.1,G1063&gt;=1),1,0)))</f>
        <v/>
      </c>
      <c r="I1063" s="4">
        <f>CHOOSE(H1063+1,"Kein Risiko","Gering","Mittel","Hoch")</f>
        <v/>
      </c>
    </row>
    <row r="1064">
      <c r="A1064" s="4" t="n">
        <v>1060</v>
      </c>
      <c r="B1064" s="4" t="inlineStr">
        <is>
          <t>yes</t>
        </is>
      </c>
      <c r="C1064" s="4" t="inlineStr">
        <is>
          <t>Schliepersberg</t>
        </is>
      </c>
      <c r="D1064" s="4" t="inlineStr">
        <is>
          <t>54</t>
        </is>
      </c>
      <c r="E1064" s="13" t="n">
        <v>203.6</v>
      </c>
      <c r="F1064" s="12" t="n">
        <v>0</v>
      </c>
      <c r="G1064" s="4" t="n">
        <v>0</v>
      </c>
      <c r="H1064" s="4">
        <f>IF(OR(N(F1064)&gt;=0.5,G1064&gt;=4),3,IF(OR(N(F1064)&gt;=0.3,G1064=3),2,IF(OR(N(F1064)&gt;=0.1,G1064&gt;=1),1,0)))</f>
        <v/>
      </c>
      <c r="I1064" s="4">
        <f>CHOOSE(H1064+1,"Kein Risiko","Gering","Mittel","Hoch")</f>
        <v/>
      </c>
    </row>
    <row r="1065">
      <c r="A1065" s="4" t="n">
        <v>1061</v>
      </c>
      <c r="B1065" s="4" t="inlineStr">
        <is>
          <t>yes</t>
        </is>
      </c>
      <c r="C1065" s="4" t="inlineStr">
        <is>
          <t>Schliepersberg</t>
        </is>
      </c>
      <c r="D1065" s="4" t="inlineStr">
        <is>
          <t>48</t>
        </is>
      </c>
      <c r="E1065" s="13" t="n">
        <v>147.4</v>
      </c>
      <c r="F1065" s="12" t="n">
        <v>0.029998779296875</v>
      </c>
      <c r="G1065" s="4" t="n">
        <v>0</v>
      </c>
      <c r="H1065" s="4">
        <f>IF(OR(N(F1065)&gt;=0.5,G1065&gt;=4),3,IF(OR(N(F1065)&gt;=0.3,G1065=3),2,IF(OR(N(F1065)&gt;=0.1,G1065&gt;=1),1,0)))</f>
        <v/>
      </c>
      <c r="I1065" s="4">
        <f>CHOOSE(H1065+1,"Kein Risiko","Gering","Mittel","Hoch")</f>
        <v/>
      </c>
    </row>
    <row r="1066">
      <c r="A1066" s="4" t="n">
        <v>1062</v>
      </c>
      <c r="B1066" s="4" t="inlineStr">
        <is>
          <t>yes</t>
        </is>
      </c>
      <c r="C1066" s="4" t="inlineStr">
        <is>
          <t>Schliepersberg</t>
        </is>
      </c>
      <c r="D1066" s="4" t="inlineStr">
        <is>
          <t>44</t>
        </is>
      </c>
      <c r="E1066" s="13" t="n">
        <v>167.5</v>
      </c>
      <c r="F1066" s="12" t="n">
        <v>0.010009765625</v>
      </c>
      <c r="G1066" s="4" t="n">
        <v>0</v>
      </c>
      <c r="H1066" s="4">
        <f>IF(OR(N(F1066)&gt;=0.5,G1066&gt;=4),3,IF(OR(N(F1066)&gt;=0.3,G1066=3),2,IF(OR(N(F1066)&gt;=0.1,G1066&gt;=1),1,0)))</f>
        <v/>
      </c>
      <c r="I1066" s="4">
        <f>CHOOSE(H1066+1,"Kein Risiko","Gering","Mittel","Hoch")</f>
        <v/>
      </c>
    </row>
    <row r="1067">
      <c r="A1067" s="4" t="n">
        <v>1063</v>
      </c>
      <c r="B1067" s="4" t="inlineStr">
        <is>
          <t>yes</t>
        </is>
      </c>
      <c r="C1067" s="4" t="inlineStr">
        <is>
          <t>Schliepersberg</t>
        </is>
      </c>
      <c r="D1067" s="4" t="inlineStr">
        <is>
          <t>69</t>
        </is>
      </c>
      <c r="E1067" s="13" t="n">
        <v>319</v>
      </c>
      <c r="F1067" s="12" t="n">
        <v>0</v>
      </c>
      <c r="G1067" s="4" t="n">
        <v>0</v>
      </c>
      <c r="H1067" s="4">
        <f>IF(OR(N(F1067)&gt;=0.5,G1067&gt;=4),3,IF(OR(N(F1067)&gt;=0.3,G1067=3),2,IF(OR(N(F1067)&gt;=0.1,G1067&gt;=1),1,0)))</f>
        <v/>
      </c>
      <c r="I1067" s="4">
        <f>CHOOSE(H1067+1,"Kein Risiko","Gering","Mittel","Hoch")</f>
        <v/>
      </c>
    </row>
    <row r="1068">
      <c r="A1068" s="4" t="n">
        <v>1064</v>
      </c>
      <c r="B1068" s="4" t="inlineStr">
        <is>
          <t>yes</t>
        </is>
      </c>
      <c r="C1068" s="4" t="inlineStr">
        <is>
          <t>Schliepersberg</t>
        </is>
      </c>
      <c r="D1068" s="4" t="inlineStr">
        <is>
          <t>42</t>
        </is>
      </c>
      <c r="E1068" s="13" t="n">
        <v>213.4</v>
      </c>
      <c r="F1068" s="12" t="n">
        <v>0</v>
      </c>
      <c r="G1068" s="4" t="n">
        <v>0</v>
      </c>
      <c r="H1068" s="4">
        <f>IF(OR(N(F1068)&gt;=0.5,G1068&gt;=4),3,IF(OR(N(F1068)&gt;=0.3,G1068=3),2,IF(OR(N(F1068)&gt;=0.1,G1068&gt;=1),1,0)))</f>
        <v/>
      </c>
      <c r="I1068" s="4">
        <f>CHOOSE(H1068+1,"Kein Risiko","Gering","Mittel","Hoch")</f>
        <v/>
      </c>
    </row>
    <row r="1069">
      <c r="A1069" s="4" t="n">
        <v>1065</v>
      </c>
      <c r="B1069" s="4" t="inlineStr">
        <is>
          <t>yes</t>
        </is>
      </c>
      <c r="C1069" s="4" t="inlineStr">
        <is>
          <t>Schliepersberg</t>
        </is>
      </c>
      <c r="D1069" s="4" t="inlineStr">
        <is>
          <t>46</t>
        </is>
      </c>
      <c r="E1069" s="13" t="n">
        <v>220.5</v>
      </c>
      <c r="F1069" s="12" t="n">
        <v>0</v>
      </c>
      <c r="G1069" s="4" t="n">
        <v>0</v>
      </c>
      <c r="H1069" s="4">
        <f>IF(OR(N(F1069)&gt;=0.5,G1069&gt;=4),3,IF(OR(N(F1069)&gt;=0.3,G1069=3),2,IF(OR(N(F1069)&gt;=0.1,G1069&gt;=1),1,0)))</f>
        <v/>
      </c>
      <c r="I1069" s="4">
        <f>CHOOSE(H1069+1,"Kein Risiko","Gering","Mittel","Hoch")</f>
        <v/>
      </c>
    </row>
    <row r="1070">
      <c r="A1070" s="4" t="n">
        <v>1066</v>
      </c>
      <c r="B1070" s="4" t="inlineStr">
        <is>
          <t>yes</t>
        </is>
      </c>
      <c r="C1070" s="4" t="inlineStr"/>
      <c r="D1070" s="4" t="inlineStr"/>
      <c r="E1070" s="13" t="n">
        <v>54.2</v>
      </c>
      <c r="F1070" s="12" t="n">
        <v>0.0099945068359375</v>
      </c>
      <c r="G1070" s="4" t="n">
        <v>3</v>
      </c>
      <c r="H1070" s="4">
        <f>IF(OR(N(F1070)&gt;=0.5,G1070&gt;=4),3,IF(OR(N(F1070)&gt;=0.3,G1070=3),2,IF(OR(N(F1070)&gt;=0.1,G1070&gt;=1),1,0)))</f>
        <v/>
      </c>
      <c r="I1070" s="4">
        <f>CHOOSE(H1070+1,"Kein Risiko","Gering","Mittel","Hoch")</f>
        <v/>
      </c>
    </row>
    <row r="1071">
      <c r="A1071" s="4" t="n">
        <v>1067</v>
      </c>
      <c r="B1071" s="4" t="inlineStr">
        <is>
          <t>yes</t>
        </is>
      </c>
      <c r="C1071" s="4" t="inlineStr">
        <is>
          <t>Schliepershang</t>
        </is>
      </c>
      <c r="D1071" s="4" t="inlineStr">
        <is>
          <t>3</t>
        </is>
      </c>
      <c r="E1071" s="13" t="n">
        <v>92.3</v>
      </c>
      <c r="F1071" s="12" t="n">
        <v>0</v>
      </c>
      <c r="G1071" s="4" t="n">
        <v>1</v>
      </c>
      <c r="H1071" s="4">
        <f>IF(OR(N(F1071)&gt;=0.5,G1071&gt;=4),3,IF(OR(N(F1071)&gt;=0.3,G1071=3),2,IF(OR(N(F1071)&gt;=0.1,G1071&gt;=1),1,0)))</f>
        <v/>
      </c>
      <c r="I1071" s="4">
        <f>CHOOSE(H1071+1,"Kein Risiko","Gering","Mittel","Hoch")</f>
        <v/>
      </c>
    </row>
    <row r="1072">
      <c r="A1072" s="4" t="n">
        <v>1068</v>
      </c>
      <c r="B1072" s="4" t="inlineStr">
        <is>
          <t>yes</t>
        </is>
      </c>
      <c r="C1072" s="4" t="inlineStr">
        <is>
          <t>Schliepershang</t>
        </is>
      </c>
      <c r="D1072" s="4" t="inlineStr">
        <is>
          <t>19</t>
        </is>
      </c>
      <c r="E1072" s="13" t="n">
        <v>134.9</v>
      </c>
      <c r="F1072" s="12" t="n">
        <v>0</v>
      </c>
      <c r="G1072" s="4" t="n">
        <v>0</v>
      </c>
      <c r="H1072" s="4">
        <f>IF(OR(N(F1072)&gt;=0.5,G1072&gt;=4),3,IF(OR(N(F1072)&gt;=0.3,G1072=3),2,IF(OR(N(F1072)&gt;=0.1,G1072&gt;=1),1,0)))</f>
        <v/>
      </c>
      <c r="I1072" s="4">
        <f>CHOOSE(H1072+1,"Kein Risiko","Gering","Mittel","Hoch")</f>
        <v/>
      </c>
    </row>
    <row r="1073">
      <c r="A1073" s="4" t="n">
        <v>1069</v>
      </c>
      <c r="B1073" s="4" t="inlineStr">
        <is>
          <t>yes</t>
        </is>
      </c>
      <c r="C1073" s="4" t="inlineStr">
        <is>
          <t>Schliepershang</t>
        </is>
      </c>
      <c r="D1073" s="4" t="inlineStr">
        <is>
          <t>7</t>
        </is>
      </c>
      <c r="E1073" s="13" t="n">
        <v>133.7</v>
      </c>
      <c r="F1073" s="12" t="n">
        <v>0</v>
      </c>
      <c r="G1073" s="4" t="n">
        <v>0</v>
      </c>
      <c r="H1073" s="4">
        <f>IF(OR(N(F1073)&gt;=0.5,G1073&gt;=4),3,IF(OR(N(F1073)&gt;=0.3,G1073=3),2,IF(OR(N(F1073)&gt;=0.1,G1073&gt;=1),1,0)))</f>
        <v/>
      </c>
      <c r="I1073" s="4">
        <f>CHOOSE(H1073+1,"Kein Risiko","Gering","Mittel","Hoch")</f>
        <v/>
      </c>
    </row>
    <row r="1074">
      <c r="A1074" s="4" t="n">
        <v>1070</v>
      </c>
      <c r="B1074" s="4" t="inlineStr">
        <is>
          <t>yes</t>
        </is>
      </c>
      <c r="C1074" s="4" t="inlineStr">
        <is>
          <t>Schliepershang</t>
        </is>
      </c>
      <c r="D1074" s="4" t="inlineStr">
        <is>
          <t>23</t>
        </is>
      </c>
      <c r="E1074" s="13" t="n">
        <v>101</v>
      </c>
      <c r="F1074" s="12" t="n">
        <v>0</v>
      </c>
      <c r="G1074" s="4" t="n">
        <v>0</v>
      </c>
      <c r="H1074" s="4">
        <f>IF(OR(N(F1074)&gt;=0.5,G1074&gt;=4),3,IF(OR(N(F1074)&gt;=0.3,G1074=3),2,IF(OR(N(F1074)&gt;=0.1,G1074&gt;=1),1,0)))</f>
        <v/>
      </c>
      <c r="I1074" s="4">
        <f>CHOOSE(H1074+1,"Kein Risiko","Gering","Mittel","Hoch")</f>
        <v/>
      </c>
    </row>
    <row r="1075">
      <c r="A1075" s="4" t="n">
        <v>1071</v>
      </c>
      <c r="B1075" s="4" t="inlineStr">
        <is>
          <t>yes</t>
        </is>
      </c>
      <c r="C1075" s="4" t="inlineStr">
        <is>
          <t>Schliepershang</t>
        </is>
      </c>
      <c r="D1075" s="4" t="inlineStr">
        <is>
          <t>15</t>
        </is>
      </c>
      <c r="E1075" s="13" t="n">
        <v>142</v>
      </c>
      <c r="F1075" s="12" t="n">
        <v>0</v>
      </c>
      <c r="G1075" s="4" t="n">
        <v>1</v>
      </c>
      <c r="H1075" s="4">
        <f>IF(OR(N(F1075)&gt;=0.5,G1075&gt;=4),3,IF(OR(N(F1075)&gt;=0.3,G1075=3),2,IF(OR(N(F1075)&gt;=0.1,G1075&gt;=1),1,0)))</f>
        <v/>
      </c>
      <c r="I1075" s="4">
        <f>CHOOSE(H1075+1,"Kein Risiko","Gering","Mittel","Hoch")</f>
        <v/>
      </c>
    </row>
    <row r="1076">
      <c r="A1076" s="4" t="n">
        <v>1072</v>
      </c>
      <c r="B1076" s="4" t="inlineStr">
        <is>
          <t>yes</t>
        </is>
      </c>
      <c r="C1076" s="4" t="inlineStr">
        <is>
          <t>Schliepersberg</t>
        </is>
      </c>
      <c r="D1076" s="4" t="inlineStr">
        <is>
          <t>53</t>
        </is>
      </c>
      <c r="E1076" s="13" t="n">
        <v>142.8</v>
      </c>
      <c r="F1076" s="12" t="n">
        <v>0</v>
      </c>
      <c r="G1076" s="4" t="n">
        <v>1</v>
      </c>
      <c r="H1076" s="4">
        <f>IF(OR(N(F1076)&gt;=0.5,G1076&gt;=4),3,IF(OR(N(F1076)&gt;=0.3,G1076=3),2,IF(OR(N(F1076)&gt;=0.1,G1076&gt;=1),1,0)))</f>
        <v/>
      </c>
      <c r="I1076" s="4">
        <f>CHOOSE(H1076+1,"Kein Risiko","Gering","Mittel","Hoch")</f>
        <v/>
      </c>
    </row>
    <row r="1077">
      <c r="A1077" s="4" t="n">
        <v>1073</v>
      </c>
      <c r="B1077" s="4" t="inlineStr">
        <is>
          <t>yes</t>
        </is>
      </c>
      <c r="C1077" s="4" t="inlineStr">
        <is>
          <t>Schliepersberg</t>
        </is>
      </c>
      <c r="D1077" s="4" t="inlineStr">
        <is>
          <t>55</t>
        </is>
      </c>
      <c r="E1077" s="13" t="n">
        <v>127.9</v>
      </c>
      <c r="F1077" s="12" t="n">
        <v>0.6399993896484375</v>
      </c>
      <c r="G1077" s="4" t="n">
        <v>0</v>
      </c>
      <c r="H1077" s="4">
        <f>IF(OR(N(F1077)&gt;=0.5,G1077&gt;=4),3,IF(OR(N(F1077)&gt;=0.3,G1077=3),2,IF(OR(N(F1077)&gt;=0.1,G1077&gt;=1),1,0)))</f>
        <v/>
      </c>
      <c r="I1077" s="4">
        <f>CHOOSE(H1077+1,"Kein Risiko","Gering","Mittel","Hoch")</f>
        <v/>
      </c>
    </row>
    <row r="1078">
      <c r="A1078" s="4" t="n">
        <v>1074</v>
      </c>
      <c r="B1078" s="4" t="inlineStr">
        <is>
          <t>yes</t>
        </is>
      </c>
      <c r="C1078" s="4" t="inlineStr">
        <is>
          <t>Schliepersberg</t>
        </is>
      </c>
      <c r="D1078" s="4" t="inlineStr">
        <is>
          <t>49</t>
        </is>
      </c>
      <c r="E1078" s="13" t="n">
        <v>136</v>
      </c>
      <c r="F1078" s="12" t="n">
        <v>0</v>
      </c>
      <c r="G1078" s="4" t="n">
        <v>0</v>
      </c>
      <c r="H1078" s="4">
        <f>IF(OR(N(F1078)&gt;=0.5,G1078&gt;=4),3,IF(OR(N(F1078)&gt;=0.3,G1078=3),2,IF(OR(N(F1078)&gt;=0.1,G1078&gt;=1),1,0)))</f>
        <v/>
      </c>
      <c r="I1078" s="4">
        <f>CHOOSE(H1078+1,"Kein Risiko","Gering","Mittel","Hoch")</f>
        <v/>
      </c>
    </row>
    <row r="1079">
      <c r="A1079" s="4" t="n">
        <v>1075</v>
      </c>
      <c r="B1079" s="4" t="inlineStr">
        <is>
          <t>house</t>
        </is>
      </c>
      <c r="C1079" s="4" t="inlineStr">
        <is>
          <t>Schliepersberg</t>
        </is>
      </c>
      <c r="D1079" s="4" t="inlineStr">
        <is>
          <t>61</t>
        </is>
      </c>
      <c r="E1079" s="13" t="n">
        <v>98.3</v>
      </c>
      <c r="F1079" s="12" t="n">
        <v>0</v>
      </c>
      <c r="G1079" s="4" t="n">
        <v>0</v>
      </c>
      <c r="H1079" s="4">
        <f>IF(OR(N(F1079)&gt;=0.5,G1079&gt;=4),3,IF(OR(N(F1079)&gt;=0.3,G1079=3),2,IF(OR(N(F1079)&gt;=0.1,G1079&gt;=1),1,0)))</f>
        <v/>
      </c>
      <c r="I1079" s="4">
        <f>CHOOSE(H1079+1,"Kein Risiko","Gering","Mittel","Hoch")</f>
        <v/>
      </c>
    </row>
    <row r="1080">
      <c r="A1080" s="4" t="n">
        <v>1076</v>
      </c>
      <c r="B1080" s="4" t="inlineStr">
        <is>
          <t>house</t>
        </is>
      </c>
      <c r="C1080" s="4" t="inlineStr">
        <is>
          <t>Auf'm Stöcken</t>
        </is>
      </c>
      <c r="D1080" s="4" t="inlineStr">
        <is>
          <t>32</t>
        </is>
      </c>
      <c r="E1080" s="13" t="n">
        <v>75.5</v>
      </c>
      <c r="F1080" s="12" t="n">
        <v>0</v>
      </c>
      <c r="G1080" s="4" t="n">
        <v>0</v>
      </c>
      <c r="H1080" s="4">
        <f>IF(OR(N(F1080)&gt;=0.5,G1080&gt;=4),3,IF(OR(N(F1080)&gt;=0.3,G1080=3),2,IF(OR(N(F1080)&gt;=0.1,G1080&gt;=1),1,0)))</f>
        <v/>
      </c>
      <c r="I1080" s="4">
        <f>CHOOSE(H1080+1,"Kein Risiko","Gering","Mittel","Hoch")</f>
        <v/>
      </c>
    </row>
    <row r="1081">
      <c r="A1081" s="4" t="n">
        <v>1077</v>
      </c>
      <c r="B1081" s="4" t="inlineStr">
        <is>
          <t>yes</t>
        </is>
      </c>
      <c r="C1081" s="4" t="inlineStr">
        <is>
          <t>Schliepersberg</t>
        </is>
      </c>
      <c r="D1081" s="4" t="inlineStr">
        <is>
          <t>57</t>
        </is>
      </c>
      <c r="E1081" s="13" t="n">
        <v>155.9</v>
      </c>
      <c r="F1081" s="12" t="n">
        <v>0.0099945068359375</v>
      </c>
      <c r="G1081" s="4" t="n">
        <v>0</v>
      </c>
      <c r="H1081" s="4">
        <f>IF(OR(N(F1081)&gt;=0.5,G1081&gt;=4),3,IF(OR(N(F1081)&gt;=0.3,G1081=3),2,IF(OR(N(F1081)&gt;=0.1,G1081&gt;=1),1,0)))</f>
        <v/>
      </c>
      <c r="I1081" s="4">
        <f>CHOOSE(H1081+1,"Kein Risiko","Gering","Mittel","Hoch")</f>
        <v/>
      </c>
    </row>
    <row r="1082">
      <c r="A1082" s="4" t="n">
        <v>1078</v>
      </c>
      <c r="B1082" s="4" t="inlineStr">
        <is>
          <t>house</t>
        </is>
      </c>
      <c r="C1082" s="4" t="inlineStr">
        <is>
          <t>Auf'm Stöcken</t>
        </is>
      </c>
      <c r="D1082" s="4" t="inlineStr">
        <is>
          <t>20</t>
        </is>
      </c>
      <c r="E1082" s="13" t="n">
        <v>83.8</v>
      </c>
      <c r="F1082" s="12" t="n">
        <v>0.1300048828125</v>
      </c>
      <c r="G1082" s="4" t="n">
        <v>0</v>
      </c>
      <c r="H1082" s="4">
        <f>IF(OR(N(F1082)&gt;=0.5,G1082&gt;=4),3,IF(OR(N(F1082)&gt;=0.3,G1082=3),2,IF(OR(N(F1082)&gt;=0.1,G1082&gt;=1),1,0)))</f>
        <v/>
      </c>
      <c r="I1082" s="4">
        <f>CHOOSE(H1082+1,"Kein Risiko","Gering","Mittel","Hoch")</f>
        <v/>
      </c>
    </row>
    <row r="1083">
      <c r="A1083" s="4" t="n">
        <v>1079</v>
      </c>
      <c r="B1083" s="4" t="inlineStr">
        <is>
          <t>semidetached_house</t>
        </is>
      </c>
      <c r="C1083" s="4" t="inlineStr">
        <is>
          <t>Auf'm Stöcken</t>
        </is>
      </c>
      <c r="D1083" s="4" t="inlineStr">
        <is>
          <t>26</t>
        </is>
      </c>
      <c r="E1083" s="13" t="n">
        <v>103.8</v>
      </c>
      <c r="F1083" s="12" t="n">
        <v>0</v>
      </c>
      <c r="G1083" s="4" t="n">
        <v>0</v>
      </c>
      <c r="H1083" s="4">
        <f>IF(OR(N(F1083)&gt;=0.5,G1083&gt;=4),3,IF(OR(N(F1083)&gt;=0.3,G1083=3),2,IF(OR(N(F1083)&gt;=0.1,G1083&gt;=1),1,0)))</f>
        <v/>
      </c>
      <c r="I1083" s="4">
        <f>CHOOSE(H1083+1,"Kein Risiko","Gering","Mittel","Hoch")</f>
        <v/>
      </c>
    </row>
    <row r="1084">
      <c r="A1084" s="4" t="n">
        <v>1080</v>
      </c>
      <c r="B1084" s="4" t="inlineStr">
        <is>
          <t>yes</t>
        </is>
      </c>
      <c r="C1084" s="4" t="inlineStr">
        <is>
          <t>Schliepersberg</t>
        </is>
      </c>
      <c r="D1084" s="4" t="inlineStr">
        <is>
          <t>47</t>
        </is>
      </c>
      <c r="E1084" s="13" t="n">
        <v>251.3</v>
      </c>
      <c r="F1084" s="12" t="n">
        <v>0.05999755859375</v>
      </c>
      <c r="G1084" s="4" t="n">
        <v>1</v>
      </c>
      <c r="H1084" s="4">
        <f>IF(OR(N(F1084)&gt;=0.5,G1084&gt;=4),3,IF(OR(N(F1084)&gt;=0.3,G1084=3),2,IF(OR(N(F1084)&gt;=0.1,G1084&gt;=1),1,0)))</f>
        <v/>
      </c>
      <c r="I1084" s="4">
        <f>CHOOSE(H1084+1,"Kein Risiko","Gering","Mittel","Hoch")</f>
        <v/>
      </c>
    </row>
    <row r="1085">
      <c r="A1085" s="4" t="n">
        <v>1081</v>
      </c>
      <c r="B1085" s="4" t="inlineStr">
        <is>
          <t>yes</t>
        </is>
      </c>
      <c r="C1085" s="4" t="inlineStr">
        <is>
          <t>Schliepersberg</t>
        </is>
      </c>
      <c r="D1085" s="4" t="inlineStr">
        <is>
          <t>45</t>
        </is>
      </c>
      <c r="E1085" s="13" t="n">
        <v>261.9</v>
      </c>
      <c r="F1085" s="12" t="n">
        <v>0</v>
      </c>
      <c r="G1085" s="4" t="n">
        <v>1</v>
      </c>
      <c r="H1085" s="4">
        <f>IF(OR(N(F1085)&gt;=0.5,G1085&gt;=4),3,IF(OR(N(F1085)&gt;=0.3,G1085=3),2,IF(OR(N(F1085)&gt;=0.1,G1085&gt;=1),1,0)))</f>
        <v/>
      </c>
      <c r="I1085" s="4">
        <f>CHOOSE(H1085+1,"Kein Risiko","Gering","Mittel","Hoch")</f>
        <v/>
      </c>
    </row>
    <row r="1086">
      <c r="A1086" s="4" t="n">
        <v>1082</v>
      </c>
      <c r="B1086" s="4" t="inlineStr">
        <is>
          <t>house</t>
        </is>
      </c>
      <c r="C1086" s="4" t="inlineStr">
        <is>
          <t>Schliepersberg</t>
        </is>
      </c>
      <c r="D1086" s="4" t="inlineStr">
        <is>
          <t>43</t>
        </is>
      </c>
      <c r="E1086" s="13" t="n">
        <v>77.59999999999999</v>
      </c>
      <c r="F1086" s="12" t="n">
        <v>0</v>
      </c>
      <c r="G1086" s="4" t="n">
        <v>1</v>
      </c>
      <c r="H1086" s="4">
        <f>IF(OR(N(F1086)&gt;=0.5,G1086&gt;=4),3,IF(OR(N(F1086)&gt;=0.3,G1086=3),2,IF(OR(N(F1086)&gt;=0.1,G1086&gt;=1),1,0)))</f>
        <v/>
      </c>
      <c r="I1086" s="4">
        <f>CHOOSE(H1086+1,"Kein Risiko","Gering","Mittel","Hoch")</f>
        <v/>
      </c>
    </row>
    <row r="1087">
      <c r="A1087" s="4" t="n">
        <v>1083</v>
      </c>
      <c r="B1087" s="4" t="inlineStr">
        <is>
          <t>house</t>
        </is>
      </c>
      <c r="C1087" s="4" t="inlineStr">
        <is>
          <t>Schliepersberg</t>
        </is>
      </c>
      <c r="D1087" s="4" t="inlineStr">
        <is>
          <t>37a</t>
        </is>
      </c>
      <c r="E1087" s="13" t="n">
        <v>70.2</v>
      </c>
      <c r="F1087" s="12" t="n">
        <v>0</v>
      </c>
      <c r="G1087" s="4" t="n">
        <v>0</v>
      </c>
      <c r="H1087" s="4">
        <f>IF(OR(N(F1087)&gt;=0.5,G1087&gt;=4),3,IF(OR(N(F1087)&gt;=0.3,G1087=3),2,IF(OR(N(F1087)&gt;=0.1,G1087&gt;=1),1,0)))</f>
        <v/>
      </c>
      <c r="I1087" s="4">
        <f>CHOOSE(H1087+1,"Kein Risiko","Gering","Mittel","Hoch")</f>
        <v/>
      </c>
    </row>
    <row r="1088">
      <c r="A1088" s="4" t="n">
        <v>1084</v>
      </c>
      <c r="B1088" s="4" t="inlineStr">
        <is>
          <t>house</t>
        </is>
      </c>
      <c r="C1088" s="4" t="inlineStr">
        <is>
          <t>Schliepersberg</t>
        </is>
      </c>
      <c r="D1088" s="4" t="inlineStr">
        <is>
          <t>35a</t>
        </is>
      </c>
      <c r="E1088" s="13" t="n">
        <v>77.8</v>
      </c>
      <c r="F1088" s="12" t="n">
        <v>0</v>
      </c>
      <c r="G1088" s="4" t="n">
        <v>0</v>
      </c>
      <c r="H1088" s="4">
        <f>IF(OR(N(F1088)&gt;=0.5,G1088&gt;=4),3,IF(OR(N(F1088)&gt;=0.3,G1088=3),2,IF(OR(N(F1088)&gt;=0.1,G1088&gt;=1),1,0)))</f>
        <v/>
      </c>
      <c r="I1088" s="4">
        <f>CHOOSE(H1088+1,"Kein Risiko","Gering","Mittel","Hoch")</f>
        <v/>
      </c>
    </row>
    <row r="1089">
      <c r="A1089" s="4" t="n">
        <v>1085</v>
      </c>
      <c r="B1089" s="4" t="inlineStr">
        <is>
          <t>semidetached_house</t>
        </is>
      </c>
      <c r="C1089" s="4" t="inlineStr">
        <is>
          <t>Schliepersberg</t>
        </is>
      </c>
      <c r="D1089" s="4" t="inlineStr">
        <is>
          <t>21b</t>
        </is>
      </c>
      <c r="E1089" s="13" t="n">
        <v>82.5</v>
      </c>
      <c r="F1089" s="12" t="n">
        <v>0</v>
      </c>
      <c r="G1089" s="4" t="n">
        <v>0</v>
      </c>
      <c r="H1089" s="4">
        <f>IF(OR(N(F1089)&gt;=0.5,G1089&gt;=4),3,IF(OR(N(F1089)&gt;=0.3,G1089=3),2,IF(OR(N(F1089)&gt;=0.1,G1089&gt;=1),1,0)))</f>
        <v/>
      </c>
      <c r="I1089" s="4">
        <f>CHOOSE(H1089+1,"Kein Risiko","Gering","Mittel","Hoch")</f>
        <v/>
      </c>
    </row>
    <row r="1090">
      <c r="A1090" s="4" t="n">
        <v>1086</v>
      </c>
      <c r="B1090" s="4" t="inlineStr">
        <is>
          <t>house</t>
        </is>
      </c>
      <c r="C1090" s="4" t="inlineStr">
        <is>
          <t>Auf'm Stöcken</t>
        </is>
      </c>
      <c r="D1090" s="4" t="inlineStr">
        <is>
          <t>21</t>
        </is>
      </c>
      <c r="E1090" s="13" t="n">
        <v>86</v>
      </c>
      <c r="F1090" s="12" t="n">
        <v>0</v>
      </c>
      <c r="G1090" s="4" t="n">
        <v>0</v>
      </c>
      <c r="H1090" s="4">
        <f>IF(OR(N(F1090)&gt;=0.5,G1090&gt;=4),3,IF(OR(N(F1090)&gt;=0.3,G1090=3),2,IF(OR(N(F1090)&gt;=0.1,G1090&gt;=1),1,0)))</f>
        <v/>
      </c>
      <c r="I1090" s="4">
        <f>CHOOSE(H1090+1,"Kein Risiko","Gering","Mittel","Hoch")</f>
        <v/>
      </c>
    </row>
    <row r="1091">
      <c r="A1091" s="4" t="n">
        <v>1087</v>
      </c>
      <c r="B1091" s="4" t="inlineStr">
        <is>
          <t>semidetached_house</t>
        </is>
      </c>
      <c r="C1091" s="4" t="inlineStr">
        <is>
          <t>Schliepersberg</t>
        </is>
      </c>
      <c r="D1091" s="4" t="inlineStr">
        <is>
          <t>27b</t>
        </is>
      </c>
      <c r="E1091" s="13" t="n">
        <v>65.2</v>
      </c>
      <c r="F1091" s="12" t="n">
        <v>0</v>
      </c>
      <c r="G1091" s="4" t="n">
        <v>0</v>
      </c>
      <c r="H1091" s="4">
        <f>IF(OR(N(F1091)&gt;=0.5,G1091&gt;=4),3,IF(OR(N(F1091)&gt;=0.3,G1091=3),2,IF(OR(N(F1091)&gt;=0.1,G1091&gt;=1),1,0)))</f>
        <v/>
      </c>
      <c r="I1091" s="4">
        <f>CHOOSE(H1091+1,"Kein Risiko","Gering","Mittel","Hoch")</f>
        <v/>
      </c>
    </row>
    <row r="1092">
      <c r="A1092" s="4" t="n">
        <v>1088</v>
      </c>
      <c r="B1092" s="4" t="inlineStr">
        <is>
          <t>semidetached_house</t>
        </is>
      </c>
      <c r="C1092" s="4" t="inlineStr">
        <is>
          <t>Schliepersberg</t>
        </is>
      </c>
      <c r="D1092" s="4" t="inlineStr">
        <is>
          <t>15b</t>
        </is>
      </c>
      <c r="E1092" s="13" t="n">
        <v>69.09999999999999</v>
      </c>
      <c r="F1092" s="12" t="n">
        <v>0</v>
      </c>
      <c r="G1092" s="4" t="n">
        <v>0</v>
      </c>
      <c r="H1092" s="4">
        <f>IF(OR(N(F1092)&gt;=0.5,G1092&gt;=4),3,IF(OR(N(F1092)&gt;=0.3,G1092=3),2,IF(OR(N(F1092)&gt;=0.1,G1092&gt;=1),1,0)))</f>
        <v/>
      </c>
      <c r="I1092" s="4">
        <f>CHOOSE(H1092+1,"Kein Risiko","Gering","Mittel","Hoch")</f>
        <v/>
      </c>
    </row>
    <row r="1093">
      <c r="A1093" s="4" t="n">
        <v>1089</v>
      </c>
      <c r="B1093" s="4" t="inlineStr">
        <is>
          <t>residential</t>
        </is>
      </c>
      <c r="C1093" s="4" t="inlineStr">
        <is>
          <t>Schliepersberg</t>
        </is>
      </c>
      <c r="D1093" s="4" t="inlineStr">
        <is>
          <t>10-10a</t>
        </is>
      </c>
      <c r="E1093" s="13" t="n">
        <v>123.8</v>
      </c>
      <c r="F1093" s="12" t="n">
        <v>0</v>
      </c>
      <c r="G1093" s="4" t="n">
        <v>0</v>
      </c>
      <c r="H1093" s="4">
        <f>IF(OR(N(F1093)&gt;=0.5,G1093&gt;=4),3,IF(OR(N(F1093)&gt;=0.3,G1093=3),2,IF(OR(N(F1093)&gt;=0.1,G1093&gt;=1),1,0)))</f>
        <v/>
      </c>
      <c r="I1093" s="4">
        <f>CHOOSE(H1093+1,"Kein Risiko","Gering","Mittel","Hoch")</f>
        <v/>
      </c>
    </row>
    <row r="1094">
      <c r="A1094" s="4" t="n">
        <v>1090</v>
      </c>
      <c r="B1094" s="4" t="inlineStr">
        <is>
          <t>yes</t>
        </is>
      </c>
      <c r="C1094" s="4" t="inlineStr">
        <is>
          <t>Auf'm Stöcken</t>
        </is>
      </c>
      <c r="D1094" s="4" t="inlineStr">
        <is>
          <t>5</t>
        </is>
      </c>
      <c r="E1094" s="13" t="n">
        <v>99.2</v>
      </c>
      <c r="F1094" s="12" t="n">
        <v>0</v>
      </c>
      <c r="G1094" s="4" t="n">
        <v>0</v>
      </c>
      <c r="H1094" s="4">
        <f>IF(OR(N(F1094)&gt;=0.5,G1094&gt;=4),3,IF(OR(N(F1094)&gt;=0.3,G1094=3),2,IF(OR(N(F1094)&gt;=0.1,G1094&gt;=1),1,0)))</f>
        <v/>
      </c>
      <c r="I1094" s="4">
        <f>CHOOSE(H1094+1,"Kein Risiko","Gering","Mittel","Hoch")</f>
        <v/>
      </c>
    </row>
    <row r="1095">
      <c r="A1095" s="4" t="n">
        <v>1091</v>
      </c>
      <c r="B1095" s="4" t="inlineStr">
        <is>
          <t>semidetached_house</t>
        </is>
      </c>
      <c r="C1095" s="4" t="inlineStr">
        <is>
          <t>Schliepersberg</t>
        </is>
      </c>
      <c r="D1095" s="4" t="inlineStr">
        <is>
          <t>17b</t>
        </is>
      </c>
      <c r="E1095" s="13" t="n">
        <v>69.5</v>
      </c>
      <c r="F1095" s="12" t="n">
        <v>0</v>
      </c>
      <c r="G1095" s="4" t="n">
        <v>0</v>
      </c>
      <c r="H1095" s="4">
        <f>IF(OR(N(F1095)&gt;=0.5,G1095&gt;=4),3,IF(OR(N(F1095)&gt;=0.3,G1095=3),2,IF(OR(N(F1095)&gt;=0.1,G1095&gt;=1),1,0)))</f>
        <v/>
      </c>
      <c r="I1095" s="4">
        <f>CHOOSE(H1095+1,"Kein Risiko","Gering","Mittel","Hoch")</f>
        <v/>
      </c>
    </row>
    <row r="1096">
      <c r="A1096" s="4" t="n">
        <v>1092</v>
      </c>
      <c r="B1096" s="4" t="inlineStr">
        <is>
          <t>house</t>
        </is>
      </c>
      <c r="C1096" s="4" t="inlineStr">
        <is>
          <t>Auf'm Stöcken</t>
        </is>
      </c>
      <c r="D1096" s="4" t="inlineStr">
        <is>
          <t>29</t>
        </is>
      </c>
      <c r="E1096" s="13" t="n">
        <v>86.90000000000001</v>
      </c>
      <c r="F1096" s="12" t="n">
        <v>0</v>
      </c>
      <c r="G1096" s="4" t="n">
        <v>0</v>
      </c>
      <c r="H1096" s="4">
        <f>IF(OR(N(F1096)&gt;=0.5,G1096&gt;=4),3,IF(OR(N(F1096)&gt;=0.3,G1096=3),2,IF(OR(N(F1096)&gt;=0.1,G1096&gt;=1),1,0)))</f>
        <v/>
      </c>
      <c r="I1096" s="4">
        <f>CHOOSE(H1096+1,"Kein Risiko","Gering","Mittel","Hoch")</f>
        <v/>
      </c>
    </row>
    <row r="1097">
      <c r="A1097" s="4" t="n">
        <v>1093</v>
      </c>
      <c r="B1097" s="4" t="inlineStr">
        <is>
          <t>semidetached_house</t>
        </is>
      </c>
      <c r="C1097" s="4" t="inlineStr">
        <is>
          <t>Schliepersberg</t>
        </is>
      </c>
      <c r="D1097" s="4" t="inlineStr">
        <is>
          <t>7</t>
        </is>
      </c>
      <c r="E1097" s="13" t="n">
        <v>65.59999999999999</v>
      </c>
      <c r="F1097" s="12" t="n">
        <v>0</v>
      </c>
      <c r="G1097" s="4" t="n">
        <v>0</v>
      </c>
      <c r="H1097" s="4">
        <f>IF(OR(N(F1097)&gt;=0.5,G1097&gt;=4),3,IF(OR(N(F1097)&gt;=0.3,G1097=3),2,IF(OR(N(F1097)&gt;=0.1,G1097&gt;=1),1,0)))</f>
        <v/>
      </c>
      <c r="I1097" s="4">
        <f>CHOOSE(H1097+1,"Kein Risiko","Gering","Mittel","Hoch")</f>
        <v/>
      </c>
    </row>
    <row r="1098">
      <c r="A1098" s="4" t="n">
        <v>1094</v>
      </c>
      <c r="B1098" s="4" t="inlineStr">
        <is>
          <t>yes</t>
        </is>
      </c>
      <c r="C1098" s="4" t="inlineStr">
        <is>
          <t>Schliepersberg</t>
        </is>
      </c>
      <c r="D1098" s="4" t="inlineStr">
        <is>
          <t>29</t>
        </is>
      </c>
      <c r="E1098" s="13" t="n">
        <v>213.4</v>
      </c>
      <c r="F1098" s="12" t="n">
        <v>0</v>
      </c>
      <c r="G1098" s="4" t="n">
        <v>0</v>
      </c>
      <c r="H1098" s="4">
        <f>IF(OR(N(F1098)&gt;=0.5,G1098&gt;=4),3,IF(OR(N(F1098)&gt;=0.3,G1098=3),2,IF(OR(N(F1098)&gt;=0.1,G1098&gt;=1),1,0)))</f>
        <v/>
      </c>
      <c r="I1098" s="4">
        <f>CHOOSE(H1098+1,"Kein Risiko","Gering","Mittel","Hoch")</f>
        <v/>
      </c>
    </row>
    <row r="1099">
      <c r="A1099" s="4" t="n">
        <v>1095</v>
      </c>
      <c r="B1099" s="4" t="inlineStr">
        <is>
          <t>yes</t>
        </is>
      </c>
      <c r="C1099" s="4" t="inlineStr">
        <is>
          <t>Schliepersberg</t>
        </is>
      </c>
      <c r="D1099" s="4" t="inlineStr">
        <is>
          <t>14</t>
        </is>
      </c>
      <c r="E1099" s="13" t="n">
        <v>215.6</v>
      </c>
      <c r="F1099" s="12" t="n">
        <v>0</v>
      </c>
      <c r="G1099" s="4" t="n">
        <v>0</v>
      </c>
      <c r="H1099" s="4">
        <f>IF(OR(N(F1099)&gt;=0.5,G1099&gt;=4),3,IF(OR(N(F1099)&gt;=0.3,G1099=3),2,IF(OR(N(F1099)&gt;=0.1,G1099&gt;=1),1,0)))</f>
        <v/>
      </c>
      <c r="I1099" s="4">
        <f>CHOOSE(H1099+1,"Kein Risiko","Gering","Mittel","Hoch")</f>
        <v/>
      </c>
    </row>
    <row r="1100">
      <c r="A1100" s="4" t="n">
        <v>1096</v>
      </c>
      <c r="B1100" s="4" t="inlineStr">
        <is>
          <t>semidetached_house</t>
        </is>
      </c>
      <c r="C1100" s="4" t="inlineStr">
        <is>
          <t>Schliepersberg</t>
        </is>
      </c>
      <c r="D1100" s="4" t="inlineStr">
        <is>
          <t>9b</t>
        </is>
      </c>
      <c r="E1100" s="13" t="n">
        <v>70.5</v>
      </c>
      <c r="F1100" s="12" t="n">
        <v>0.029998779296875</v>
      </c>
      <c r="G1100" s="4" t="n">
        <v>0</v>
      </c>
      <c r="H1100" s="4">
        <f>IF(OR(N(F1100)&gt;=0.5,G1100&gt;=4),3,IF(OR(N(F1100)&gt;=0.3,G1100=3),2,IF(OR(N(F1100)&gt;=0.1,G1100&gt;=1),1,0)))</f>
        <v/>
      </c>
      <c r="I1100" s="4">
        <f>CHOOSE(H1100+1,"Kein Risiko","Gering","Mittel","Hoch")</f>
        <v/>
      </c>
    </row>
    <row r="1101">
      <c r="A1101" s="4" t="n">
        <v>1097</v>
      </c>
      <c r="B1101" s="4" t="inlineStr">
        <is>
          <t>semidetached_house</t>
        </is>
      </c>
      <c r="C1101" s="4" t="inlineStr">
        <is>
          <t>Schliepersberg</t>
        </is>
      </c>
      <c r="D1101" s="4" t="inlineStr">
        <is>
          <t>25b</t>
        </is>
      </c>
      <c r="E1101" s="13" t="n">
        <v>58.9</v>
      </c>
      <c r="F1101" s="12" t="n">
        <v>0</v>
      </c>
      <c r="G1101" s="4" t="n">
        <v>0</v>
      </c>
      <c r="H1101" s="4">
        <f>IF(OR(N(F1101)&gt;=0.5,G1101&gt;=4),3,IF(OR(N(F1101)&gt;=0.3,G1101=3),2,IF(OR(N(F1101)&gt;=0.1,G1101&gt;=1),1,0)))</f>
        <v/>
      </c>
      <c r="I1101" s="4">
        <f>CHOOSE(H1101+1,"Kein Risiko","Gering","Mittel","Hoch")</f>
        <v/>
      </c>
    </row>
    <row r="1102">
      <c r="A1102" s="4" t="n">
        <v>1098</v>
      </c>
      <c r="B1102" s="4" t="inlineStr">
        <is>
          <t>semidetached_house</t>
        </is>
      </c>
      <c r="C1102" s="4" t="inlineStr">
        <is>
          <t>Schliepersberg</t>
        </is>
      </c>
      <c r="D1102" s="4" t="inlineStr">
        <is>
          <t>19b</t>
        </is>
      </c>
      <c r="E1102" s="13" t="n">
        <v>70.09999999999999</v>
      </c>
      <c r="F1102" s="12" t="n">
        <v>0</v>
      </c>
      <c r="G1102" s="4" t="n">
        <v>0</v>
      </c>
      <c r="H1102" s="4">
        <f>IF(OR(N(F1102)&gt;=0.5,G1102&gt;=4),3,IF(OR(N(F1102)&gt;=0.3,G1102=3),2,IF(OR(N(F1102)&gt;=0.1,G1102&gt;=1),1,0)))</f>
        <v/>
      </c>
      <c r="I1102" s="4">
        <f>CHOOSE(H1102+1,"Kein Risiko","Gering","Mittel","Hoch")</f>
        <v/>
      </c>
    </row>
    <row r="1103">
      <c r="A1103" s="4" t="n">
        <v>1099</v>
      </c>
      <c r="B1103" s="4" t="inlineStr">
        <is>
          <t>residential</t>
        </is>
      </c>
      <c r="C1103" s="4" t="inlineStr">
        <is>
          <t>Schliepersberg</t>
        </is>
      </c>
      <c r="D1103" s="4" t="inlineStr">
        <is>
          <t>12</t>
        </is>
      </c>
      <c r="E1103" s="13" t="n">
        <v>168.9</v>
      </c>
      <c r="F1103" s="12" t="n">
        <v>0.010009765625</v>
      </c>
      <c r="G1103" s="4" t="n">
        <v>0</v>
      </c>
      <c r="H1103" s="4">
        <f>IF(OR(N(F1103)&gt;=0.5,G1103&gt;=4),3,IF(OR(N(F1103)&gt;=0.3,G1103=3),2,IF(OR(N(F1103)&gt;=0.1,G1103&gt;=1),1,0)))</f>
        <v/>
      </c>
      <c r="I1103" s="4">
        <f>CHOOSE(H1103+1,"Kein Risiko","Gering","Mittel","Hoch")</f>
        <v/>
      </c>
    </row>
    <row r="1104">
      <c r="A1104" s="4" t="n">
        <v>1100</v>
      </c>
      <c r="B1104" s="4" t="inlineStr">
        <is>
          <t>yes</t>
        </is>
      </c>
      <c r="C1104" s="4" t="inlineStr">
        <is>
          <t>Schliepersberg</t>
        </is>
      </c>
      <c r="D1104" s="4" t="inlineStr">
        <is>
          <t>16</t>
        </is>
      </c>
      <c r="E1104" s="13" t="n">
        <v>184.4</v>
      </c>
      <c r="F1104" s="12" t="n">
        <v>0.0099945068359375</v>
      </c>
      <c r="G1104" s="4" t="n">
        <v>0</v>
      </c>
      <c r="H1104" s="4">
        <f>IF(OR(N(F1104)&gt;=0.5,G1104&gt;=4),3,IF(OR(N(F1104)&gt;=0.3,G1104=3),2,IF(OR(N(F1104)&gt;=0.1,G1104&gt;=1),1,0)))</f>
        <v/>
      </c>
      <c r="I1104" s="4">
        <f>CHOOSE(H1104+1,"Kein Risiko","Gering","Mittel","Hoch")</f>
        <v/>
      </c>
    </row>
    <row r="1105">
      <c r="A1105" s="4" t="n">
        <v>1101</v>
      </c>
      <c r="B1105" s="4" t="inlineStr">
        <is>
          <t>semidetached_house</t>
        </is>
      </c>
      <c r="C1105" s="4" t="inlineStr">
        <is>
          <t>Schliepersberg</t>
        </is>
      </c>
      <c r="D1105" s="4" t="inlineStr">
        <is>
          <t>11a</t>
        </is>
      </c>
      <c r="E1105" s="13" t="n">
        <v>64.90000000000001</v>
      </c>
      <c r="F1105" s="12" t="n">
        <v>0.010009765625</v>
      </c>
      <c r="G1105" s="4" t="n">
        <v>0</v>
      </c>
      <c r="H1105" s="4">
        <f>IF(OR(N(F1105)&gt;=0.5,G1105&gt;=4),3,IF(OR(N(F1105)&gt;=0.3,G1105=3),2,IF(OR(N(F1105)&gt;=0.1,G1105&gt;=1),1,0)))</f>
        <v/>
      </c>
      <c r="I1105" s="4">
        <f>CHOOSE(H1105+1,"Kein Risiko","Gering","Mittel","Hoch")</f>
        <v/>
      </c>
    </row>
    <row r="1106">
      <c r="A1106" s="4" t="n">
        <v>1102</v>
      </c>
      <c r="B1106" s="4" t="inlineStr">
        <is>
          <t>semidetached_house</t>
        </is>
      </c>
      <c r="C1106" s="4" t="inlineStr">
        <is>
          <t>Schliepersberg</t>
        </is>
      </c>
      <c r="D1106" s="4" t="inlineStr">
        <is>
          <t>23b</t>
        </is>
      </c>
      <c r="E1106" s="13" t="n">
        <v>69.59999999999999</v>
      </c>
      <c r="F1106" s="12" t="n">
        <v>0</v>
      </c>
      <c r="G1106" s="4" t="n">
        <v>0</v>
      </c>
      <c r="H1106" s="4">
        <f>IF(OR(N(F1106)&gt;=0.5,G1106&gt;=4),3,IF(OR(N(F1106)&gt;=0.3,G1106=3),2,IF(OR(N(F1106)&gt;=0.1,G1106&gt;=1),1,0)))</f>
        <v/>
      </c>
      <c r="I1106" s="4">
        <f>CHOOSE(H1106+1,"Kein Risiko","Gering","Mittel","Hoch")</f>
        <v/>
      </c>
    </row>
    <row r="1107">
      <c r="A1107" s="4" t="n">
        <v>1103</v>
      </c>
      <c r="B1107" s="4" t="inlineStr">
        <is>
          <t>house</t>
        </is>
      </c>
      <c r="C1107" s="4" t="inlineStr">
        <is>
          <t>Auf'm Stöcken</t>
        </is>
      </c>
      <c r="D1107" s="4" t="inlineStr">
        <is>
          <t>13b</t>
        </is>
      </c>
      <c r="E1107" s="13" t="n">
        <v>90.3</v>
      </c>
      <c r="F1107" s="12" t="n">
        <v>0</v>
      </c>
      <c r="G1107" s="4" t="n">
        <v>0</v>
      </c>
      <c r="H1107" s="4">
        <f>IF(OR(N(F1107)&gt;=0.5,G1107&gt;=4),3,IF(OR(N(F1107)&gt;=0.3,G1107=3),2,IF(OR(N(F1107)&gt;=0.1,G1107&gt;=1),1,0)))</f>
        <v/>
      </c>
      <c r="I1107" s="4">
        <f>CHOOSE(H1107+1,"Kein Risiko","Gering","Mittel","Hoch")</f>
        <v/>
      </c>
    </row>
    <row r="1108">
      <c r="A1108" s="4" t="n">
        <v>1104</v>
      </c>
      <c r="B1108" s="4" t="inlineStr">
        <is>
          <t>semidetached_house</t>
        </is>
      </c>
      <c r="C1108" s="4" t="inlineStr">
        <is>
          <t>Schliepersberg</t>
        </is>
      </c>
      <c r="D1108" s="4" t="inlineStr">
        <is>
          <t>13b</t>
        </is>
      </c>
      <c r="E1108" s="13" t="n">
        <v>61.9</v>
      </c>
      <c r="F1108" s="12" t="n">
        <v>0</v>
      </c>
      <c r="G1108" s="4" t="n">
        <v>0</v>
      </c>
      <c r="H1108" s="4">
        <f>IF(OR(N(F1108)&gt;=0.5,G1108&gt;=4),3,IF(OR(N(F1108)&gt;=0.3,G1108=3),2,IF(OR(N(F1108)&gt;=0.1,G1108&gt;=1),1,0)))</f>
        <v/>
      </c>
      <c r="I1108" s="4">
        <f>CHOOSE(H1108+1,"Kein Risiko","Gering","Mittel","Hoch")</f>
        <v/>
      </c>
    </row>
    <row r="1109">
      <c r="A1109" s="4" t="n">
        <v>1105</v>
      </c>
      <c r="B1109" s="4" t="inlineStr">
        <is>
          <t>detached</t>
        </is>
      </c>
      <c r="C1109" s="4" t="inlineStr">
        <is>
          <t>Schliepersberg</t>
        </is>
      </c>
      <c r="D1109" s="4" t="inlineStr">
        <is>
          <t>8</t>
        </is>
      </c>
      <c r="E1109" s="13" t="n">
        <v>159.3</v>
      </c>
      <c r="F1109" s="12" t="n">
        <v>0</v>
      </c>
      <c r="G1109" s="4" t="n">
        <v>0</v>
      </c>
      <c r="H1109" s="4">
        <f>IF(OR(N(F1109)&gt;=0.5,G1109&gt;=4),3,IF(OR(N(F1109)&gt;=0.3,G1109=3),2,IF(OR(N(F1109)&gt;=0.1,G1109&gt;=1),1,0)))</f>
        <v/>
      </c>
      <c r="I1109" s="4">
        <f>CHOOSE(H1109+1,"Kein Risiko","Gering","Mittel","Hoch")</f>
        <v/>
      </c>
    </row>
    <row r="1110">
      <c r="A1110" s="4" t="n">
        <v>1106</v>
      </c>
      <c r="B1110" s="4" t="inlineStr">
        <is>
          <t>semidetached_house</t>
        </is>
      </c>
      <c r="C1110" s="4" t="inlineStr">
        <is>
          <t>Schliepersberg</t>
        </is>
      </c>
      <c r="D1110" s="4" t="inlineStr">
        <is>
          <t>2</t>
        </is>
      </c>
      <c r="E1110" s="13" t="n">
        <v>162.1</v>
      </c>
      <c r="F1110" s="12" t="n">
        <v>0</v>
      </c>
      <c r="G1110" s="4" t="n">
        <v>0</v>
      </c>
      <c r="H1110" s="4">
        <f>IF(OR(N(F1110)&gt;=0.5,G1110&gt;=4),3,IF(OR(N(F1110)&gt;=0.3,G1110=3),2,IF(OR(N(F1110)&gt;=0.1,G1110&gt;=1),1,0)))</f>
        <v/>
      </c>
      <c r="I1110" s="4">
        <f>CHOOSE(H1110+1,"Kein Risiko","Gering","Mittel","Hoch")</f>
        <v/>
      </c>
    </row>
    <row r="1111">
      <c r="A1111" s="4" t="n">
        <v>1107</v>
      </c>
      <c r="B1111" s="4" t="inlineStr">
        <is>
          <t>yes</t>
        </is>
      </c>
      <c r="C1111" s="4" t="inlineStr">
        <is>
          <t>Niederweniger Straße</t>
        </is>
      </c>
      <c r="D1111" s="4" t="inlineStr">
        <is>
          <t>123</t>
        </is>
      </c>
      <c r="E1111" s="13" t="n">
        <v>143.4</v>
      </c>
      <c r="F1111" s="12" t="n">
        <v>0.0500030517578125</v>
      </c>
      <c r="G1111" s="4" t="n">
        <v>0</v>
      </c>
      <c r="H1111" s="4">
        <f>IF(OR(N(F1111)&gt;=0.5,G1111&gt;=4),3,IF(OR(N(F1111)&gt;=0.3,G1111=3),2,IF(OR(N(F1111)&gt;=0.1,G1111&gt;=1),1,0)))</f>
        <v/>
      </c>
      <c r="I1111" s="4">
        <f>CHOOSE(H1111+1,"Kein Risiko","Gering","Mittel","Hoch")</f>
        <v/>
      </c>
    </row>
    <row r="1112">
      <c r="A1112" s="4" t="n">
        <v>1108</v>
      </c>
      <c r="B1112" s="4" t="inlineStr">
        <is>
          <t>yes</t>
        </is>
      </c>
      <c r="C1112" s="4" t="inlineStr">
        <is>
          <t>Niederweniger Straße</t>
        </is>
      </c>
      <c r="D1112" s="4" t="inlineStr">
        <is>
          <t>113</t>
        </is>
      </c>
      <c r="E1112" s="13" t="n">
        <v>192.6</v>
      </c>
      <c r="F1112" s="12" t="n">
        <v>0</v>
      </c>
      <c r="G1112" s="4" t="n">
        <v>0</v>
      </c>
      <c r="H1112" s="4">
        <f>IF(OR(N(F1112)&gt;=0.5,G1112&gt;=4),3,IF(OR(N(F1112)&gt;=0.3,G1112=3),2,IF(OR(N(F1112)&gt;=0.1,G1112&gt;=1),1,0)))</f>
        <v/>
      </c>
      <c r="I1112" s="4">
        <f>CHOOSE(H1112+1,"Kein Risiko","Gering","Mittel","Hoch")</f>
        <v/>
      </c>
    </row>
    <row r="1113">
      <c r="A1113" s="4" t="n">
        <v>1109</v>
      </c>
      <c r="B1113" s="4" t="inlineStr">
        <is>
          <t>yes</t>
        </is>
      </c>
      <c r="C1113" s="4" t="inlineStr">
        <is>
          <t>Niederweniger Straße</t>
        </is>
      </c>
      <c r="D1113" s="4" t="inlineStr">
        <is>
          <t>117</t>
        </is>
      </c>
      <c r="E1113" s="13" t="n">
        <v>161.9</v>
      </c>
      <c r="F1113" s="12" t="n">
        <v>0</v>
      </c>
      <c r="G1113" s="4" t="n">
        <v>0</v>
      </c>
      <c r="H1113" s="4">
        <f>IF(OR(N(F1113)&gt;=0.5,G1113&gt;=4),3,IF(OR(N(F1113)&gt;=0.3,G1113=3),2,IF(OR(N(F1113)&gt;=0.1,G1113&gt;=1),1,0)))</f>
        <v/>
      </c>
      <c r="I1113" s="4">
        <f>CHOOSE(H1113+1,"Kein Risiko","Gering","Mittel","Hoch")</f>
        <v/>
      </c>
    </row>
    <row r="1114">
      <c r="A1114" s="4" t="n">
        <v>1110</v>
      </c>
      <c r="B1114" s="4" t="inlineStr">
        <is>
          <t>house</t>
        </is>
      </c>
      <c r="C1114" s="4" t="inlineStr"/>
      <c r="D1114" s="4" t="inlineStr"/>
      <c r="E1114" s="13" t="n">
        <v>88.59999999999999</v>
      </c>
      <c r="F1114" s="12" t="n">
        <v>0.69000244140625</v>
      </c>
      <c r="G1114" s="4" t="n">
        <v>2</v>
      </c>
      <c r="H1114" s="4">
        <f>IF(OR(N(F1114)&gt;=0.5,G1114&gt;=4),3,IF(OR(N(F1114)&gt;=0.3,G1114=3),2,IF(OR(N(F1114)&gt;=0.1,G1114&gt;=1),1,0)))</f>
        <v/>
      </c>
      <c r="I1114" s="4">
        <f>CHOOSE(H1114+1,"Kein Risiko","Gering","Mittel","Hoch")</f>
        <v/>
      </c>
    </row>
    <row r="1115">
      <c r="A1115" s="4" t="n">
        <v>1111</v>
      </c>
      <c r="B1115" s="4" t="inlineStr">
        <is>
          <t>house</t>
        </is>
      </c>
      <c r="C1115" s="4" t="inlineStr">
        <is>
          <t>Brackmannhang</t>
        </is>
      </c>
      <c r="D1115" s="4" t="inlineStr">
        <is>
          <t>20</t>
        </is>
      </c>
      <c r="E1115" s="13" t="n">
        <v>77.40000000000001</v>
      </c>
      <c r="F1115" s="12" t="n">
        <v>0</v>
      </c>
      <c r="G1115" s="4" t="n">
        <v>0</v>
      </c>
      <c r="H1115" s="4">
        <f>IF(OR(N(F1115)&gt;=0.5,G1115&gt;=4),3,IF(OR(N(F1115)&gt;=0.3,G1115=3),2,IF(OR(N(F1115)&gt;=0.1,G1115&gt;=1),1,0)))</f>
        <v/>
      </c>
      <c r="I1115" s="4">
        <f>CHOOSE(H1115+1,"Kein Risiko","Gering","Mittel","Hoch")</f>
        <v/>
      </c>
    </row>
    <row r="1116">
      <c r="A1116" s="4" t="n">
        <v>1112</v>
      </c>
      <c r="B1116" s="4" t="inlineStr">
        <is>
          <t>yes</t>
        </is>
      </c>
      <c r="C1116" s="4" t="inlineStr">
        <is>
          <t>Niederweniger Straße</t>
        </is>
      </c>
      <c r="D1116" s="4" t="inlineStr">
        <is>
          <t>121</t>
        </is>
      </c>
      <c r="E1116" s="13" t="n">
        <v>295.8</v>
      </c>
      <c r="F1116" s="12" t="n">
        <v>0.010009765625</v>
      </c>
      <c r="G1116" s="4" t="n">
        <v>0</v>
      </c>
      <c r="H1116" s="4">
        <f>IF(OR(N(F1116)&gt;=0.5,G1116&gt;=4),3,IF(OR(N(F1116)&gt;=0.3,G1116=3),2,IF(OR(N(F1116)&gt;=0.1,G1116&gt;=1),1,0)))</f>
        <v/>
      </c>
      <c r="I1116" s="4">
        <f>CHOOSE(H1116+1,"Kein Risiko","Gering","Mittel","Hoch")</f>
        <v/>
      </c>
    </row>
    <row r="1117">
      <c r="A1117" s="4" t="n">
        <v>1113</v>
      </c>
      <c r="B1117" s="4" t="inlineStr">
        <is>
          <t>yes</t>
        </is>
      </c>
      <c r="C1117" s="4" t="inlineStr">
        <is>
          <t>Niederweniger Straße</t>
        </is>
      </c>
      <c r="D1117" s="4" t="inlineStr">
        <is>
          <t>119</t>
        </is>
      </c>
      <c r="E1117" s="13" t="n">
        <v>286.6</v>
      </c>
      <c r="F1117" s="12" t="n">
        <v>0.1100006103515625</v>
      </c>
      <c r="G1117" s="4" t="n">
        <v>2</v>
      </c>
      <c r="H1117" s="4">
        <f>IF(OR(N(F1117)&gt;=0.5,G1117&gt;=4),3,IF(OR(N(F1117)&gt;=0.3,G1117=3),2,IF(OR(N(F1117)&gt;=0.1,G1117&gt;=1),1,0)))</f>
        <v/>
      </c>
      <c r="I1117" s="4">
        <f>CHOOSE(H1117+1,"Kein Risiko","Gering","Mittel","Hoch")</f>
        <v/>
      </c>
    </row>
    <row r="1118">
      <c r="A1118" s="4" t="n">
        <v>1114</v>
      </c>
      <c r="B1118" s="4" t="inlineStr">
        <is>
          <t>detached</t>
        </is>
      </c>
      <c r="C1118" s="4" t="inlineStr">
        <is>
          <t>Niederweniger Straße</t>
        </is>
      </c>
      <c r="D1118" s="4" t="inlineStr">
        <is>
          <t>127a</t>
        </is>
      </c>
      <c r="E1118" s="13" t="n">
        <v>86.7</v>
      </c>
      <c r="F1118" s="12" t="n">
        <v>0.1299896240234375</v>
      </c>
      <c r="G1118" s="4" t="n">
        <v>0</v>
      </c>
      <c r="H1118" s="4">
        <f>IF(OR(N(F1118)&gt;=0.5,G1118&gt;=4),3,IF(OR(N(F1118)&gt;=0.3,G1118=3),2,IF(OR(N(F1118)&gt;=0.1,G1118&gt;=1),1,0)))</f>
        <v/>
      </c>
      <c r="I1118" s="4">
        <f>CHOOSE(H1118+1,"Kein Risiko","Gering","Mittel","Hoch")</f>
        <v/>
      </c>
    </row>
    <row r="1119">
      <c r="A1119" s="4" t="n">
        <v>1115</v>
      </c>
      <c r="B1119" s="4" t="inlineStr">
        <is>
          <t>detached</t>
        </is>
      </c>
      <c r="C1119" s="4" t="inlineStr">
        <is>
          <t>Drimbornweg</t>
        </is>
      </c>
      <c r="D1119" s="4" t="inlineStr">
        <is>
          <t>11</t>
        </is>
      </c>
      <c r="E1119" s="13" t="n">
        <v>167.8</v>
      </c>
      <c r="F1119" s="12" t="n">
        <v>0.0099945068359375</v>
      </c>
      <c r="G1119" s="4" t="n">
        <v>0</v>
      </c>
      <c r="H1119" s="4">
        <f>IF(OR(N(F1119)&gt;=0.5,G1119&gt;=4),3,IF(OR(N(F1119)&gt;=0.3,G1119=3),2,IF(OR(N(F1119)&gt;=0.1,G1119&gt;=1),1,0)))</f>
        <v/>
      </c>
      <c r="I1119" s="4">
        <f>CHOOSE(H1119+1,"Kein Risiko","Gering","Mittel","Hoch")</f>
        <v/>
      </c>
    </row>
    <row r="1120">
      <c r="A1120" s="4" t="n">
        <v>1116</v>
      </c>
      <c r="B1120" s="4" t="inlineStr">
        <is>
          <t>detached</t>
        </is>
      </c>
      <c r="C1120" s="4" t="inlineStr">
        <is>
          <t>Drimbornweg</t>
        </is>
      </c>
      <c r="D1120" s="4" t="inlineStr">
        <is>
          <t>6</t>
        </is>
      </c>
      <c r="E1120" s="13" t="n">
        <v>127.2</v>
      </c>
      <c r="F1120" s="12" t="n">
        <v>0.0200042724609375</v>
      </c>
      <c r="G1120" s="4" t="n">
        <v>0</v>
      </c>
      <c r="H1120" s="4">
        <f>IF(OR(N(F1120)&gt;=0.5,G1120&gt;=4),3,IF(OR(N(F1120)&gt;=0.3,G1120=3),2,IF(OR(N(F1120)&gt;=0.1,G1120&gt;=1),1,0)))</f>
        <v/>
      </c>
      <c r="I1120" s="4">
        <f>CHOOSE(H1120+1,"Kein Risiko","Gering","Mittel","Hoch")</f>
        <v/>
      </c>
    </row>
    <row r="1121">
      <c r="A1121" s="4" t="n">
        <v>1117</v>
      </c>
      <c r="B1121" s="4" t="inlineStr">
        <is>
          <t>detached</t>
        </is>
      </c>
      <c r="C1121" s="4" t="inlineStr">
        <is>
          <t>Drimbornweg</t>
        </is>
      </c>
      <c r="D1121" s="4" t="inlineStr">
        <is>
          <t>7</t>
        </is>
      </c>
      <c r="E1121" s="13" t="n">
        <v>167.1</v>
      </c>
      <c r="F1121" s="12" t="n">
        <v>0</v>
      </c>
      <c r="G1121" s="4" t="n">
        <v>0</v>
      </c>
      <c r="H1121" s="4">
        <f>IF(OR(N(F1121)&gt;=0.5,G1121&gt;=4),3,IF(OR(N(F1121)&gt;=0.3,G1121=3),2,IF(OR(N(F1121)&gt;=0.1,G1121&gt;=1),1,0)))</f>
        <v/>
      </c>
      <c r="I1121" s="4">
        <f>CHOOSE(H1121+1,"Kein Risiko","Gering","Mittel","Hoch")</f>
        <v/>
      </c>
    </row>
    <row r="1122">
      <c r="A1122" s="4" t="n">
        <v>1118</v>
      </c>
      <c r="B1122" s="4" t="inlineStr">
        <is>
          <t>detached</t>
        </is>
      </c>
      <c r="C1122" s="4" t="inlineStr">
        <is>
          <t>Drimbornweg</t>
        </is>
      </c>
      <c r="D1122" s="4" t="inlineStr">
        <is>
          <t>9</t>
        </is>
      </c>
      <c r="E1122" s="13" t="n">
        <v>156.5</v>
      </c>
      <c r="F1122" s="12" t="n">
        <v>0</v>
      </c>
      <c r="G1122" s="4" t="n">
        <v>0</v>
      </c>
      <c r="H1122" s="4">
        <f>IF(OR(N(F1122)&gt;=0.5,G1122&gt;=4),3,IF(OR(N(F1122)&gt;=0.3,G1122=3),2,IF(OR(N(F1122)&gt;=0.1,G1122&gt;=1),1,0)))</f>
        <v/>
      </c>
      <c r="I1122" s="4">
        <f>CHOOSE(H1122+1,"Kein Risiko","Gering","Mittel","Hoch")</f>
        <v/>
      </c>
    </row>
    <row r="1123">
      <c r="A1123" s="4" t="n">
        <v>1119</v>
      </c>
      <c r="B1123" s="4" t="inlineStr">
        <is>
          <t>detached</t>
        </is>
      </c>
      <c r="C1123" s="4" t="inlineStr">
        <is>
          <t>Drimbornweg</t>
        </is>
      </c>
      <c r="D1123" s="4" t="inlineStr">
        <is>
          <t>5</t>
        </is>
      </c>
      <c r="E1123" s="13" t="n">
        <v>150.6</v>
      </c>
      <c r="F1123" s="12" t="n">
        <v>0.0200042724609375</v>
      </c>
      <c r="G1123" s="4" t="n">
        <v>0</v>
      </c>
      <c r="H1123" s="4">
        <f>IF(OR(N(F1123)&gt;=0.5,G1123&gt;=4),3,IF(OR(N(F1123)&gt;=0.3,G1123=3),2,IF(OR(N(F1123)&gt;=0.1,G1123&gt;=1),1,0)))</f>
        <v/>
      </c>
      <c r="I1123" s="4">
        <f>CHOOSE(H1123+1,"Kein Risiko","Gering","Mittel","Hoch")</f>
        <v/>
      </c>
    </row>
    <row r="1124">
      <c r="A1124" s="4" t="n">
        <v>1120</v>
      </c>
      <c r="B1124" s="4" t="inlineStr">
        <is>
          <t>detached</t>
        </is>
      </c>
      <c r="C1124" s="4" t="inlineStr">
        <is>
          <t>Drimbornweg</t>
        </is>
      </c>
      <c r="D1124" s="4" t="inlineStr">
        <is>
          <t>3</t>
        </is>
      </c>
      <c r="E1124" s="13" t="n">
        <v>158.5</v>
      </c>
      <c r="F1124" s="12" t="n">
        <v>0</v>
      </c>
      <c r="G1124" s="4" t="n">
        <v>0</v>
      </c>
      <c r="H1124" s="4">
        <f>IF(OR(N(F1124)&gt;=0.5,G1124&gt;=4),3,IF(OR(N(F1124)&gt;=0.3,G1124=3),2,IF(OR(N(F1124)&gt;=0.1,G1124&gt;=1),1,0)))</f>
        <v/>
      </c>
      <c r="I1124" s="4">
        <f>CHOOSE(H1124+1,"Kein Risiko","Gering","Mittel","Hoch")</f>
        <v/>
      </c>
    </row>
    <row r="1125">
      <c r="A1125" s="4" t="n">
        <v>1121</v>
      </c>
      <c r="B1125" s="4" t="inlineStr">
        <is>
          <t>detached</t>
        </is>
      </c>
      <c r="C1125" s="4" t="inlineStr">
        <is>
          <t>Drimbornweg</t>
        </is>
      </c>
      <c r="D1125" s="4" t="inlineStr">
        <is>
          <t>1</t>
        </is>
      </c>
      <c r="E1125" s="13" t="n">
        <v>175.2</v>
      </c>
      <c r="F1125" s="12" t="n">
        <v>0</v>
      </c>
      <c r="G1125" s="4" t="n">
        <v>0</v>
      </c>
      <c r="H1125" s="4">
        <f>IF(OR(N(F1125)&gt;=0.5,G1125&gt;=4),3,IF(OR(N(F1125)&gt;=0.3,G1125=3),2,IF(OR(N(F1125)&gt;=0.1,G1125&gt;=1),1,0)))</f>
        <v/>
      </c>
      <c r="I1125" s="4">
        <f>CHOOSE(H1125+1,"Kein Risiko","Gering","Mittel","Hoch")</f>
        <v/>
      </c>
    </row>
    <row r="1126">
      <c r="A1126" s="4" t="n">
        <v>1122</v>
      </c>
      <c r="B1126" s="4" t="inlineStr">
        <is>
          <t>detached</t>
        </is>
      </c>
      <c r="C1126" s="4" t="inlineStr">
        <is>
          <t>Niederweniger Straße</t>
        </is>
      </c>
      <c r="D1126" s="4" t="inlineStr">
        <is>
          <t>131a</t>
        </is>
      </c>
      <c r="E1126" s="13" t="n">
        <v>169.2</v>
      </c>
      <c r="F1126" s="12" t="n">
        <v>0</v>
      </c>
      <c r="G1126" s="4" t="n">
        <v>0</v>
      </c>
      <c r="H1126" s="4">
        <f>IF(OR(N(F1126)&gt;=0.5,G1126&gt;=4),3,IF(OR(N(F1126)&gt;=0.3,G1126=3),2,IF(OR(N(F1126)&gt;=0.1,G1126&gt;=1),1,0)))</f>
        <v/>
      </c>
      <c r="I1126" s="4">
        <f>CHOOSE(H1126+1,"Kein Risiko","Gering","Mittel","Hoch")</f>
        <v/>
      </c>
    </row>
    <row r="1127">
      <c r="A1127" s="4" t="n">
        <v>1123</v>
      </c>
      <c r="B1127" s="4" t="inlineStr">
        <is>
          <t>detached</t>
        </is>
      </c>
      <c r="C1127" s="4" t="inlineStr">
        <is>
          <t>Am Gerichtshaus</t>
        </is>
      </c>
      <c r="D1127" s="4" t="inlineStr">
        <is>
          <t>23</t>
        </is>
      </c>
      <c r="E1127" s="13" t="n">
        <v>161</v>
      </c>
      <c r="F1127" s="12" t="n">
        <v>0</v>
      </c>
      <c r="G1127" s="4" t="n">
        <v>1</v>
      </c>
      <c r="H1127" s="4">
        <f>IF(OR(N(F1127)&gt;=0.5,G1127&gt;=4),3,IF(OR(N(F1127)&gt;=0.3,G1127=3),2,IF(OR(N(F1127)&gt;=0.1,G1127&gt;=1),1,0)))</f>
        <v/>
      </c>
      <c r="I1127" s="4">
        <f>CHOOSE(H1127+1,"Kein Risiko","Gering","Mittel","Hoch")</f>
        <v/>
      </c>
    </row>
    <row r="1128">
      <c r="A1128" s="4" t="n">
        <v>1124</v>
      </c>
      <c r="B1128" s="4" t="inlineStr">
        <is>
          <t>detached</t>
        </is>
      </c>
      <c r="C1128" s="4" t="inlineStr">
        <is>
          <t>Drimbornweg</t>
        </is>
      </c>
      <c r="D1128" s="4" t="inlineStr">
        <is>
          <t>4</t>
        </is>
      </c>
      <c r="E1128" s="13" t="n">
        <v>172.8</v>
      </c>
      <c r="F1128" s="12" t="n">
        <v>0</v>
      </c>
      <c r="G1128" s="4" t="n">
        <v>0</v>
      </c>
      <c r="H1128" s="4">
        <f>IF(OR(N(F1128)&gt;=0.5,G1128&gt;=4),3,IF(OR(N(F1128)&gt;=0.3,G1128=3),2,IF(OR(N(F1128)&gt;=0.1,G1128&gt;=1),1,0)))</f>
        <v/>
      </c>
      <c r="I1128" s="4">
        <f>CHOOSE(H1128+1,"Kein Risiko","Gering","Mittel","Hoch")</f>
        <v/>
      </c>
    </row>
    <row r="1129">
      <c r="A1129" s="4" t="n">
        <v>1125</v>
      </c>
      <c r="B1129" s="4" t="inlineStr">
        <is>
          <t>detached</t>
        </is>
      </c>
      <c r="C1129" s="4" t="inlineStr">
        <is>
          <t>Niederweniger Straße</t>
        </is>
      </c>
      <c r="D1129" s="4" t="inlineStr">
        <is>
          <t>131b</t>
        </is>
      </c>
      <c r="E1129" s="13" t="n">
        <v>97.59999999999999</v>
      </c>
      <c r="F1129" s="12" t="n">
        <v>0.0399932861328125</v>
      </c>
      <c r="G1129" s="4" t="n">
        <v>0</v>
      </c>
      <c r="H1129" s="4">
        <f>IF(OR(N(F1129)&gt;=0.5,G1129&gt;=4),3,IF(OR(N(F1129)&gt;=0.3,G1129=3),2,IF(OR(N(F1129)&gt;=0.1,G1129&gt;=1),1,0)))</f>
        <v/>
      </c>
      <c r="I1129" s="4">
        <f>CHOOSE(H1129+1,"Kein Risiko","Gering","Mittel","Hoch")</f>
        <v/>
      </c>
    </row>
    <row r="1130">
      <c r="A1130" s="4" t="n">
        <v>1126</v>
      </c>
      <c r="B1130" s="4" t="inlineStr">
        <is>
          <t>detached</t>
        </is>
      </c>
      <c r="C1130" s="4" t="inlineStr">
        <is>
          <t>Am Gerichtshaus</t>
        </is>
      </c>
      <c r="D1130" s="4" t="inlineStr">
        <is>
          <t>2</t>
        </is>
      </c>
      <c r="E1130" s="13" t="n">
        <v>147.7</v>
      </c>
      <c r="F1130" s="12" t="n"/>
      <c r="G1130" s="4" t="n">
        <v>0</v>
      </c>
      <c r="H1130" s="4">
        <f>IF(OR(N(F1130)&gt;=0.5,G1130&gt;=4),3,IF(OR(N(F1130)&gt;=0.3,G1130=3),2,IF(OR(N(F1130)&gt;=0.1,G1130&gt;=1),1,0)))</f>
        <v/>
      </c>
      <c r="I1130" s="4">
        <f>CHOOSE(H1130+1,"Kein Risiko","Gering","Mittel","Hoch")</f>
        <v/>
      </c>
    </row>
    <row r="1131">
      <c r="A1131" s="4" t="n">
        <v>1127</v>
      </c>
      <c r="B1131" s="4" t="inlineStr">
        <is>
          <t>detached</t>
        </is>
      </c>
      <c r="C1131" s="4" t="inlineStr">
        <is>
          <t>Am Gerichtshaus</t>
        </is>
      </c>
      <c r="D1131" s="4" t="inlineStr">
        <is>
          <t>10</t>
        </is>
      </c>
      <c r="E1131" s="13" t="n">
        <v>132.2</v>
      </c>
      <c r="F1131" s="12" t="n">
        <v>0</v>
      </c>
      <c r="G1131" s="4" t="n">
        <v>0</v>
      </c>
      <c r="H1131" s="4">
        <f>IF(OR(N(F1131)&gt;=0.5,G1131&gt;=4),3,IF(OR(N(F1131)&gt;=0.3,G1131=3),2,IF(OR(N(F1131)&gt;=0.1,G1131&gt;=1),1,0)))</f>
        <v/>
      </c>
      <c r="I1131" s="4">
        <f>CHOOSE(H1131+1,"Kein Risiko","Gering","Mittel","Hoch")</f>
        <v/>
      </c>
    </row>
    <row r="1132">
      <c r="A1132" s="4" t="n">
        <v>1128</v>
      </c>
      <c r="B1132" s="4" t="inlineStr">
        <is>
          <t>detached</t>
        </is>
      </c>
      <c r="C1132" s="4" t="inlineStr">
        <is>
          <t>Am Gerichtshaus</t>
        </is>
      </c>
      <c r="D1132" s="4" t="inlineStr">
        <is>
          <t>4</t>
        </is>
      </c>
      <c r="E1132" s="13" t="n">
        <v>145</v>
      </c>
      <c r="F1132" s="12" t="n"/>
      <c r="G1132" s="4" t="n">
        <v>0</v>
      </c>
      <c r="H1132" s="4">
        <f>IF(OR(N(F1132)&gt;=0.5,G1132&gt;=4),3,IF(OR(N(F1132)&gt;=0.3,G1132=3),2,IF(OR(N(F1132)&gt;=0.1,G1132&gt;=1),1,0)))</f>
        <v/>
      </c>
      <c r="I1132" s="4">
        <f>CHOOSE(H1132+1,"Kein Risiko","Gering","Mittel","Hoch")</f>
        <v/>
      </c>
    </row>
    <row r="1133">
      <c r="A1133" s="4" t="n">
        <v>1129</v>
      </c>
      <c r="B1133" s="4" t="inlineStr">
        <is>
          <t>semidetached_house</t>
        </is>
      </c>
      <c r="C1133" s="4" t="inlineStr">
        <is>
          <t>Am Gerichtshaus</t>
        </is>
      </c>
      <c r="D1133" s="4" t="inlineStr">
        <is>
          <t>8</t>
        </is>
      </c>
      <c r="E1133" s="13" t="n">
        <v>84.5</v>
      </c>
      <c r="F1133" s="12" t="n"/>
      <c r="G1133" s="4" t="n">
        <v>0</v>
      </c>
      <c r="H1133" s="4">
        <f>IF(OR(N(F1133)&gt;=0.5,G1133&gt;=4),3,IF(OR(N(F1133)&gt;=0.3,G1133=3),2,IF(OR(N(F1133)&gt;=0.1,G1133&gt;=1),1,0)))</f>
        <v/>
      </c>
      <c r="I1133" s="4">
        <f>CHOOSE(H1133+1,"Kein Risiko","Gering","Mittel","Hoch")</f>
        <v/>
      </c>
    </row>
    <row r="1134">
      <c r="A1134" s="4" t="n">
        <v>1130</v>
      </c>
      <c r="B1134" s="4" t="inlineStr">
        <is>
          <t>detached</t>
        </is>
      </c>
      <c r="C1134" s="4" t="inlineStr">
        <is>
          <t>Am Gerichtshaus</t>
        </is>
      </c>
      <c r="D1134" s="4" t="inlineStr">
        <is>
          <t>16</t>
        </is>
      </c>
      <c r="E1134" s="13" t="n">
        <v>166.3</v>
      </c>
      <c r="F1134" s="12" t="n">
        <v>0</v>
      </c>
      <c r="G1134" s="4" t="n">
        <v>0</v>
      </c>
      <c r="H1134" s="4">
        <f>IF(OR(N(F1134)&gt;=0.5,G1134&gt;=4),3,IF(OR(N(F1134)&gt;=0.3,G1134=3),2,IF(OR(N(F1134)&gt;=0.1,G1134&gt;=1),1,0)))</f>
        <v/>
      </c>
      <c r="I1134" s="4">
        <f>CHOOSE(H1134+1,"Kein Risiko","Gering","Mittel","Hoch")</f>
        <v/>
      </c>
    </row>
    <row r="1135">
      <c r="A1135" s="4" t="n">
        <v>1131</v>
      </c>
      <c r="B1135" s="4" t="inlineStr">
        <is>
          <t>detached</t>
        </is>
      </c>
      <c r="C1135" s="4" t="inlineStr">
        <is>
          <t>Am Gerichtshaus</t>
        </is>
      </c>
      <c r="D1135" s="4" t="inlineStr">
        <is>
          <t>6</t>
        </is>
      </c>
      <c r="E1135" s="13" t="n">
        <v>163.2</v>
      </c>
      <c r="F1135" s="12" t="n"/>
      <c r="G1135" s="4" t="n">
        <v>0</v>
      </c>
      <c r="H1135" s="4">
        <f>IF(OR(N(F1135)&gt;=0.5,G1135&gt;=4),3,IF(OR(N(F1135)&gt;=0.3,G1135=3),2,IF(OR(N(F1135)&gt;=0.1,G1135&gt;=1),1,0)))</f>
        <v/>
      </c>
      <c r="I1135" s="4">
        <f>CHOOSE(H1135+1,"Kein Risiko","Gering","Mittel","Hoch")</f>
        <v/>
      </c>
    </row>
    <row r="1136">
      <c r="A1136" s="4" t="n">
        <v>1132</v>
      </c>
      <c r="B1136" s="4" t="inlineStr">
        <is>
          <t>detached</t>
        </is>
      </c>
      <c r="C1136" s="4" t="inlineStr">
        <is>
          <t>Am Gerichtshaus</t>
        </is>
      </c>
      <c r="D1136" s="4" t="inlineStr">
        <is>
          <t>21</t>
        </is>
      </c>
      <c r="E1136" s="13" t="n">
        <v>183.1</v>
      </c>
      <c r="F1136" s="12" t="n">
        <v>0.0500030517578125</v>
      </c>
      <c r="G1136" s="4" t="n">
        <v>0</v>
      </c>
      <c r="H1136" s="4">
        <f>IF(OR(N(F1136)&gt;=0.5,G1136&gt;=4),3,IF(OR(N(F1136)&gt;=0.3,G1136=3),2,IF(OR(N(F1136)&gt;=0.1,G1136&gt;=1),1,0)))</f>
        <v/>
      </c>
      <c r="I1136" s="4">
        <f>CHOOSE(H1136+1,"Kein Risiko","Gering","Mittel","Hoch")</f>
        <v/>
      </c>
    </row>
    <row r="1137">
      <c r="A1137" s="4" t="n">
        <v>1133</v>
      </c>
      <c r="B1137" s="4" t="inlineStr">
        <is>
          <t>yes</t>
        </is>
      </c>
      <c r="C1137" s="4" t="inlineStr">
        <is>
          <t>Niederweniger Straße</t>
        </is>
      </c>
      <c r="D1137" s="4" t="inlineStr">
        <is>
          <t>161</t>
        </is>
      </c>
      <c r="E1137" s="13" t="n">
        <v>123.4</v>
      </c>
      <c r="F1137" s="12" t="n">
        <v>0.0500030517578125</v>
      </c>
      <c r="G1137" s="4" t="n">
        <v>0</v>
      </c>
      <c r="H1137" s="4">
        <f>IF(OR(N(F1137)&gt;=0.5,G1137&gt;=4),3,IF(OR(N(F1137)&gt;=0.3,G1137=3),2,IF(OR(N(F1137)&gt;=0.1,G1137&gt;=1),1,0)))</f>
        <v/>
      </c>
      <c r="I1137" s="4">
        <f>CHOOSE(H1137+1,"Kein Risiko","Gering","Mittel","Hoch")</f>
        <v/>
      </c>
    </row>
    <row r="1138">
      <c r="A1138" s="4" t="n">
        <v>1134</v>
      </c>
      <c r="B1138" s="4" t="inlineStr">
        <is>
          <t>detached</t>
        </is>
      </c>
      <c r="C1138" s="4" t="inlineStr">
        <is>
          <t>Lothumweg</t>
        </is>
      </c>
      <c r="D1138" s="4" t="inlineStr">
        <is>
          <t>4</t>
        </is>
      </c>
      <c r="E1138" s="13" t="n">
        <v>140.4</v>
      </c>
      <c r="F1138" s="12" t="n">
        <v>0</v>
      </c>
      <c r="G1138" s="4" t="n">
        <v>0</v>
      </c>
      <c r="H1138" s="4">
        <f>IF(OR(N(F1138)&gt;=0.5,G1138&gt;=4),3,IF(OR(N(F1138)&gt;=0.3,G1138=3),2,IF(OR(N(F1138)&gt;=0.1,G1138&gt;=1),1,0)))</f>
        <v/>
      </c>
      <c r="I1138" s="4">
        <f>CHOOSE(H1138+1,"Kein Risiko","Gering","Mittel","Hoch")</f>
        <v/>
      </c>
    </row>
    <row r="1139">
      <c r="A1139" s="4" t="n">
        <v>1135</v>
      </c>
      <c r="B1139" s="4" t="inlineStr">
        <is>
          <t>yes</t>
        </is>
      </c>
      <c r="C1139" s="4" t="inlineStr">
        <is>
          <t>Am Gerichtshaus</t>
        </is>
      </c>
      <c r="D1139" s="4" t="inlineStr">
        <is>
          <t>20</t>
        </is>
      </c>
      <c r="E1139" s="13" t="n">
        <v>229.7</v>
      </c>
      <c r="F1139" s="12" t="n">
        <v>0.5399932861328125</v>
      </c>
      <c r="G1139" s="4" t="n">
        <v>0</v>
      </c>
      <c r="H1139" s="4">
        <f>IF(OR(N(F1139)&gt;=0.5,G1139&gt;=4),3,IF(OR(N(F1139)&gt;=0.3,G1139=3),2,IF(OR(N(F1139)&gt;=0.1,G1139&gt;=1),1,0)))</f>
        <v/>
      </c>
      <c r="I1139" s="4">
        <f>CHOOSE(H1139+1,"Kein Risiko","Gering","Mittel","Hoch")</f>
        <v/>
      </c>
    </row>
    <row r="1140">
      <c r="A1140" s="4" t="n">
        <v>1136</v>
      </c>
      <c r="B1140" s="4" t="inlineStr">
        <is>
          <t>semidetached_house</t>
        </is>
      </c>
      <c r="C1140" s="4" t="inlineStr">
        <is>
          <t>Niederweniger Straße</t>
        </is>
      </c>
      <c r="D1140" s="4" t="inlineStr">
        <is>
          <t>157</t>
        </is>
      </c>
      <c r="E1140" s="13" t="n">
        <v>79.09999999999999</v>
      </c>
      <c r="F1140" s="12" t="n">
        <v>0</v>
      </c>
      <c r="G1140" s="4" t="n">
        <v>0</v>
      </c>
      <c r="H1140" s="4">
        <f>IF(OR(N(F1140)&gt;=0.5,G1140&gt;=4),3,IF(OR(N(F1140)&gt;=0.3,G1140=3),2,IF(OR(N(F1140)&gt;=0.1,G1140&gt;=1),1,0)))</f>
        <v/>
      </c>
      <c r="I1140" s="4">
        <f>CHOOSE(H1140+1,"Kein Risiko","Gering","Mittel","Hoch")</f>
        <v/>
      </c>
    </row>
    <row r="1141">
      <c r="A1141" s="4" t="n">
        <v>1137</v>
      </c>
      <c r="B1141" s="4" t="inlineStr">
        <is>
          <t>detached</t>
        </is>
      </c>
      <c r="C1141" s="4" t="inlineStr">
        <is>
          <t>Am Gerichtshaus</t>
        </is>
      </c>
      <c r="D1141" s="4" t="inlineStr">
        <is>
          <t>12</t>
        </is>
      </c>
      <c r="E1141" s="13" t="n">
        <v>124.3</v>
      </c>
      <c r="F1141" s="12" t="n">
        <v>0</v>
      </c>
      <c r="G1141" s="4" t="n">
        <v>0</v>
      </c>
      <c r="H1141" s="4">
        <f>IF(OR(N(F1141)&gt;=0.5,G1141&gt;=4),3,IF(OR(N(F1141)&gt;=0.3,G1141=3),2,IF(OR(N(F1141)&gt;=0.1,G1141&gt;=1),1,0)))</f>
        <v/>
      </c>
      <c r="I1141" s="4">
        <f>CHOOSE(H1141+1,"Kein Risiko","Gering","Mittel","Hoch")</f>
        <v/>
      </c>
    </row>
    <row r="1142">
      <c r="A1142" s="4" t="n">
        <v>1138</v>
      </c>
      <c r="B1142" s="4" t="inlineStr">
        <is>
          <t>detached</t>
        </is>
      </c>
      <c r="C1142" s="4" t="inlineStr">
        <is>
          <t>Am Gerichtshaus</t>
        </is>
      </c>
      <c r="D1142" s="4" t="inlineStr">
        <is>
          <t>14</t>
        </is>
      </c>
      <c r="E1142" s="13" t="n">
        <v>109.5</v>
      </c>
      <c r="F1142" s="12" t="n">
        <v>0</v>
      </c>
      <c r="G1142" s="4" t="n">
        <v>0</v>
      </c>
      <c r="H1142" s="4">
        <f>IF(OR(N(F1142)&gt;=0.5,G1142&gt;=4),3,IF(OR(N(F1142)&gt;=0.3,G1142=3),2,IF(OR(N(F1142)&gt;=0.1,G1142&gt;=1),1,0)))</f>
        <v/>
      </c>
      <c r="I1142" s="4">
        <f>CHOOSE(H1142+1,"Kein Risiko","Gering","Mittel","Hoch")</f>
        <v/>
      </c>
    </row>
    <row r="1143">
      <c r="A1143" s="4" t="n">
        <v>1139</v>
      </c>
      <c r="B1143" s="4" t="inlineStr">
        <is>
          <t>detached</t>
        </is>
      </c>
      <c r="C1143" s="4" t="inlineStr">
        <is>
          <t>Niederweniger Straße</t>
        </is>
      </c>
      <c r="D1143" s="4" t="inlineStr">
        <is>
          <t>165</t>
        </is>
      </c>
      <c r="E1143" s="13" t="n">
        <v>151.4</v>
      </c>
      <c r="F1143" s="12" t="n">
        <v>0</v>
      </c>
      <c r="G1143" s="4" t="n">
        <v>0</v>
      </c>
      <c r="H1143" s="4">
        <f>IF(OR(N(F1143)&gt;=0.5,G1143&gt;=4),3,IF(OR(N(F1143)&gt;=0.3,G1143=3),2,IF(OR(N(F1143)&gt;=0.1,G1143&gt;=1),1,0)))</f>
        <v/>
      </c>
      <c r="I1143" s="4">
        <f>CHOOSE(H1143+1,"Kein Risiko","Gering","Mittel","Hoch")</f>
        <v/>
      </c>
    </row>
    <row r="1144">
      <c r="A1144" s="4" t="n">
        <v>1140</v>
      </c>
      <c r="B1144" s="4" t="inlineStr">
        <is>
          <t>detached</t>
        </is>
      </c>
      <c r="C1144" s="4" t="inlineStr">
        <is>
          <t>Am Gerichtshaus</t>
        </is>
      </c>
      <c r="D1144" s="4" t="inlineStr">
        <is>
          <t>5</t>
        </is>
      </c>
      <c r="E1144" s="13" t="n">
        <v>207.6</v>
      </c>
      <c r="F1144" s="12" t="n">
        <v>0.05999755859375</v>
      </c>
      <c r="G1144" s="4" t="n">
        <v>0</v>
      </c>
      <c r="H1144" s="4">
        <f>IF(OR(N(F1144)&gt;=0.5,G1144&gt;=4),3,IF(OR(N(F1144)&gt;=0.3,G1144=3),2,IF(OR(N(F1144)&gt;=0.1,G1144&gt;=1),1,0)))</f>
        <v/>
      </c>
      <c r="I1144" s="4">
        <f>CHOOSE(H1144+1,"Kein Risiko","Gering","Mittel","Hoch")</f>
        <v/>
      </c>
    </row>
    <row r="1145">
      <c r="A1145" s="4" t="n">
        <v>1141</v>
      </c>
      <c r="B1145" s="4" t="inlineStr">
        <is>
          <t>detached</t>
        </is>
      </c>
      <c r="C1145" s="4" t="inlineStr">
        <is>
          <t>Am Gerichtshaus</t>
        </is>
      </c>
      <c r="D1145" s="4" t="inlineStr">
        <is>
          <t>18</t>
        </is>
      </c>
      <c r="E1145" s="13" t="n">
        <v>142.9</v>
      </c>
      <c r="F1145" s="12" t="n">
        <v>0.0099945068359375</v>
      </c>
      <c r="G1145" s="4" t="n">
        <v>0</v>
      </c>
      <c r="H1145" s="4">
        <f>IF(OR(N(F1145)&gt;=0.5,G1145&gt;=4),3,IF(OR(N(F1145)&gt;=0.3,G1145=3),2,IF(OR(N(F1145)&gt;=0.1,G1145&gt;=1),1,0)))</f>
        <v/>
      </c>
      <c r="I1145" s="4">
        <f>CHOOSE(H1145+1,"Kein Risiko","Gering","Mittel","Hoch")</f>
        <v/>
      </c>
    </row>
    <row r="1146">
      <c r="A1146" s="4" t="n">
        <v>1142</v>
      </c>
      <c r="B1146" s="4" t="inlineStr">
        <is>
          <t>detached</t>
        </is>
      </c>
      <c r="C1146" s="4" t="inlineStr">
        <is>
          <t>Am Gerichtshaus</t>
        </is>
      </c>
      <c r="D1146" s="4" t="inlineStr">
        <is>
          <t>3</t>
        </is>
      </c>
      <c r="E1146" s="13" t="n">
        <v>141.7</v>
      </c>
      <c r="F1146" s="12" t="n">
        <v>0</v>
      </c>
      <c r="G1146" s="4" t="n">
        <v>0</v>
      </c>
      <c r="H1146" s="4">
        <f>IF(OR(N(F1146)&gt;=0.5,G1146&gt;=4),3,IF(OR(N(F1146)&gt;=0.3,G1146=3),2,IF(OR(N(F1146)&gt;=0.1,G1146&gt;=1),1,0)))</f>
        <v/>
      </c>
      <c r="I1146" s="4">
        <f>CHOOSE(H1146+1,"Kein Risiko","Gering","Mittel","Hoch")</f>
        <v/>
      </c>
    </row>
    <row r="1147">
      <c r="A1147" s="4" t="n">
        <v>1143</v>
      </c>
      <c r="B1147" s="4" t="inlineStr">
        <is>
          <t>detached</t>
        </is>
      </c>
      <c r="C1147" s="4" t="inlineStr">
        <is>
          <t>Lothumweg</t>
        </is>
      </c>
      <c r="D1147" s="4" t="inlineStr">
        <is>
          <t>2</t>
        </is>
      </c>
      <c r="E1147" s="13" t="n">
        <v>136.5</v>
      </c>
      <c r="F1147" s="12" t="n">
        <v>0</v>
      </c>
      <c r="G1147" s="4" t="n">
        <v>0</v>
      </c>
      <c r="H1147" s="4">
        <f>IF(OR(N(F1147)&gt;=0.5,G1147&gt;=4),3,IF(OR(N(F1147)&gt;=0.3,G1147=3),2,IF(OR(N(F1147)&gt;=0.1,G1147&gt;=1),1,0)))</f>
        <v/>
      </c>
      <c r="I1147" s="4">
        <f>CHOOSE(H1147+1,"Kein Risiko","Gering","Mittel","Hoch")</f>
        <v/>
      </c>
    </row>
    <row r="1148">
      <c r="A1148" s="4" t="n">
        <v>1144</v>
      </c>
      <c r="B1148" s="4" t="inlineStr">
        <is>
          <t>detached</t>
        </is>
      </c>
      <c r="C1148" s="4" t="inlineStr">
        <is>
          <t>Lothumweg</t>
        </is>
      </c>
      <c r="D1148" s="4" t="inlineStr">
        <is>
          <t>6</t>
        </is>
      </c>
      <c r="E1148" s="13" t="n">
        <v>166</v>
      </c>
      <c r="F1148" s="12" t="n">
        <v>0</v>
      </c>
      <c r="G1148" s="4" t="n">
        <v>0</v>
      </c>
      <c r="H1148" s="4">
        <f>IF(OR(N(F1148)&gt;=0.5,G1148&gt;=4),3,IF(OR(N(F1148)&gt;=0.3,G1148=3),2,IF(OR(N(F1148)&gt;=0.1,G1148&gt;=1),1,0)))</f>
        <v/>
      </c>
      <c r="I1148" s="4">
        <f>CHOOSE(H1148+1,"Kein Risiko","Gering","Mittel","Hoch")</f>
        <v/>
      </c>
    </row>
    <row r="1149">
      <c r="A1149" s="4" t="n">
        <v>1145</v>
      </c>
      <c r="B1149" s="4" t="inlineStr">
        <is>
          <t>detached</t>
        </is>
      </c>
      <c r="C1149" s="4" t="inlineStr">
        <is>
          <t>Lothumweg</t>
        </is>
      </c>
      <c r="D1149" s="4" t="inlineStr">
        <is>
          <t>8</t>
        </is>
      </c>
      <c r="E1149" s="13" t="n">
        <v>123.1</v>
      </c>
      <c r="F1149" s="12" t="n">
        <v>0.010009765625</v>
      </c>
      <c r="G1149" s="4" t="n">
        <v>0</v>
      </c>
      <c r="H1149" s="4">
        <f>IF(OR(N(F1149)&gt;=0.5,G1149&gt;=4),3,IF(OR(N(F1149)&gt;=0.3,G1149=3),2,IF(OR(N(F1149)&gt;=0.1,G1149&gt;=1),1,0)))</f>
        <v/>
      </c>
      <c r="I1149" s="4">
        <f>CHOOSE(H1149+1,"Kein Risiko","Gering","Mittel","Hoch")</f>
        <v/>
      </c>
    </row>
    <row r="1150">
      <c r="A1150" s="4" t="n">
        <v>1146</v>
      </c>
      <c r="B1150" s="4" t="inlineStr">
        <is>
          <t>detached</t>
        </is>
      </c>
      <c r="C1150" s="4" t="inlineStr">
        <is>
          <t>Drimbornweg</t>
        </is>
      </c>
      <c r="D1150" s="4" t="inlineStr">
        <is>
          <t>2</t>
        </is>
      </c>
      <c r="E1150" s="13" t="n">
        <v>200.7</v>
      </c>
      <c r="F1150" s="12" t="n">
        <v>0.1699981689453125</v>
      </c>
      <c r="G1150" s="4" t="n">
        <v>1</v>
      </c>
      <c r="H1150" s="4">
        <f>IF(OR(N(F1150)&gt;=0.5,G1150&gt;=4),3,IF(OR(N(F1150)&gt;=0.3,G1150=3),2,IF(OR(N(F1150)&gt;=0.1,G1150&gt;=1),1,0)))</f>
        <v/>
      </c>
      <c r="I1150" s="4">
        <f>CHOOSE(H1150+1,"Kein Risiko","Gering","Mittel","Hoch")</f>
        <v/>
      </c>
    </row>
    <row r="1151">
      <c r="A1151" s="4" t="n">
        <v>1147</v>
      </c>
      <c r="B1151" s="4" t="inlineStr">
        <is>
          <t>yes</t>
        </is>
      </c>
      <c r="C1151" s="4" t="inlineStr">
        <is>
          <t>Am Gerichtshaus</t>
        </is>
      </c>
      <c r="D1151" s="4" t="inlineStr">
        <is>
          <t>41a</t>
        </is>
      </c>
      <c r="E1151" s="13" t="n">
        <v>57.3</v>
      </c>
      <c r="F1151" s="12" t="n">
        <v>0.0500030517578125</v>
      </c>
      <c r="G1151" s="4" t="n">
        <v>2</v>
      </c>
      <c r="H1151" s="4">
        <f>IF(OR(N(F1151)&gt;=0.5,G1151&gt;=4),3,IF(OR(N(F1151)&gt;=0.3,G1151=3),2,IF(OR(N(F1151)&gt;=0.1,G1151&gt;=1),1,0)))</f>
        <v/>
      </c>
      <c r="I1151" s="4">
        <f>CHOOSE(H1151+1,"Kein Risiko","Gering","Mittel","Hoch")</f>
        <v/>
      </c>
    </row>
    <row r="1152">
      <c r="A1152" s="4" t="n">
        <v>1148</v>
      </c>
      <c r="B1152" s="4" t="inlineStr">
        <is>
          <t>yes</t>
        </is>
      </c>
      <c r="C1152" s="4" t="inlineStr">
        <is>
          <t>Am Gerichtshaus</t>
        </is>
      </c>
      <c r="D1152" s="4" t="inlineStr">
        <is>
          <t>38</t>
        </is>
      </c>
      <c r="E1152" s="13" t="n">
        <v>151.9</v>
      </c>
      <c r="F1152" s="12" t="n">
        <v>0.209991455078125</v>
      </c>
      <c r="G1152" s="4" t="n">
        <v>0</v>
      </c>
      <c r="H1152" s="4">
        <f>IF(OR(N(F1152)&gt;=0.5,G1152&gt;=4),3,IF(OR(N(F1152)&gt;=0.3,G1152=3),2,IF(OR(N(F1152)&gt;=0.1,G1152&gt;=1),1,0)))</f>
        <v/>
      </c>
      <c r="I1152" s="4">
        <f>CHOOSE(H1152+1,"Kein Risiko","Gering","Mittel","Hoch")</f>
        <v/>
      </c>
    </row>
    <row r="1153">
      <c r="A1153" s="4" t="n">
        <v>1149</v>
      </c>
      <c r="B1153" s="4" t="inlineStr">
        <is>
          <t>apartments</t>
        </is>
      </c>
      <c r="C1153" s="4" t="inlineStr"/>
      <c r="D1153" s="4" t="inlineStr"/>
      <c r="E1153" s="13" t="n">
        <v>88.5</v>
      </c>
      <c r="F1153" s="12" t="n">
        <v>0</v>
      </c>
      <c r="G1153" s="4" t="n">
        <v>0</v>
      </c>
      <c r="H1153" s="4">
        <f>IF(OR(N(F1153)&gt;=0.5,G1153&gt;=4),3,IF(OR(N(F1153)&gt;=0.3,G1153=3),2,IF(OR(N(F1153)&gt;=0.1,G1153&gt;=1),1,0)))</f>
        <v/>
      </c>
      <c r="I1153" s="4">
        <f>CHOOSE(H1153+1,"Kein Risiko","Gering","Mittel","Hoch")</f>
        <v/>
      </c>
    </row>
    <row r="1154">
      <c r="A1154" s="4" t="n">
        <v>1150</v>
      </c>
      <c r="B1154" s="4" t="inlineStr">
        <is>
          <t>yes</t>
        </is>
      </c>
      <c r="C1154" s="4" t="inlineStr">
        <is>
          <t>Am Gerichtshaus</t>
        </is>
      </c>
      <c r="D1154" s="4" t="inlineStr">
        <is>
          <t>36</t>
        </is>
      </c>
      <c r="E1154" s="13" t="n">
        <v>114.2</v>
      </c>
      <c r="F1154" s="12" t="n">
        <v>0.0099945068359375</v>
      </c>
      <c r="G1154" s="4" t="n">
        <v>0</v>
      </c>
      <c r="H1154" s="4">
        <f>IF(OR(N(F1154)&gt;=0.5,G1154&gt;=4),3,IF(OR(N(F1154)&gt;=0.3,G1154=3),2,IF(OR(N(F1154)&gt;=0.1,G1154&gt;=1),1,0)))</f>
        <v/>
      </c>
      <c r="I1154" s="4">
        <f>CHOOSE(H1154+1,"Kein Risiko","Gering","Mittel","Hoch")</f>
        <v/>
      </c>
    </row>
    <row r="1155">
      <c r="A1155" s="4" t="n">
        <v>1151</v>
      </c>
      <c r="B1155" s="4" t="inlineStr">
        <is>
          <t>yes</t>
        </is>
      </c>
      <c r="C1155" s="4" t="inlineStr">
        <is>
          <t>Am Gerichtshaus</t>
        </is>
      </c>
      <c r="D1155" s="4" t="inlineStr">
        <is>
          <t>85</t>
        </is>
      </c>
      <c r="E1155" s="13" t="n">
        <v>111.3</v>
      </c>
      <c r="F1155" s="12" t="n">
        <v>0.029998779296875</v>
      </c>
      <c r="G1155" s="4" t="n">
        <v>0</v>
      </c>
      <c r="H1155" s="4">
        <f>IF(OR(N(F1155)&gt;=0.5,G1155&gt;=4),3,IF(OR(N(F1155)&gt;=0.3,G1155=3),2,IF(OR(N(F1155)&gt;=0.1,G1155&gt;=1),1,0)))</f>
        <v/>
      </c>
      <c r="I1155" s="4">
        <f>CHOOSE(H1155+1,"Kein Risiko","Gering","Mittel","Hoch")</f>
        <v/>
      </c>
    </row>
    <row r="1156">
      <c r="A1156" s="4" t="n">
        <v>1152</v>
      </c>
      <c r="B1156" s="4" t="inlineStr">
        <is>
          <t>house</t>
        </is>
      </c>
      <c r="C1156" s="4" t="inlineStr">
        <is>
          <t>Am Gerichtshaus</t>
        </is>
      </c>
      <c r="D1156" s="4" t="inlineStr">
        <is>
          <t>44</t>
        </is>
      </c>
      <c r="E1156" s="13" t="n">
        <v>72.90000000000001</v>
      </c>
      <c r="F1156" s="12" t="n">
        <v>0</v>
      </c>
      <c r="G1156" s="4" t="n">
        <v>0</v>
      </c>
      <c r="H1156" s="4">
        <f>IF(OR(N(F1156)&gt;=0.5,G1156&gt;=4),3,IF(OR(N(F1156)&gt;=0.3,G1156=3),2,IF(OR(N(F1156)&gt;=0.1,G1156&gt;=1),1,0)))</f>
        <v/>
      </c>
      <c r="I1156" s="4">
        <f>CHOOSE(H1156+1,"Kein Risiko","Gering","Mittel","Hoch")</f>
        <v/>
      </c>
    </row>
    <row r="1157">
      <c r="A1157" s="4" t="n">
        <v>1153</v>
      </c>
      <c r="B1157" s="4" t="inlineStr">
        <is>
          <t>house</t>
        </is>
      </c>
      <c r="C1157" s="4" t="inlineStr">
        <is>
          <t>Scharpenhang</t>
        </is>
      </c>
      <c r="D1157" s="4" t="inlineStr">
        <is>
          <t>74</t>
        </is>
      </c>
      <c r="E1157" s="13" t="n">
        <v>105.8</v>
      </c>
      <c r="F1157" s="12" t="n">
        <v>0.25</v>
      </c>
      <c r="G1157" s="4" t="n">
        <v>1</v>
      </c>
      <c r="H1157" s="4">
        <f>IF(OR(N(F1157)&gt;=0.5,G1157&gt;=4),3,IF(OR(N(F1157)&gt;=0.3,G1157=3),2,IF(OR(N(F1157)&gt;=0.1,G1157&gt;=1),1,0)))</f>
        <v/>
      </c>
      <c r="I1157" s="4">
        <f>CHOOSE(H1157+1,"Kein Risiko","Gering","Mittel","Hoch")</f>
        <v/>
      </c>
    </row>
    <row r="1158">
      <c r="A1158" s="4" t="n">
        <v>1154</v>
      </c>
      <c r="B1158" s="4" t="inlineStr">
        <is>
          <t>house</t>
        </is>
      </c>
      <c r="C1158" s="4" t="inlineStr">
        <is>
          <t>Am Gerichtshaus</t>
        </is>
      </c>
      <c r="D1158" s="4" t="inlineStr">
        <is>
          <t>52</t>
        </is>
      </c>
      <c r="E1158" s="13" t="n">
        <v>74.09999999999999</v>
      </c>
      <c r="F1158" s="12" t="n">
        <v>0</v>
      </c>
      <c r="G1158" s="4" t="n">
        <v>1</v>
      </c>
      <c r="H1158" s="4">
        <f>IF(OR(N(F1158)&gt;=0.5,G1158&gt;=4),3,IF(OR(N(F1158)&gt;=0.3,G1158=3),2,IF(OR(N(F1158)&gt;=0.1,G1158&gt;=1),1,0)))</f>
        <v/>
      </c>
      <c r="I1158" s="4">
        <f>CHOOSE(H1158+1,"Kein Risiko","Gering","Mittel","Hoch")</f>
        <v/>
      </c>
    </row>
    <row r="1159">
      <c r="A1159" s="4" t="n">
        <v>1155</v>
      </c>
      <c r="B1159" s="4" t="inlineStr">
        <is>
          <t>house</t>
        </is>
      </c>
      <c r="C1159" s="4" t="inlineStr">
        <is>
          <t>Am Gerichtshaus</t>
        </is>
      </c>
      <c r="D1159" s="4" t="inlineStr">
        <is>
          <t>61</t>
        </is>
      </c>
      <c r="E1159" s="13" t="n">
        <v>102.8</v>
      </c>
      <c r="F1159" s="12" t="n">
        <v>0</v>
      </c>
      <c r="G1159" s="4" t="n">
        <v>1</v>
      </c>
      <c r="H1159" s="4">
        <f>IF(OR(N(F1159)&gt;=0.5,G1159&gt;=4),3,IF(OR(N(F1159)&gt;=0.3,G1159=3),2,IF(OR(N(F1159)&gt;=0.1,G1159&gt;=1),1,0)))</f>
        <v/>
      </c>
      <c r="I1159" s="4">
        <f>CHOOSE(H1159+1,"Kein Risiko","Gering","Mittel","Hoch")</f>
        <v/>
      </c>
    </row>
    <row r="1160">
      <c r="A1160" s="4" t="n">
        <v>1156</v>
      </c>
      <c r="B1160" s="4" t="inlineStr">
        <is>
          <t>yes</t>
        </is>
      </c>
      <c r="C1160" s="4" t="inlineStr">
        <is>
          <t>Am Gerichtshaus</t>
        </is>
      </c>
      <c r="D1160" s="4" t="inlineStr">
        <is>
          <t>83</t>
        </is>
      </c>
      <c r="E1160" s="13" t="n">
        <v>141.4</v>
      </c>
      <c r="F1160" s="12" t="n">
        <v>0.0099945068359375</v>
      </c>
      <c r="G1160" s="4" t="n">
        <v>0</v>
      </c>
      <c r="H1160" s="4">
        <f>IF(OR(N(F1160)&gt;=0.5,G1160&gt;=4),3,IF(OR(N(F1160)&gt;=0.3,G1160=3),2,IF(OR(N(F1160)&gt;=0.1,G1160&gt;=1),1,0)))</f>
        <v/>
      </c>
      <c r="I1160" s="4">
        <f>CHOOSE(H1160+1,"Kein Risiko","Gering","Mittel","Hoch")</f>
        <v/>
      </c>
    </row>
    <row r="1161">
      <c r="A1161" s="4" t="n">
        <v>1157</v>
      </c>
      <c r="B1161" s="4" t="inlineStr">
        <is>
          <t>house</t>
        </is>
      </c>
      <c r="C1161" s="4" t="inlineStr">
        <is>
          <t>Am Gerichtshaus</t>
        </is>
      </c>
      <c r="D1161" s="4" t="inlineStr">
        <is>
          <t>40</t>
        </is>
      </c>
      <c r="E1161" s="13" t="n">
        <v>71.59999999999999</v>
      </c>
      <c r="F1161" s="12" t="n">
        <v>0</v>
      </c>
      <c r="G1161" s="4" t="n">
        <v>0</v>
      </c>
      <c r="H1161" s="4">
        <f>IF(OR(N(F1161)&gt;=0.5,G1161&gt;=4),3,IF(OR(N(F1161)&gt;=0.3,G1161=3),2,IF(OR(N(F1161)&gt;=0.1,G1161&gt;=1),1,0)))</f>
        <v/>
      </c>
      <c r="I1161" s="4">
        <f>CHOOSE(H1161+1,"Kein Risiko","Gering","Mittel","Hoch")</f>
        <v/>
      </c>
    </row>
    <row r="1162">
      <c r="A1162" s="4" t="n">
        <v>1158</v>
      </c>
      <c r="B1162" s="4" t="inlineStr">
        <is>
          <t>house</t>
        </is>
      </c>
      <c r="C1162" s="4" t="inlineStr">
        <is>
          <t>Am Gerichtshaus</t>
        </is>
      </c>
      <c r="D1162" s="4" t="inlineStr">
        <is>
          <t>48</t>
        </is>
      </c>
      <c r="E1162" s="13" t="n">
        <v>72.5</v>
      </c>
      <c r="F1162" s="12" t="n">
        <v>0</v>
      </c>
      <c r="G1162" s="4" t="n">
        <v>1</v>
      </c>
      <c r="H1162" s="4">
        <f>IF(OR(N(F1162)&gt;=0.5,G1162&gt;=4),3,IF(OR(N(F1162)&gt;=0.3,G1162=3),2,IF(OR(N(F1162)&gt;=0.1,G1162&gt;=1),1,0)))</f>
        <v/>
      </c>
      <c r="I1162" s="4">
        <f>CHOOSE(H1162+1,"Kein Risiko","Gering","Mittel","Hoch")</f>
        <v/>
      </c>
    </row>
    <row r="1163">
      <c r="A1163" s="4" t="n">
        <v>1159</v>
      </c>
      <c r="B1163" s="4" t="inlineStr">
        <is>
          <t>apartments</t>
        </is>
      </c>
      <c r="C1163" s="4" t="inlineStr">
        <is>
          <t>Am Gerichtshaus</t>
        </is>
      </c>
      <c r="D1163" s="4" t="inlineStr">
        <is>
          <t>69</t>
        </is>
      </c>
      <c r="E1163" s="13" t="n">
        <v>243.2</v>
      </c>
      <c r="F1163" s="12" t="n">
        <v>0</v>
      </c>
      <c r="G1163" s="4" t="n">
        <v>0</v>
      </c>
      <c r="H1163" s="4">
        <f>IF(OR(N(F1163)&gt;=0.5,G1163&gt;=4),3,IF(OR(N(F1163)&gt;=0.3,G1163=3),2,IF(OR(N(F1163)&gt;=0.1,G1163&gt;=1),1,0)))</f>
        <v/>
      </c>
      <c r="I1163" s="4">
        <f>CHOOSE(H1163+1,"Kein Risiko","Gering","Mittel","Hoch")</f>
        <v/>
      </c>
    </row>
    <row r="1164">
      <c r="A1164" s="4" t="n">
        <v>1160</v>
      </c>
      <c r="B1164" s="4" t="inlineStr">
        <is>
          <t>house</t>
        </is>
      </c>
      <c r="C1164" s="4" t="inlineStr">
        <is>
          <t>Am Gerichtshaus</t>
        </is>
      </c>
      <c r="D1164" s="4" t="inlineStr">
        <is>
          <t>89</t>
        </is>
      </c>
      <c r="E1164" s="13" t="n">
        <v>68.7</v>
      </c>
      <c r="F1164" s="12" t="n">
        <v>0.0200042724609375</v>
      </c>
      <c r="G1164" s="4" t="n">
        <v>0</v>
      </c>
      <c r="H1164" s="4">
        <f>IF(OR(N(F1164)&gt;=0.5,G1164&gt;=4),3,IF(OR(N(F1164)&gt;=0.3,G1164=3),2,IF(OR(N(F1164)&gt;=0.1,G1164&gt;=1),1,0)))</f>
        <v/>
      </c>
      <c r="I1164" s="4">
        <f>CHOOSE(H1164+1,"Kein Risiko","Gering","Mittel","Hoch")</f>
        <v/>
      </c>
    </row>
    <row r="1165">
      <c r="A1165" s="4" t="n">
        <v>1161</v>
      </c>
      <c r="B1165" s="4" t="inlineStr">
        <is>
          <t>house</t>
        </is>
      </c>
      <c r="C1165" s="4" t="inlineStr">
        <is>
          <t>Am Gerichtshaus</t>
        </is>
      </c>
      <c r="D1165" s="4" t="inlineStr">
        <is>
          <t>101</t>
        </is>
      </c>
      <c r="E1165" s="13" t="n">
        <v>69.90000000000001</v>
      </c>
      <c r="F1165" s="12" t="n">
        <v>0</v>
      </c>
      <c r="G1165" s="4" t="n">
        <v>0</v>
      </c>
      <c r="H1165" s="4">
        <f>IF(OR(N(F1165)&gt;=0.5,G1165&gt;=4),3,IF(OR(N(F1165)&gt;=0.3,G1165=3),2,IF(OR(N(F1165)&gt;=0.1,G1165&gt;=1),1,0)))</f>
        <v/>
      </c>
      <c r="I1165" s="4">
        <f>CHOOSE(H1165+1,"Kein Risiko","Gering","Mittel","Hoch")</f>
        <v/>
      </c>
    </row>
    <row r="1166">
      <c r="A1166" s="4" t="n">
        <v>1162</v>
      </c>
      <c r="B1166" s="4" t="inlineStr">
        <is>
          <t>house</t>
        </is>
      </c>
      <c r="C1166" s="4" t="inlineStr">
        <is>
          <t>Am Gerichtshaus</t>
        </is>
      </c>
      <c r="D1166" s="4" t="inlineStr">
        <is>
          <t>93</t>
        </is>
      </c>
      <c r="E1166" s="13" t="n">
        <v>73.5</v>
      </c>
      <c r="F1166" s="12" t="n">
        <v>0</v>
      </c>
      <c r="G1166" s="4" t="n">
        <v>0</v>
      </c>
      <c r="H1166" s="4">
        <f>IF(OR(N(F1166)&gt;=0.5,G1166&gt;=4),3,IF(OR(N(F1166)&gt;=0.3,G1166=3),2,IF(OR(N(F1166)&gt;=0.1,G1166&gt;=1),1,0)))</f>
        <v/>
      </c>
      <c r="I1166" s="4">
        <f>CHOOSE(H1166+1,"Kein Risiko","Gering","Mittel","Hoch")</f>
        <v/>
      </c>
    </row>
    <row r="1167">
      <c r="A1167" s="4" t="n">
        <v>1163</v>
      </c>
      <c r="B1167" s="4" t="inlineStr">
        <is>
          <t>garages</t>
        </is>
      </c>
      <c r="C1167" s="4" t="inlineStr"/>
      <c r="D1167" s="4" t="inlineStr"/>
      <c r="E1167" s="13" t="n">
        <v>109.6</v>
      </c>
      <c r="F1167" s="12" t="n">
        <v>0</v>
      </c>
      <c r="G1167" s="4" t="n">
        <v>0</v>
      </c>
      <c r="H1167" s="4">
        <f>IF(OR(N(F1167)&gt;=0.5,G1167&gt;=4),3,IF(OR(N(F1167)&gt;=0.3,G1167=3),2,IF(OR(N(F1167)&gt;=0.1,G1167&gt;=1),1,0)))</f>
        <v/>
      </c>
      <c r="I1167" s="4">
        <f>CHOOSE(H1167+1,"Kein Risiko","Gering","Mittel","Hoch")</f>
        <v/>
      </c>
    </row>
    <row r="1168">
      <c r="A1168" s="4" t="n">
        <v>1164</v>
      </c>
      <c r="B1168" s="4" t="inlineStr">
        <is>
          <t>house</t>
        </is>
      </c>
      <c r="C1168" s="4" t="inlineStr">
        <is>
          <t>Am Gerichtshaus</t>
        </is>
      </c>
      <c r="D1168" s="4" t="inlineStr">
        <is>
          <t>97</t>
        </is>
      </c>
      <c r="E1168" s="13" t="n">
        <v>89.90000000000001</v>
      </c>
      <c r="F1168" s="12" t="n">
        <v>0.0200042724609375</v>
      </c>
      <c r="G1168" s="4" t="n">
        <v>0</v>
      </c>
      <c r="H1168" s="4">
        <f>IF(OR(N(F1168)&gt;=0.5,G1168&gt;=4),3,IF(OR(N(F1168)&gt;=0.3,G1168=3),2,IF(OR(N(F1168)&gt;=0.1,G1168&gt;=1),1,0)))</f>
        <v/>
      </c>
      <c r="I1168" s="4">
        <f>CHOOSE(H1168+1,"Kein Risiko","Gering","Mittel","Hoch")</f>
        <v/>
      </c>
    </row>
    <row r="1169">
      <c r="A1169" s="4" t="n">
        <v>1165</v>
      </c>
      <c r="B1169" s="4" t="inlineStr">
        <is>
          <t>yes</t>
        </is>
      </c>
      <c r="C1169" s="4" t="inlineStr">
        <is>
          <t>Hirtental</t>
        </is>
      </c>
      <c r="D1169" s="4" t="inlineStr">
        <is>
          <t>35</t>
        </is>
      </c>
      <c r="E1169" s="13" t="n">
        <v>144.7</v>
      </c>
      <c r="F1169" s="12" t="n"/>
      <c r="G1169" s="4" t="n">
        <v>0</v>
      </c>
      <c r="H1169" s="4">
        <f>IF(OR(N(F1169)&gt;=0.5,G1169&gt;=4),3,IF(OR(N(F1169)&gt;=0.3,G1169=3),2,IF(OR(N(F1169)&gt;=0.1,G1169&gt;=1),1,0)))</f>
        <v/>
      </c>
      <c r="I1169" s="4">
        <f>CHOOSE(H1169+1,"Kein Risiko","Gering","Mittel","Hoch")</f>
        <v/>
      </c>
    </row>
    <row r="1170">
      <c r="A1170" s="4" t="n">
        <v>1166</v>
      </c>
      <c r="B1170" s="4" t="inlineStr">
        <is>
          <t>yes</t>
        </is>
      </c>
      <c r="C1170" s="4" t="inlineStr">
        <is>
          <t>Hirtental</t>
        </is>
      </c>
      <c r="D1170" s="4" t="inlineStr">
        <is>
          <t>21</t>
        </is>
      </c>
      <c r="E1170" s="13" t="n">
        <v>107.7</v>
      </c>
      <c r="F1170" s="12" t="n">
        <v>0.0099945068359375</v>
      </c>
      <c r="G1170" s="4" t="n">
        <v>0</v>
      </c>
      <c r="H1170" s="4">
        <f>IF(OR(N(F1170)&gt;=0.5,G1170&gt;=4),3,IF(OR(N(F1170)&gt;=0.3,G1170=3),2,IF(OR(N(F1170)&gt;=0.1,G1170&gt;=1),1,0)))</f>
        <v/>
      </c>
      <c r="I1170" s="4">
        <f>CHOOSE(H1170+1,"Kein Risiko","Gering","Mittel","Hoch")</f>
        <v/>
      </c>
    </row>
    <row r="1171">
      <c r="A1171" s="4" t="n">
        <v>1167</v>
      </c>
      <c r="B1171" s="4" t="inlineStr">
        <is>
          <t>residential</t>
        </is>
      </c>
      <c r="C1171" s="4" t="inlineStr">
        <is>
          <t>Hirtental</t>
        </is>
      </c>
      <c r="D1171" s="4" t="inlineStr">
        <is>
          <t>32</t>
        </is>
      </c>
      <c r="E1171" s="13" t="n">
        <v>41</v>
      </c>
      <c r="F1171" s="12" t="n">
        <v>0</v>
      </c>
      <c r="G1171" s="4" t="n">
        <v>0</v>
      </c>
      <c r="H1171" s="4">
        <f>IF(OR(N(F1171)&gt;=0.5,G1171&gt;=4),3,IF(OR(N(F1171)&gt;=0.3,G1171=3),2,IF(OR(N(F1171)&gt;=0.1,G1171&gt;=1),1,0)))</f>
        <v/>
      </c>
      <c r="I1171" s="4">
        <f>CHOOSE(H1171+1,"Kein Risiko","Gering","Mittel","Hoch")</f>
        <v/>
      </c>
    </row>
    <row r="1172">
      <c r="A1172" s="4" t="n">
        <v>1168</v>
      </c>
      <c r="B1172" s="4" t="inlineStr">
        <is>
          <t>yes</t>
        </is>
      </c>
      <c r="C1172" s="4" t="inlineStr">
        <is>
          <t>Hirtental</t>
        </is>
      </c>
      <c r="D1172" s="4" t="inlineStr">
        <is>
          <t>11</t>
        </is>
      </c>
      <c r="E1172" s="13" t="n">
        <v>221.1</v>
      </c>
      <c r="F1172" s="12" t="n">
        <v>0.100006103515625</v>
      </c>
      <c r="G1172" s="4" t="n">
        <v>3</v>
      </c>
      <c r="H1172" s="4">
        <f>IF(OR(N(F1172)&gt;=0.5,G1172&gt;=4),3,IF(OR(N(F1172)&gt;=0.3,G1172=3),2,IF(OR(N(F1172)&gt;=0.1,G1172&gt;=1),1,0)))</f>
        <v/>
      </c>
      <c r="I1172" s="4">
        <f>CHOOSE(H1172+1,"Kein Risiko","Gering","Mittel","Hoch")</f>
        <v/>
      </c>
    </row>
    <row r="1173">
      <c r="A1173" s="4" t="n">
        <v>1169</v>
      </c>
      <c r="B1173" s="4" t="inlineStr">
        <is>
          <t>yes</t>
        </is>
      </c>
      <c r="C1173" s="4" t="inlineStr">
        <is>
          <t>Scharpenhang</t>
        </is>
      </c>
      <c r="D1173" s="4" t="inlineStr">
        <is>
          <t>3</t>
        </is>
      </c>
      <c r="E1173" s="13" t="n">
        <v>187.3</v>
      </c>
      <c r="F1173" s="12" t="n">
        <v>0</v>
      </c>
      <c r="G1173" s="4" t="n">
        <v>1</v>
      </c>
      <c r="H1173" s="4">
        <f>IF(OR(N(F1173)&gt;=0.5,G1173&gt;=4),3,IF(OR(N(F1173)&gt;=0.3,G1173=3),2,IF(OR(N(F1173)&gt;=0.1,G1173&gt;=1),1,0)))</f>
        <v/>
      </c>
      <c r="I1173" s="4">
        <f>CHOOSE(H1173+1,"Kein Risiko","Gering","Mittel","Hoch")</f>
        <v/>
      </c>
    </row>
    <row r="1174">
      <c r="A1174" s="4" t="n">
        <v>1170</v>
      </c>
      <c r="B1174" s="4" t="inlineStr">
        <is>
          <t>yes</t>
        </is>
      </c>
      <c r="C1174" s="4" t="inlineStr">
        <is>
          <t>Hirtental</t>
        </is>
      </c>
      <c r="D1174" s="4" t="inlineStr">
        <is>
          <t>18</t>
        </is>
      </c>
      <c r="E1174" s="13" t="n">
        <v>57.3</v>
      </c>
      <c r="F1174" s="12" t="n">
        <v>0</v>
      </c>
      <c r="G1174" s="4" t="n">
        <v>0</v>
      </c>
      <c r="H1174" s="4">
        <f>IF(OR(N(F1174)&gt;=0.5,G1174&gt;=4),3,IF(OR(N(F1174)&gt;=0.3,G1174=3),2,IF(OR(N(F1174)&gt;=0.1,G1174&gt;=1),1,0)))</f>
        <v/>
      </c>
      <c r="I1174" s="4">
        <f>CHOOSE(H1174+1,"Kein Risiko","Gering","Mittel","Hoch")</f>
        <v/>
      </c>
    </row>
    <row r="1175">
      <c r="A1175" s="4" t="n">
        <v>1171</v>
      </c>
      <c r="B1175" s="4" t="inlineStr">
        <is>
          <t>yes</t>
        </is>
      </c>
      <c r="C1175" s="4" t="inlineStr">
        <is>
          <t>Scharpenhang</t>
        </is>
      </c>
      <c r="D1175" s="4" t="inlineStr">
        <is>
          <t>1</t>
        </is>
      </c>
      <c r="E1175" s="13" t="n">
        <v>70.90000000000001</v>
      </c>
      <c r="F1175" s="12" t="n">
        <v>0.01000213623046875</v>
      </c>
      <c r="G1175" s="4" t="n">
        <v>1</v>
      </c>
      <c r="H1175" s="4">
        <f>IF(OR(N(F1175)&gt;=0.5,G1175&gt;=4),3,IF(OR(N(F1175)&gt;=0.3,G1175=3),2,IF(OR(N(F1175)&gt;=0.1,G1175&gt;=1),1,0)))</f>
        <v/>
      </c>
      <c r="I1175" s="4">
        <f>CHOOSE(H1175+1,"Kein Risiko","Gering","Mittel","Hoch")</f>
        <v/>
      </c>
    </row>
    <row r="1176">
      <c r="A1176" s="4" t="n">
        <v>1172</v>
      </c>
      <c r="B1176" s="4" t="inlineStr">
        <is>
          <t>yes</t>
        </is>
      </c>
      <c r="C1176" s="4" t="inlineStr">
        <is>
          <t>Scharpenhang</t>
        </is>
      </c>
      <c r="D1176" s="4" t="inlineStr">
        <is>
          <t>1a</t>
        </is>
      </c>
      <c r="E1176" s="13" t="n">
        <v>108</v>
      </c>
      <c r="F1176" s="12" t="n">
        <v>0.1199951171875</v>
      </c>
      <c r="G1176" s="4" t="n">
        <v>2</v>
      </c>
      <c r="H1176" s="4">
        <f>IF(OR(N(F1176)&gt;=0.5,G1176&gt;=4),3,IF(OR(N(F1176)&gt;=0.3,G1176=3),2,IF(OR(N(F1176)&gt;=0.1,G1176&gt;=1),1,0)))</f>
        <v/>
      </c>
      <c r="I1176" s="4">
        <f>CHOOSE(H1176+1,"Kein Risiko","Gering","Mittel","Hoch")</f>
        <v/>
      </c>
    </row>
    <row r="1177">
      <c r="A1177" s="4" t="n">
        <v>1173</v>
      </c>
      <c r="B1177" s="4" t="inlineStr">
        <is>
          <t>yes</t>
        </is>
      </c>
      <c r="C1177" s="4" t="inlineStr">
        <is>
          <t>Scharpenhang</t>
        </is>
      </c>
      <c r="D1177" s="4" t="inlineStr">
        <is>
          <t>23</t>
        </is>
      </c>
      <c r="E1177" s="13" t="n">
        <v>102</v>
      </c>
      <c r="F1177" s="12" t="n">
        <v>0.01000213623046875</v>
      </c>
      <c r="G1177" s="4" t="n">
        <v>0</v>
      </c>
      <c r="H1177" s="4">
        <f>IF(OR(N(F1177)&gt;=0.5,G1177&gt;=4),3,IF(OR(N(F1177)&gt;=0.3,G1177=3),2,IF(OR(N(F1177)&gt;=0.1,G1177&gt;=1),1,0)))</f>
        <v/>
      </c>
      <c r="I1177" s="4">
        <f>CHOOSE(H1177+1,"Kein Risiko","Gering","Mittel","Hoch")</f>
        <v/>
      </c>
    </row>
    <row r="1178">
      <c r="A1178" s="4" t="n">
        <v>1174</v>
      </c>
      <c r="B1178" s="4" t="inlineStr">
        <is>
          <t>yes</t>
        </is>
      </c>
      <c r="C1178" s="4" t="inlineStr">
        <is>
          <t>Scharpenhang</t>
        </is>
      </c>
      <c r="D1178" s="4" t="inlineStr">
        <is>
          <t>13</t>
        </is>
      </c>
      <c r="E1178" s="13" t="n">
        <v>119.5</v>
      </c>
      <c r="F1178" s="12" t="n">
        <v>0</v>
      </c>
      <c r="G1178" s="4" t="n">
        <v>0</v>
      </c>
      <c r="H1178" s="4">
        <f>IF(OR(N(F1178)&gt;=0.5,G1178&gt;=4),3,IF(OR(N(F1178)&gt;=0.3,G1178=3),2,IF(OR(N(F1178)&gt;=0.1,G1178&gt;=1),1,0)))</f>
        <v/>
      </c>
      <c r="I1178" s="4">
        <f>CHOOSE(H1178+1,"Kein Risiko","Gering","Mittel","Hoch")</f>
        <v/>
      </c>
    </row>
    <row r="1179">
      <c r="A1179" s="4" t="n">
        <v>1175</v>
      </c>
      <c r="B1179" s="4" t="inlineStr">
        <is>
          <t>yes</t>
        </is>
      </c>
      <c r="C1179" s="4" t="inlineStr">
        <is>
          <t>Scharpenhang</t>
        </is>
      </c>
      <c r="D1179" s="4" t="inlineStr">
        <is>
          <t>2</t>
        </is>
      </c>
      <c r="E1179" s="13" t="n">
        <v>82.5</v>
      </c>
      <c r="F1179" s="12" t="n">
        <v>0</v>
      </c>
      <c r="G1179" s="4" t="n">
        <v>1</v>
      </c>
      <c r="H1179" s="4">
        <f>IF(OR(N(F1179)&gt;=0.5,G1179&gt;=4),3,IF(OR(N(F1179)&gt;=0.3,G1179=3),2,IF(OR(N(F1179)&gt;=0.1,G1179&gt;=1),1,0)))</f>
        <v/>
      </c>
      <c r="I1179" s="4">
        <f>CHOOSE(H1179+1,"Kein Risiko","Gering","Mittel","Hoch")</f>
        <v/>
      </c>
    </row>
    <row r="1180">
      <c r="A1180" s="4" t="n">
        <v>1176</v>
      </c>
      <c r="B1180" s="4" t="inlineStr">
        <is>
          <t>yes</t>
        </is>
      </c>
      <c r="C1180" s="4" t="inlineStr">
        <is>
          <t>Scharpenhang</t>
        </is>
      </c>
      <c r="D1180" s="4" t="inlineStr">
        <is>
          <t>15</t>
        </is>
      </c>
      <c r="E1180" s="13" t="n">
        <v>131.3</v>
      </c>
      <c r="F1180" s="12" t="n">
        <v>0.029998779296875</v>
      </c>
      <c r="G1180" s="4" t="n">
        <v>0</v>
      </c>
      <c r="H1180" s="4">
        <f>IF(OR(N(F1180)&gt;=0.5,G1180&gt;=4),3,IF(OR(N(F1180)&gt;=0.3,G1180=3),2,IF(OR(N(F1180)&gt;=0.1,G1180&gt;=1),1,0)))</f>
        <v/>
      </c>
      <c r="I1180" s="4">
        <f>CHOOSE(H1180+1,"Kein Risiko","Gering","Mittel","Hoch")</f>
        <v/>
      </c>
    </row>
    <row r="1181">
      <c r="A1181" s="4" t="n">
        <v>1177</v>
      </c>
      <c r="B1181" s="4" t="inlineStr">
        <is>
          <t>yes</t>
        </is>
      </c>
      <c r="C1181" s="4" t="inlineStr">
        <is>
          <t>Scharpenhang</t>
        </is>
      </c>
      <c r="D1181" s="4" t="inlineStr">
        <is>
          <t>12</t>
        </is>
      </c>
      <c r="E1181" s="13" t="n">
        <v>115.9</v>
      </c>
      <c r="F1181" s="12" t="n">
        <v>0</v>
      </c>
      <c r="G1181" s="4" t="n">
        <v>0</v>
      </c>
      <c r="H1181" s="4">
        <f>IF(OR(N(F1181)&gt;=0.5,G1181&gt;=4),3,IF(OR(N(F1181)&gt;=0.3,G1181=3),2,IF(OR(N(F1181)&gt;=0.1,G1181&gt;=1),1,0)))</f>
        <v/>
      </c>
      <c r="I1181" s="4">
        <f>CHOOSE(H1181+1,"Kein Risiko","Gering","Mittel","Hoch")</f>
        <v/>
      </c>
    </row>
    <row r="1182">
      <c r="A1182" s="4" t="n">
        <v>1178</v>
      </c>
      <c r="B1182" s="4" t="inlineStr">
        <is>
          <t>yes</t>
        </is>
      </c>
      <c r="C1182" s="4" t="inlineStr">
        <is>
          <t>Scharpenhang</t>
        </is>
      </c>
      <c r="D1182" s="4" t="inlineStr">
        <is>
          <t>17</t>
        </is>
      </c>
      <c r="E1182" s="13" t="n">
        <v>63.6</v>
      </c>
      <c r="F1182" s="12" t="n">
        <v>0</v>
      </c>
      <c r="G1182" s="4" t="n">
        <v>0</v>
      </c>
      <c r="H1182" s="4">
        <f>IF(OR(N(F1182)&gt;=0.5,G1182&gt;=4),3,IF(OR(N(F1182)&gt;=0.3,G1182=3),2,IF(OR(N(F1182)&gt;=0.1,G1182&gt;=1),1,0)))</f>
        <v/>
      </c>
      <c r="I1182" s="4">
        <f>CHOOSE(H1182+1,"Kein Risiko","Gering","Mittel","Hoch")</f>
        <v/>
      </c>
    </row>
    <row r="1183">
      <c r="A1183" s="4" t="n">
        <v>1179</v>
      </c>
      <c r="B1183" s="4" t="inlineStr">
        <is>
          <t>yes</t>
        </is>
      </c>
      <c r="C1183" s="4" t="inlineStr">
        <is>
          <t>Scharpenhang</t>
        </is>
      </c>
      <c r="D1183" s="4" t="inlineStr">
        <is>
          <t>4</t>
        </is>
      </c>
      <c r="E1183" s="13" t="n">
        <v>212.8</v>
      </c>
      <c r="F1183" s="12" t="n">
        <v>0.0200042724609375</v>
      </c>
      <c r="G1183" s="4" t="n">
        <v>2</v>
      </c>
      <c r="H1183" s="4">
        <f>IF(OR(N(F1183)&gt;=0.5,G1183&gt;=4),3,IF(OR(N(F1183)&gt;=0.3,G1183=3),2,IF(OR(N(F1183)&gt;=0.1,G1183&gt;=1),1,0)))</f>
        <v/>
      </c>
      <c r="I1183" s="4">
        <f>CHOOSE(H1183+1,"Kein Risiko","Gering","Mittel","Hoch")</f>
        <v/>
      </c>
    </row>
    <row r="1184">
      <c r="A1184" s="4" t="n">
        <v>1180</v>
      </c>
      <c r="B1184" s="4" t="inlineStr">
        <is>
          <t>yes</t>
        </is>
      </c>
      <c r="C1184" s="4" t="inlineStr">
        <is>
          <t>Scharpenhang</t>
        </is>
      </c>
      <c r="D1184" s="4" t="inlineStr">
        <is>
          <t>14</t>
        </is>
      </c>
      <c r="E1184" s="13" t="n">
        <v>127.2</v>
      </c>
      <c r="F1184" s="12" t="n">
        <v>0.01000213623046875</v>
      </c>
      <c r="G1184" s="4" t="n">
        <v>0</v>
      </c>
      <c r="H1184" s="4">
        <f>IF(OR(N(F1184)&gt;=0.5,G1184&gt;=4),3,IF(OR(N(F1184)&gt;=0.3,G1184=3),2,IF(OR(N(F1184)&gt;=0.1,G1184&gt;=1),1,0)))</f>
        <v/>
      </c>
      <c r="I1184" s="4">
        <f>CHOOSE(H1184+1,"Kein Risiko","Gering","Mittel","Hoch")</f>
        <v/>
      </c>
    </row>
    <row r="1185">
      <c r="A1185" s="4" t="n">
        <v>1181</v>
      </c>
      <c r="B1185" s="4" t="inlineStr">
        <is>
          <t>yes</t>
        </is>
      </c>
      <c r="C1185" s="4" t="inlineStr">
        <is>
          <t>Scharpenhang</t>
        </is>
      </c>
      <c r="D1185" s="4" t="inlineStr">
        <is>
          <t>31</t>
        </is>
      </c>
      <c r="E1185" s="13" t="n">
        <v>82.3</v>
      </c>
      <c r="F1185" s="12" t="n">
        <v>0.4000015258789062</v>
      </c>
      <c r="G1185" s="4" t="n">
        <v>1</v>
      </c>
      <c r="H1185" s="4">
        <f>IF(OR(N(F1185)&gt;=0.5,G1185&gt;=4),3,IF(OR(N(F1185)&gt;=0.3,G1185=3),2,IF(OR(N(F1185)&gt;=0.1,G1185&gt;=1),1,0)))</f>
        <v/>
      </c>
      <c r="I1185" s="4">
        <f>CHOOSE(H1185+1,"Kein Risiko","Gering","Mittel","Hoch")</f>
        <v/>
      </c>
    </row>
    <row r="1186">
      <c r="A1186" s="4" t="n">
        <v>1182</v>
      </c>
      <c r="B1186" s="4" t="inlineStr">
        <is>
          <t>yes</t>
        </is>
      </c>
      <c r="C1186" s="4" t="inlineStr">
        <is>
          <t>Scharpenhang</t>
        </is>
      </c>
      <c r="D1186" s="4" t="inlineStr">
        <is>
          <t>27</t>
        </is>
      </c>
      <c r="E1186" s="13" t="n">
        <v>99.3</v>
      </c>
      <c r="F1186" s="12" t="n">
        <v>0.01000213623046875</v>
      </c>
      <c r="G1186" s="4" t="n">
        <v>1</v>
      </c>
      <c r="H1186" s="4">
        <f>IF(OR(N(F1186)&gt;=0.5,G1186&gt;=4),3,IF(OR(N(F1186)&gt;=0.3,G1186=3),2,IF(OR(N(F1186)&gt;=0.1,G1186&gt;=1),1,0)))</f>
        <v/>
      </c>
      <c r="I1186" s="4">
        <f>CHOOSE(H1186+1,"Kein Risiko","Gering","Mittel","Hoch")</f>
        <v/>
      </c>
    </row>
    <row r="1187">
      <c r="A1187" s="4" t="n">
        <v>1183</v>
      </c>
      <c r="B1187" s="4" t="inlineStr">
        <is>
          <t>yes</t>
        </is>
      </c>
      <c r="C1187" s="4" t="inlineStr">
        <is>
          <t>Scharpenhang</t>
        </is>
      </c>
      <c r="D1187" s="4" t="inlineStr">
        <is>
          <t>18</t>
        </is>
      </c>
      <c r="E1187" s="13" t="n">
        <v>118.8</v>
      </c>
      <c r="F1187" s="12" t="n">
        <v>0</v>
      </c>
      <c r="G1187" s="4" t="n">
        <v>0</v>
      </c>
      <c r="H1187" s="4">
        <f>IF(OR(N(F1187)&gt;=0.5,G1187&gt;=4),3,IF(OR(N(F1187)&gt;=0.3,G1187=3),2,IF(OR(N(F1187)&gt;=0.1,G1187&gt;=1),1,0)))</f>
        <v/>
      </c>
      <c r="I1187" s="4">
        <f>CHOOSE(H1187+1,"Kein Risiko","Gering","Mittel","Hoch")</f>
        <v/>
      </c>
    </row>
    <row r="1188">
      <c r="A1188" s="4" t="n">
        <v>1184</v>
      </c>
      <c r="B1188" s="4" t="inlineStr">
        <is>
          <t>yes</t>
        </is>
      </c>
      <c r="C1188" s="4" t="inlineStr">
        <is>
          <t>Scharpenhang</t>
        </is>
      </c>
      <c r="D1188" s="4" t="inlineStr">
        <is>
          <t>39</t>
        </is>
      </c>
      <c r="E1188" s="13" t="n">
        <v>62.9</v>
      </c>
      <c r="F1188" s="12" t="n">
        <v>0</v>
      </c>
      <c r="G1188" s="4" t="n">
        <v>0</v>
      </c>
      <c r="H1188" s="4">
        <f>IF(OR(N(F1188)&gt;=0.5,G1188&gt;=4),3,IF(OR(N(F1188)&gt;=0.3,G1188=3),2,IF(OR(N(F1188)&gt;=0.1,G1188&gt;=1),1,0)))</f>
        <v/>
      </c>
      <c r="I1188" s="4">
        <f>CHOOSE(H1188+1,"Kein Risiko","Gering","Mittel","Hoch")</f>
        <v/>
      </c>
    </row>
    <row r="1189">
      <c r="A1189" s="4" t="n">
        <v>1185</v>
      </c>
      <c r="B1189" s="4" t="inlineStr">
        <is>
          <t>yes</t>
        </is>
      </c>
      <c r="C1189" s="4" t="inlineStr">
        <is>
          <t>Scharpenhang</t>
        </is>
      </c>
      <c r="D1189" s="4" t="inlineStr">
        <is>
          <t>24</t>
        </is>
      </c>
      <c r="E1189" s="13" t="n">
        <v>132.4</v>
      </c>
      <c r="F1189" s="12" t="n">
        <v>0</v>
      </c>
      <c r="G1189" s="4" t="n">
        <v>0</v>
      </c>
      <c r="H1189" s="4">
        <f>IF(OR(N(F1189)&gt;=0.5,G1189&gt;=4),3,IF(OR(N(F1189)&gt;=0.3,G1189=3),2,IF(OR(N(F1189)&gt;=0.1,G1189&gt;=1),1,0)))</f>
        <v/>
      </c>
      <c r="I1189" s="4">
        <f>CHOOSE(H1189+1,"Kein Risiko","Gering","Mittel","Hoch")</f>
        <v/>
      </c>
    </row>
    <row r="1190">
      <c r="A1190" s="4" t="n">
        <v>1186</v>
      </c>
      <c r="B1190" s="4" t="inlineStr">
        <is>
          <t>yes</t>
        </is>
      </c>
      <c r="C1190" s="4" t="inlineStr">
        <is>
          <t>Scharpenhang</t>
        </is>
      </c>
      <c r="D1190" s="4" t="inlineStr">
        <is>
          <t>28</t>
        </is>
      </c>
      <c r="E1190" s="13" t="n">
        <v>121</v>
      </c>
      <c r="F1190" s="12" t="n">
        <v>0</v>
      </c>
      <c r="G1190" s="4" t="n">
        <v>1</v>
      </c>
      <c r="H1190" s="4">
        <f>IF(OR(N(F1190)&gt;=0.5,G1190&gt;=4),3,IF(OR(N(F1190)&gt;=0.3,G1190=3),2,IF(OR(N(F1190)&gt;=0.1,G1190&gt;=1),1,0)))</f>
        <v/>
      </c>
      <c r="I1190" s="4">
        <f>CHOOSE(H1190+1,"Kein Risiko","Gering","Mittel","Hoch")</f>
        <v/>
      </c>
    </row>
    <row r="1191">
      <c r="A1191" s="4" t="n">
        <v>1187</v>
      </c>
      <c r="B1191" s="4" t="inlineStr">
        <is>
          <t>yes</t>
        </is>
      </c>
      <c r="C1191" s="4" t="inlineStr">
        <is>
          <t>Scharpenhang</t>
        </is>
      </c>
      <c r="D1191" s="4" t="inlineStr">
        <is>
          <t>33</t>
        </is>
      </c>
      <c r="E1191" s="13" t="n">
        <v>105</v>
      </c>
      <c r="F1191" s="12" t="n">
        <v>0.01000213623046875</v>
      </c>
      <c r="G1191" s="4" t="n">
        <v>0</v>
      </c>
      <c r="H1191" s="4">
        <f>IF(OR(N(F1191)&gt;=0.5,G1191&gt;=4),3,IF(OR(N(F1191)&gt;=0.3,G1191=3),2,IF(OR(N(F1191)&gt;=0.1,G1191&gt;=1),1,0)))</f>
        <v/>
      </c>
      <c r="I1191" s="4">
        <f>CHOOSE(H1191+1,"Kein Risiko","Gering","Mittel","Hoch")</f>
        <v/>
      </c>
    </row>
    <row r="1192">
      <c r="A1192" s="4" t="n">
        <v>1188</v>
      </c>
      <c r="B1192" s="4" t="inlineStr">
        <is>
          <t>house</t>
        </is>
      </c>
      <c r="C1192" s="4" t="inlineStr">
        <is>
          <t>Scharpenhang</t>
        </is>
      </c>
      <c r="D1192" s="4" t="inlineStr">
        <is>
          <t>52a</t>
        </is>
      </c>
      <c r="E1192" s="13" t="n">
        <v>61.1</v>
      </c>
      <c r="F1192" s="12" t="n">
        <v>0</v>
      </c>
      <c r="G1192" s="4" t="n">
        <v>0</v>
      </c>
      <c r="H1192" s="4">
        <f>IF(OR(N(F1192)&gt;=0.5,G1192&gt;=4),3,IF(OR(N(F1192)&gt;=0.3,G1192=3),2,IF(OR(N(F1192)&gt;=0.1,G1192&gt;=1),1,0)))</f>
        <v/>
      </c>
      <c r="I1192" s="4">
        <f>CHOOSE(H1192+1,"Kein Risiko","Gering","Mittel","Hoch")</f>
        <v/>
      </c>
    </row>
    <row r="1193">
      <c r="A1193" s="4" t="n">
        <v>1189</v>
      </c>
      <c r="B1193" s="4" t="inlineStr">
        <is>
          <t>yes</t>
        </is>
      </c>
      <c r="C1193" s="4" t="inlineStr">
        <is>
          <t>Byfanger Straße</t>
        </is>
      </c>
      <c r="D1193" s="4" t="inlineStr">
        <is>
          <t>222</t>
        </is>
      </c>
      <c r="E1193" s="13" t="n">
        <v>103.8</v>
      </c>
      <c r="F1193" s="12" t="n">
        <v>0</v>
      </c>
      <c r="G1193" s="4" t="n">
        <v>1</v>
      </c>
      <c r="H1193" s="4">
        <f>IF(OR(N(F1193)&gt;=0.5,G1193&gt;=4),3,IF(OR(N(F1193)&gt;=0.3,G1193=3),2,IF(OR(N(F1193)&gt;=0.1,G1193&gt;=1),1,0)))</f>
        <v/>
      </c>
      <c r="I1193" s="4">
        <f>CHOOSE(H1193+1,"Kein Risiko","Gering","Mittel","Hoch")</f>
        <v/>
      </c>
    </row>
    <row r="1194">
      <c r="A1194" s="4" t="n">
        <v>1190</v>
      </c>
      <c r="B1194" s="4" t="inlineStr">
        <is>
          <t>yes</t>
        </is>
      </c>
      <c r="C1194" s="4" t="inlineStr">
        <is>
          <t>Byfanger Straße</t>
        </is>
      </c>
      <c r="D1194" s="4" t="inlineStr">
        <is>
          <t>218</t>
        </is>
      </c>
      <c r="E1194" s="13" t="n">
        <v>83.8</v>
      </c>
      <c r="F1194" s="12" t="n">
        <v>0.01000213623046875</v>
      </c>
      <c r="G1194" s="4" t="n">
        <v>1</v>
      </c>
      <c r="H1194" s="4">
        <f>IF(OR(N(F1194)&gt;=0.5,G1194&gt;=4),3,IF(OR(N(F1194)&gt;=0.3,G1194=3),2,IF(OR(N(F1194)&gt;=0.1,G1194&gt;=1),1,0)))</f>
        <v/>
      </c>
      <c r="I1194" s="4">
        <f>CHOOSE(H1194+1,"Kein Risiko","Gering","Mittel","Hoch")</f>
        <v/>
      </c>
    </row>
    <row r="1195">
      <c r="A1195" s="4" t="n">
        <v>1191</v>
      </c>
      <c r="B1195" s="4" t="inlineStr">
        <is>
          <t>yes</t>
        </is>
      </c>
      <c r="C1195" s="4" t="inlineStr">
        <is>
          <t>Scharpenhang</t>
        </is>
      </c>
      <c r="D1195" s="4" t="inlineStr">
        <is>
          <t>40,40a</t>
        </is>
      </c>
      <c r="E1195" s="13" t="n">
        <v>172</v>
      </c>
      <c r="F1195" s="12" t="n">
        <v>0.2299957275390625</v>
      </c>
      <c r="G1195" s="4" t="n">
        <v>4</v>
      </c>
      <c r="H1195" s="4">
        <f>IF(OR(N(F1195)&gt;=0.5,G1195&gt;=4),3,IF(OR(N(F1195)&gt;=0.3,G1195=3),2,IF(OR(N(F1195)&gt;=0.1,G1195&gt;=1),1,0)))</f>
        <v/>
      </c>
      <c r="I1195" s="4">
        <f>CHOOSE(H1195+1,"Kein Risiko","Gering","Mittel","Hoch")</f>
        <v/>
      </c>
    </row>
    <row r="1196">
      <c r="A1196" s="4" t="n">
        <v>1192</v>
      </c>
      <c r="B1196" s="4" t="inlineStr">
        <is>
          <t>yes</t>
        </is>
      </c>
      <c r="C1196" s="4" t="inlineStr">
        <is>
          <t>Scharpenhang</t>
        </is>
      </c>
      <c r="D1196" s="4" t="inlineStr">
        <is>
          <t>34,34a</t>
        </is>
      </c>
      <c r="E1196" s="13" t="n">
        <v>186</v>
      </c>
      <c r="F1196" s="12" t="n">
        <v>0.8400039672851562</v>
      </c>
      <c r="G1196" s="4" t="n">
        <v>0</v>
      </c>
      <c r="H1196" s="4">
        <f>IF(OR(N(F1196)&gt;=0.5,G1196&gt;=4),3,IF(OR(N(F1196)&gt;=0.3,G1196=3),2,IF(OR(N(F1196)&gt;=0.1,G1196&gt;=1),1,0)))</f>
        <v/>
      </c>
      <c r="I1196" s="4">
        <f>CHOOSE(H1196+1,"Kein Risiko","Gering","Mittel","Hoch")</f>
        <v/>
      </c>
    </row>
    <row r="1197">
      <c r="A1197" s="4" t="n">
        <v>1193</v>
      </c>
      <c r="B1197" s="4" t="inlineStr">
        <is>
          <t>house</t>
        </is>
      </c>
      <c r="C1197" s="4" t="inlineStr">
        <is>
          <t>Scharpenhang</t>
        </is>
      </c>
      <c r="D1197" s="4" t="inlineStr">
        <is>
          <t>46</t>
        </is>
      </c>
      <c r="E1197" s="13" t="n">
        <v>94.90000000000001</v>
      </c>
      <c r="F1197" s="12" t="n">
        <v>0</v>
      </c>
      <c r="G1197" s="4" t="n">
        <v>0</v>
      </c>
      <c r="H1197" s="4">
        <f>IF(OR(N(F1197)&gt;=0.5,G1197&gt;=4),3,IF(OR(N(F1197)&gt;=0.3,G1197=3),2,IF(OR(N(F1197)&gt;=0.1,G1197&gt;=1),1,0)))</f>
        <v/>
      </c>
      <c r="I1197" s="4">
        <f>CHOOSE(H1197+1,"Kein Risiko","Gering","Mittel","Hoch")</f>
        <v/>
      </c>
    </row>
    <row r="1198">
      <c r="A1198" s="4" t="n">
        <v>1194</v>
      </c>
      <c r="B1198" s="4" t="inlineStr">
        <is>
          <t>yes</t>
        </is>
      </c>
      <c r="C1198" s="4" t="inlineStr">
        <is>
          <t>Scharpenhang</t>
        </is>
      </c>
      <c r="D1198" s="4" t="inlineStr">
        <is>
          <t>42,42a</t>
        </is>
      </c>
      <c r="E1198" s="13" t="n">
        <v>176.4</v>
      </c>
      <c r="F1198" s="12" t="n">
        <v>0</v>
      </c>
      <c r="G1198" s="4" t="n">
        <v>0</v>
      </c>
      <c r="H1198" s="4">
        <f>IF(OR(N(F1198)&gt;=0.5,G1198&gt;=4),3,IF(OR(N(F1198)&gt;=0.3,G1198=3),2,IF(OR(N(F1198)&gt;=0.1,G1198&gt;=1),1,0)))</f>
        <v/>
      </c>
      <c r="I1198" s="4">
        <f>CHOOSE(H1198+1,"Kein Risiko","Gering","Mittel","Hoch")</f>
        <v/>
      </c>
    </row>
    <row r="1199">
      <c r="A1199" s="4" t="n">
        <v>1195</v>
      </c>
      <c r="B1199" s="4" t="inlineStr">
        <is>
          <t>yes</t>
        </is>
      </c>
      <c r="C1199" s="4" t="inlineStr">
        <is>
          <t>Byfanger Straße</t>
        </is>
      </c>
      <c r="D1199" s="4" t="inlineStr">
        <is>
          <t>228</t>
        </is>
      </c>
      <c r="E1199" s="13" t="n">
        <v>94</v>
      </c>
      <c r="F1199" s="12" t="n">
        <v>0.01999664306640625</v>
      </c>
      <c r="G1199" s="4" t="n">
        <v>0</v>
      </c>
      <c r="H1199" s="4">
        <f>IF(OR(N(F1199)&gt;=0.5,G1199&gt;=4),3,IF(OR(N(F1199)&gt;=0.3,G1199=3),2,IF(OR(N(F1199)&gt;=0.1,G1199&gt;=1),1,0)))</f>
        <v/>
      </c>
      <c r="I1199" s="4">
        <f>CHOOSE(H1199+1,"Kein Risiko","Gering","Mittel","Hoch")</f>
        <v/>
      </c>
    </row>
    <row r="1200">
      <c r="A1200" s="4" t="n">
        <v>1196</v>
      </c>
      <c r="B1200" s="4" t="inlineStr">
        <is>
          <t>semidetached_house</t>
        </is>
      </c>
      <c r="C1200" s="4" t="inlineStr">
        <is>
          <t>Am Gerichtshaus</t>
        </is>
      </c>
      <c r="D1200" s="4" t="inlineStr">
        <is>
          <t>105</t>
        </is>
      </c>
      <c r="E1200" s="13" t="n">
        <v>68.8</v>
      </c>
      <c r="F1200" s="12" t="n">
        <v>0</v>
      </c>
      <c r="G1200" s="4" t="n">
        <v>0</v>
      </c>
      <c r="H1200" s="4">
        <f>IF(OR(N(F1200)&gt;=0.5,G1200&gt;=4),3,IF(OR(N(F1200)&gt;=0.3,G1200=3),2,IF(OR(N(F1200)&gt;=0.1,G1200&gt;=1),1,0)))</f>
        <v/>
      </c>
      <c r="I1200" s="4">
        <f>CHOOSE(H1200+1,"Kein Risiko","Gering","Mittel","Hoch")</f>
        <v/>
      </c>
    </row>
    <row r="1201">
      <c r="A1201" s="4" t="n">
        <v>1197</v>
      </c>
      <c r="B1201" s="4" t="inlineStr">
        <is>
          <t>yes</t>
        </is>
      </c>
      <c r="C1201" s="4" t="inlineStr">
        <is>
          <t>Byfanger Straße</t>
        </is>
      </c>
      <c r="D1201" s="4" t="inlineStr">
        <is>
          <t>221</t>
        </is>
      </c>
      <c r="E1201" s="13" t="n">
        <v>58</v>
      </c>
      <c r="F1201" s="12" t="n">
        <v>0</v>
      </c>
      <c r="G1201" s="4" t="n">
        <v>0</v>
      </c>
      <c r="H1201" s="4">
        <f>IF(OR(N(F1201)&gt;=0.5,G1201&gt;=4),3,IF(OR(N(F1201)&gt;=0.3,G1201=3),2,IF(OR(N(F1201)&gt;=0.1,G1201&gt;=1),1,0)))</f>
        <v/>
      </c>
      <c r="I1201" s="4">
        <f>CHOOSE(H1201+1,"Kein Risiko","Gering","Mittel","Hoch")</f>
        <v/>
      </c>
    </row>
    <row r="1202">
      <c r="A1202" s="4" t="n">
        <v>1198</v>
      </c>
      <c r="B1202" s="4" t="inlineStr">
        <is>
          <t>yes</t>
        </is>
      </c>
      <c r="C1202" s="4" t="inlineStr">
        <is>
          <t>Byfanger Straße</t>
        </is>
      </c>
      <c r="D1202" s="4" t="inlineStr">
        <is>
          <t>237</t>
        </is>
      </c>
      <c r="E1202" s="13" t="n">
        <v>143.6</v>
      </c>
      <c r="F1202" s="12" t="n">
        <v>0.7300033569335938</v>
      </c>
      <c r="G1202" s="4" t="n">
        <v>0</v>
      </c>
      <c r="H1202" s="4">
        <f>IF(OR(N(F1202)&gt;=0.5,G1202&gt;=4),3,IF(OR(N(F1202)&gt;=0.3,G1202=3),2,IF(OR(N(F1202)&gt;=0.1,G1202&gt;=1),1,0)))</f>
        <v/>
      </c>
      <c r="I1202" s="4">
        <f>CHOOSE(H1202+1,"Kein Risiko","Gering","Mittel","Hoch")</f>
        <v/>
      </c>
    </row>
    <row r="1203">
      <c r="A1203" s="4" t="n">
        <v>1199</v>
      </c>
      <c r="B1203" s="4" t="inlineStr">
        <is>
          <t>yes</t>
        </is>
      </c>
      <c r="C1203" s="4" t="inlineStr">
        <is>
          <t>Byfanger Straße</t>
        </is>
      </c>
      <c r="D1203" s="4" t="inlineStr">
        <is>
          <t>241</t>
        </is>
      </c>
      <c r="E1203" s="13" t="n">
        <v>150.9</v>
      </c>
      <c r="F1203" s="12" t="n">
        <v>0</v>
      </c>
      <c r="G1203" s="4" t="n">
        <v>4</v>
      </c>
      <c r="H1203" s="4">
        <f>IF(OR(N(F1203)&gt;=0.5,G1203&gt;=4),3,IF(OR(N(F1203)&gt;=0.3,G1203=3),2,IF(OR(N(F1203)&gt;=0.1,G1203&gt;=1),1,0)))</f>
        <v/>
      </c>
      <c r="I1203" s="4">
        <f>CHOOSE(H1203+1,"Kein Risiko","Gering","Mittel","Hoch")</f>
        <v/>
      </c>
    </row>
    <row r="1204">
      <c r="A1204" s="4" t="n">
        <v>1200</v>
      </c>
      <c r="B1204" s="4" t="inlineStr">
        <is>
          <t>yes</t>
        </is>
      </c>
      <c r="C1204" s="4" t="inlineStr">
        <is>
          <t>Hirtental</t>
        </is>
      </c>
      <c r="D1204" s="4" t="inlineStr">
        <is>
          <t>1</t>
        </is>
      </c>
      <c r="E1204" s="13" t="n">
        <v>193.6</v>
      </c>
      <c r="F1204" s="12" t="n">
        <v>0.3799972534179688</v>
      </c>
      <c r="G1204" s="4" t="n">
        <v>4</v>
      </c>
      <c r="H1204" s="4">
        <f>IF(OR(N(F1204)&gt;=0.5,G1204&gt;=4),3,IF(OR(N(F1204)&gt;=0.3,G1204=3),2,IF(OR(N(F1204)&gt;=0.1,G1204&gt;=1),1,0)))</f>
        <v/>
      </c>
      <c r="I1204" s="4">
        <f>CHOOSE(H1204+1,"Kein Risiko","Gering","Mittel","Hoch")</f>
        <v/>
      </c>
    </row>
    <row r="1205">
      <c r="A1205" s="4" t="n">
        <v>1201</v>
      </c>
      <c r="B1205" s="4" t="inlineStr">
        <is>
          <t>yes</t>
        </is>
      </c>
      <c r="C1205" s="4" t="inlineStr">
        <is>
          <t>Byfanger Straße</t>
        </is>
      </c>
      <c r="D1205" s="4" t="inlineStr">
        <is>
          <t>217</t>
        </is>
      </c>
      <c r="E1205" s="13" t="n">
        <v>97.2</v>
      </c>
      <c r="F1205" s="12" t="n">
        <v>0</v>
      </c>
      <c r="G1205" s="4" t="n">
        <v>0</v>
      </c>
      <c r="H1205" s="4">
        <f>IF(OR(N(F1205)&gt;=0.5,G1205&gt;=4),3,IF(OR(N(F1205)&gt;=0.3,G1205=3),2,IF(OR(N(F1205)&gt;=0.1,G1205&gt;=1),1,0)))</f>
        <v/>
      </c>
      <c r="I1205" s="4">
        <f>CHOOSE(H1205+1,"Kein Risiko","Gering","Mittel","Hoch")</f>
        <v/>
      </c>
    </row>
    <row r="1206">
      <c r="A1206" s="4" t="n">
        <v>1202</v>
      </c>
      <c r="B1206" s="4" t="inlineStr">
        <is>
          <t>yes</t>
        </is>
      </c>
      <c r="C1206" s="4" t="inlineStr">
        <is>
          <t>Engelssiepen</t>
        </is>
      </c>
      <c r="D1206" s="4" t="inlineStr">
        <is>
          <t>4</t>
        </is>
      </c>
      <c r="E1206" s="13" t="n">
        <v>75.90000000000001</v>
      </c>
      <c r="F1206" s="12" t="n">
        <v>0</v>
      </c>
      <c r="G1206" s="4" t="n">
        <v>0</v>
      </c>
      <c r="H1206" s="4">
        <f>IF(OR(N(F1206)&gt;=0.5,G1206&gt;=4),3,IF(OR(N(F1206)&gt;=0.3,G1206=3),2,IF(OR(N(F1206)&gt;=0.1,G1206&gt;=1),1,0)))</f>
        <v/>
      </c>
      <c r="I1206" s="4">
        <f>CHOOSE(H1206+1,"Kein Risiko","Gering","Mittel","Hoch")</f>
        <v/>
      </c>
    </row>
    <row r="1207">
      <c r="A1207" s="4" t="n">
        <v>1203</v>
      </c>
      <c r="B1207" s="4" t="inlineStr">
        <is>
          <t>yes</t>
        </is>
      </c>
      <c r="C1207" s="4" t="inlineStr">
        <is>
          <t>Engelssiepen</t>
        </is>
      </c>
      <c r="D1207" s="4" t="inlineStr">
        <is>
          <t>12</t>
        </is>
      </c>
      <c r="E1207" s="13" t="n">
        <v>88</v>
      </c>
      <c r="F1207" s="12" t="n">
        <v>0.06000518798828125</v>
      </c>
      <c r="G1207" s="4" t="n">
        <v>0</v>
      </c>
      <c r="H1207" s="4">
        <f>IF(OR(N(F1207)&gt;=0.5,G1207&gt;=4),3,IF(OR(N(F1207)&gt;=0.3,G1207=3),2,IF(OR(N(F1207)&gt;=0.1,G1207&gt;=1),1,0)))</f>
        <v/>
      </c>
      <c r="I1207" s="4">
        <f>CHOOSE(H1207+1,"Kein Risiko","Gering","Mittel","Hoch")</f>
        <v/>
      </c>
    </row>
    <row r="1208">
      <c r="A1208" s="4" t="n">
        <v>1204</v>
      </c>
      <c r="B1208" s="4" t="inlineStr">
        <is>
          <t>yes</t>
        </is>
      </c>
      <c r="C1208" s="4" t="inlineStr">
        <is>
          <t>Bissenkamp</t>
        </is>
      </c>
      <c r="D1208" s="4" t="inlineStr">
        <is>
          <t>2</t>
        </is>
      </c>
      <c r="E1208" s="13" t="n">
        <v>160</v>
      </c>
      <c r="F1208" s="12" t="n">
        <v>0</v>
      </c>
      <c r="G1208" s="4" t="n">
        <v>0</v>
      </c>
      <c r="H1208" s="4">
        <f>IF(OR(N(F1208)&gt;=0.5,G1208&gt;=4),3,IF(OR(N(F1208)&gt;=0.3,G1208=3),2,IF(OR(N(F1208)&gt;=0.1,G1208&gt;=1),1,0)))</f>
        <v/>
      </c>
      <c r="I1208" s="4">
        <f>CHOOSE(H1208+1,"Kein Risiko","Gering","Mittel","Hoch")</f>
        <v/>
      </c>
    </row>
    <row r="1209">
      <c r="A1209" s="4" t="n">
        <v>1205</v>
      </c>
      <c r="B1209" s="4" t="inlineStr">
        <is>
          <t>yes</t>
        </is>
      </c>
      <c r="C1209" s="4" t="inlineStr"/>
      <c r="D1209" s="4" t="inlineStr"/>
      <c r="E1209" s="13" t="n">
        <v>119.9</v>
      </c>
      <c r="F1209" s="12" t="n">
        <v>0.04999542236328125</v>
      </c>
      <c r="G1209" s="4" t="n">
        <v>1</v>
      </c>
      <c r="H1209" s="4">
        <f>IF(OR(N(F1209)&gt;=0.5,G1209&gt;=4),3,IF(OR(N(F1209)&gt;=0.3,G1209=3),2,IF(OR(N(F1209)&gt;=0.1,G1209&gt;=1),1,0)))</f>
        <v/>
      </c>
      <c r="I1209" s="4">
        <f>CHOOSE(H1209+1,"Kein Risiko","Gering","Mittel","Hoch")</f>
        <v/>
      </c>
    </row>
    <row r="1210">
      <c r="A1210" s="4" t="n">
        <v>1206</v>
      </c>
      <c r="B1210" s="4" t="inlineStr">
        <is>
          <t>yes</t>
        </is>
      </c>
      <c r="C1210" s="4" t="inlineStr">
        <is>
          <t>Bissenkamp</t>
        </is>
      </c>
      <c r="D1210" s="4" t="inlineStr">
        <is>
          <t>5</t>
        </is>
      </c>
      <c r="E1210" s="13" t="n">
        <v>78</v>
      </c>
      <c r="F1210" s="12" t="n">
        <v>0.01000213623046875</v>
      </c>
      <c r="G1210" s="4" t="n">
        <v>0</v>
      </c>
      <c r="H1210" s="4">
        <f>IF(OR(N(F1210)&gt;=0.5,G1210&gt;=4),3,IF(OR(N(F1210)&gt;=0.3,G1210=3),2,IF(OR(N(F1210)&gt;=0.1,G1210&gt;=1),1,0)))</f>
        <v/>
      </c>
      <c r="I1210" s="4">
        <f>CHOOSE(H1210+1,"Kein Risiko","Gering","Mittel","Hoch")</f>
        <v/>
      </c>
    </row>
    <row r="1211">
      <c r="A1211" s="4" t="n">
        <v>1207</v>
      </c>
      <c r="B1211" s="4" t="inlineStr">
        <is>
          <t>yes</t>
        </is>
      </c>
      <c r="C1211" s="4" t="inlineStr">
        <is>
          <t>Bissenkamp</t>
        </is>
      </c>
      <c r="D1211" s="4" t="inlineStr">
        <is>
          <t>1</t>
        </is>
      </c>
      <c r="E1211" s="13" t="n">
        <v>115.3</v>
      </c>
      <c r="F1211" s="12" t="n">
        <v>0</v>
      </c>
      <c r="G1211" s="4" t="n">
        <v>0</v>
      </c>
      <c r="H1211" s="4">
        <f>IF(OR(N(F1211)&gt;=0.5,G1211&gt;=4),3,IF(OR(N(F1211)&gt;=0.3,G1211=3),2,IF(OR(N(F1211)&gt;=0.1,G1211&gt;=1),1,0)))</f>
        <v/>
      </c>
      <c r="I1211" s="4">
        <f>CHOOSE(H1211+1,"Kein Risiko","Gering","Mittel","Hoch")</f>
        <v/>
      </c>
    </row>
    <row r="1212">
      <c r="A1212" s="4" t="n">
        <v>1208</v>
      </c>
      <c r="B1212" s="4" t="inlineStr">
        <is>
          <t>yes</t>
        </is>
      </c>
      <c r="C1212" s="4" t="inlineStr">
        <is>
          <t>Bissenkamp</t>
        </is>
      </c>
      <c r="D1212" s="4" t="inlineStr">
        <is>
          <t>7</t>
        </is>
      </c>
      <c r="E1212" s="13" t="n">
        <v>111.8</v>
      </c>
      <c r="F1212" s="12" t="n">
        <v>0</v>
      </c>
      <c r="G1212" s="4" t="n">
        <v>0</v>
      </c>
      <c r="H1212" s="4">
        <f>IF(OR(N(F1212)&gt;=0.5,G1212&gt;=4),3,IF(OR(N(F1212)&gt;=0.3,G1212=3),2,IF(OR(N(F1212)&gt;=0.1,G1212&gt;=1),1,0)))</f>
        <v/>
      </c>
      <c r="I1212" s="4">
        <f>CHOOSE(H1212+1,"Kein Risiko","Gering","Mittel","Hoch")</f>
        <v/>
      </c>
    </row>
    <row r="1213">
      <c r="A1213" s="4" t="n">
        <v>1209</v>
      </c>
      <c r="B1213" s="4" t="inlineStr">
        <is>
          <t>yes</t>
        </is>
      </c>
      <c r="C1213" s="4" t="inlineStr">
        <is>
          <t>Bissenkamp</t>
        </is>
      </c>
      <c r="D1213" s="4" t="inlineStr">
        <is>
          <t>10</t>
        </is>
      </c>
      <c r="E1213" s="13" t="n">
        <v>50.1</v>
      </c>
      <c r="F1213" s="12" t="n">
        <v>0</v>
      </c>
      <c r="G1213" s="4" t="n">
        <v>0</v>
      </c>
      <c r="H1213" s="4">
        <f>IF(OR(N(F1213)&gt;=0.5,G1213&gt;=4),3,IF(OR(N(F1213)&gt;=0.3,G1213=3),2,IF(OR(N(F1213)&gt;=0.1,G1213&gt;=1),1,0)))</f>
        <v/>
      </c>
      <c r="I1213" s="4">
        <f>CHOOSE(H1213+1,"Kein Risiko","Gering","Mittel","Hoch")</f>
        <v/>
      </c>
    </row>
    <row r="1214">
      <c r="A1214" s="4" t="n">
        <v>1210</v>
      </c>
      <c r="B1214" s="4" t="inlineStr">
        <is>
          <t>residential</t>
        </is>
      </c>
      <c r="C1214" s="4" t="inlineStr">
        <is>
          <t>Bissenkamp</t>
        </is>
      </c>
      <c r="D1214" s="4" t="inlineStr">
        <is>
          <t>6</t>
        </is>
      </c>
      <c r="E1214" s="13" t="n">
        <v>55.5</v>
      </c>
      <c r="F1214" s="12" t="n">
        <v>0</v>
      </c>
      <c r="G1214" s="4" t="n">
        <v>0</v>
      </c>
      <c r="H1214" s="4">
        <f>IF(OR(N(F1214)&gt;=0.5,G1214&gt;=4),3,IF(OR(N(F1214)&gt;=0.3,G1214=3),2,IF(OR(N(F1214)&gt;=0.1,G1214&gt;=1),1,0)))</f>
        <v/>
      </c>
      <c r="I1214" s="4">
        <f>CHOOSE(H1214+1,"Kein Risiko","Gering","Mittel","Hoch")</f>
        <v/>
      </c>
    </row>
    <row r="1215">
      <c r="A1215" s="4" t="n">
        <v>1211</v>
      </c>
      <c r="B1215" s="4" t="inlineStr">
        <is>
          <t>yes</t>
        </is>
      </c>
      <c r="C1215" s="4" t="inlineStr">
        <is>
          <t>Bissenkamp</t>
        </is>
      </c>
      <c r="D1215" s="4" t="inlineStr">
        <is>
          <t>14</t>
        </is>
      </c>
      <c r="E1215" s="13" t="n">
        <v>92.8</v>
      </c>
      <c r="F1215" s="12" t="n">
        <v>0</v>
      </c>
      <c r="G1215" s="4" t="n">
        <v>0</v>
      </c>
      <c r="H1215" s="4">
        <f>IF(OR(N(F1215)&gt;=0.5,G1215&gt;=4),3,IF(OR(N(F1215)&gt;=0.3,G1215=3),2,IF(OR(N(F1215)&gt;=0.1,G1215&gt;=1),1,0)))</f>
        <v/>
      </c>
      <c r="I1215" s="4">
        <f>CHOOSE(H1215+1,"Kein Risiko","Gering","Mittel","Hoch")</f>
        <v/>
      </c>
    </row>
    <row r="1216">
      <c r="A1216" s="4" t="n">
        <v>1212</v>
      </c>
      <c r="B1216" s="4" t="inlineStr">
        <is>
          <t>yes</t>
        </is>
      </c>
      <c r="C1216" s="4" t="inlineStr"/>
      <c r="D1216" s="4" t="inlineStr"/>
      <c r="E1216" s="13" t="n">
        <v>89.7</v>
      </c>
      <c r="F1216" s="12" t="n">
        <v>0</v>
      </c>
      <c r="G1216" s="4" t="n">
        <v>1</v>
      </c>
      <c r="H1216" s="4">
        <f>IF(OR(N(F1216)&gt;=0.5,G1216&gt;=4),3,IF(OR(N(F1216)&gt;=0.3,G1216=3),2,IF(OR(N(F1216)&gt;=0.1,G1216&gt;=1),1,0)))</f>
        <v/>
      </c>
      <c r="I1216" s="4">
        <f>CHOOSE(H1216+1,"Kein Risiko","Gering","Mittel","Hoch")</f>
        <v/>
      </c>
    </row>
    <row r="1217">
      <c r="A1217" s="4" t="n">
        <v>1213</v>
      </c>
      <c r="B1217" s="4" t="inlineStr">
        <is>
          <t>house</t>
        </is>
      </c>
      <c r="C1217" s="4" t="inlineStr">
        <is>
          <t>Bissenkamp</t>
        </is>
      </c>
      <c r="D1217" s="4" t="inlineStr">
        <is>
          <t>20</t>
        </is>
      </c>
      <c r="E1217" s="13" t="n">
        <v>82.2</v>
      </c>
      <c r="F1217" s="12" t="n">
        <v>0</v>
      </c>
      <c r="G1217" s="4" t="n">
        <v>1</v>
      </c>
      <c r="H1217" s="4">
        <f>IF(OR(N(F1217)&gt;=0.5,G1217&gt;=4),3,IF(OR(N(F1217)&gt;=0.3,G1217=3),2,IF(OR(N(F1217)&gt;=0.1,G1217&gt;=1),1,0)))</f>
        <v/>
      </c>
      <c r="I1217" s="4">
        <f>CHOOSE(H1217+1,"Kein Risiko","Gering","Mittel","Hoch")</f>
        <v/>
      </c>
    </row>
    <row r="1218">
      <c r="A1218" s="4" t="n">
        <v>1214</v>
      </c>
      <c r="B1218" s="4" t="inlineStr">
        <is>
          <t>yes</t>
        </is>
      </c>
      <c r="C1218" s="4" t="inlineStr">
        <is>
          <t>Bissenkamp</t>
        </is>
      </c>
      <c r="D1218" s="4" t="inlineStr">
        <is>
          <t>28</t>
        </is>
      </c>
      <c r="E1218" s="13" t="n">
        <v>136.2</v>
      </c>
      <c r="F1218" s="12" t="n">
        <v>0</v>
      </c>
      <c r="G1218" s="4" t="n">
        <v>0</v>
      </c>
      <c r="H1218" s="4">
        <f>IF(OR(N(F1218)&gt;=0.5,G1218&gt;=4),3,IF(OR(N(F1218)&gt;=0.3,G1218=3),2,IF(OR(N(F1218)&gt;=0.1,G1218&gt;=1),1,0)))</f>
        <v/>
      </c>
      <c r="I1218" s="4">
        <f>CHOOSE(H1218+1,"Kein Risiko","Gering","Mittel","Hoch")</f>
        <v/>
      </c>
    </row>
    <row r="1219">
      <c r="A1219" s="4" t="n">
        <v>1215</v>
      </c>
      <c r="B1219" s="4" t="inlineStr">
        <is>
          <t>house</t>
        </is>
      </c>
      <c r="C1219" s="4" t="inlineStr">
        <is>
          <t>Frauenstein</t>
        </is>
      </c>
      <c r="D1219" s="4" t="inlineStr">
        <is>
          <t>45</t>
        </is>
      </c>
      <c r="E1219" s="13" t="n">
        <v>191</v>
      </c>
      <c r="F1219" s="12" t="n">
        <v>0.0500030517578125</v>
      </c>
      <c r="G1219" s="4" t="n">
        <v>1</v>
      </c>
      <c r="H1219" s="4">
        <f>IF(OR(N(F1219)&gt;=0.5,G1219&gt;=4),3,IF(OR(N(F1219)&gt;=0.3,G1219=3),2,IF(OR(N(F1219)&gt;=0.1,G1219&gt;=1),1,0)))</f>
        <v/>
      </c>
      <c r="I1219" s="4">
        <f>CHOOSE(H1219+1,"Kein Risiko","Gering","Mittel","Hoch")</f>
        <v/>
      </c>
    </row>
    <row r="1220">
      <c r="A1220" s="4" t="n">
        <v>1216</v>
      </c>
      <c r="B1220" s="4" t="inlineStr">
        <is>
          <t>house</t>
        </is>
      </c>
      <c r="C1220" s="4" t="inlineStr">
        <is>
          <t>Frauenstein</t>
        </is>
      </c>
      <c r="D1220" s="4" t="inlineStr">
        <is>
          <t>47</t>
        </is>
      </c>
      <c r="E1220" s="13" t="n">
        <v>168.8</v>
      </c>
      <c r="F1220" s="12" t="n">
        <v>0</v>
      </c>
      <c r="G1220" s="4" t="n">
        <v>0</v>
      </c>
      <c r="H1220" s="4">
        <f>IF(OR(N(F1220)&gt;=0.5,G1220&gt;=4),3,IF(OR(N(F1220)&gt;=0.3,G1220=3),2,IF(OR(N(F1220)&gt;=0.1,G1220&gt;=1),1,0)))</f>
        <v/>
      </c>
      <c r="I1220" s="4">
        <f>CHOOSE(H1220+1,"Kein Risiko","Gering","Mittel","Hoch")</f>
        <v/>
      </c>
    </row>
    <row r="1221">
      <c r="A1221" s="4" t="n">
        <v>1217</v>
      </c>
      <c r="B1221" s="4" t="inlineStr">
        <is>
          <t>house</t>
        </is>
      </c>
      <c r="C1221" s="4" t="inlineStr">
        <is>
          <t>Frauenstein</t>
        </is>
      </c>
      <c r="D1221" s="4" t="inlineStr">
        <is>
          <t>49</t>
        </is>
      </c>
      <c r="E1221" s="13" t="n">
        <v>155.1</v>
      </c>
      <c r="F1221" s="12" t="n">
        <v>0</v>
      </c>
      <c r="G1221" s="4" t="n">
        <v>1</v>
      </c>
      <c r="H1221" s="4">
        <f>IF(OR(N(F1221)&gt;=0.5,G1221&gt;=4),3,IF(OR(N(F1221)&gt;=0.3,G1221=3),2,IF(OR(N(F1221)&gt;=0.1,G1221&gt;=1),1,0)))</f>
        <v/>
      </c>
      <c r="I1221" s="4">
        <f>CHOOSE(H1221+1,"Kein Risiko","Gering","Mittel","Hoch")</f>
        <v/>
      </c>
    </row>
    <row r="1222">
      <c r="A1222" s="4" t="n">
        <v>1218</v>
      </c>
      <c r="B1222" s="4" t="inlineStr">
        <is>
          <t>yes</t>
        </is>
      </c>
      <c r="C1222" s="4" t="inlineStr">
        <is>
          <t>Frauenstein</t>
        </is>
      </c>
      <c r="D1222" s="4" t="inlineStr">
        <is>
          <t>23</t>
        </is>
      </c>
      <c r="E1222" s="13" t="n">
        <v>54.3</v>
      </c>
      <c r="F1222" s="12" t="n">
        <v>0</v>
      </c>
      <c r="G1222" s="4" t="n">
        <v>1</v>
      </c>
      <c r="H1222" s="4">
        <f>IF(OR(N(F1222)&gt;=0.5,G1222&gt;=4),3,IF(OR(N(F1222)&gt;=0.3,G1222=3),2,IF(OR(N(F1222)&gt;=0.1,G1222&gt;=1),1,0)))</f>
        <v/>
      </c>
      <c r="I1222" s="4">
        <f>CHOOSE(H1222+1,"Kein Risiko","Gering","Mittel","Hoch")</f>
        <v/>
      </c>
    </row>
    <row r="1223">
      <c r="A1223" s="4" t="n">
        <v>1219</v>
      </c>
      <c r="B1223" s="4" t="inlineStr">
        <is>
          <t>yes</t>
        </is>
      </c>
      <c r="C1223" s="4" t="inlineStr">
        <is>
          <t>Frauenstein</t>
        </is>
      </c>
      <c r="D1223" s="4" t="inlineStr">
        <is>
          <t>27</t>
        </is>
      </c>
      <c r="E1223" s="13" t="n">
        <v>64.8</v>
      </c>
      <c r="F1223" s="12" t="n">
        <v>0</v>
      </c>
      <c r="G1223" s="4" t="n">
        <v>3</v>
      </c>
      <c r="H1223" s="4">
        <f>IF(OR(N(F1223)&gt;=0.5,G1223&gt;=4),3,IF(OR(N(F1223)&gt;=0.3,G1223=3),2,IF(OR(N(F1223)&gt;=0.1,G1223&gt;=1),1,0)))</f>
        <v/>
      </c>
      <c r="I1223" s="4">
        <f>CHOOSE(H1223+1,"Kein Risiko","Gering","Mittel","Hoch")</f>
        <v/>
      </c>
    </row>
    <row r="1224">
      <c r="A1224" s="4" t="n">
        <v>1220</v>
      </c>
      <c r="B1224" s="4" t="inlineStr">
        <is>
          <t>yes</t>
        </is>
      </c>
      <c r="C1224" s="4" t="inlineStr">
        <is>
          <t>Frauenstein</t>
        </is>
      </c>
      <c r="D1224" s="4" t="inlineStr">
        <is>
          <t>19</t>
        </is>
      </c>
      <c r="E1224" s="13" t="n">
        <v>51.5</v>
      </c>
      <c r="F1224" s="12" t="n">
        <v>0</v>
      </c>
      <c r="G1224" s="4" t="n">
        <v>0</v>
      </c>
      <c r="H1224" s="4">
        <f>IF(OR(N(F1224)&gt;=0.5,G1224&gt;=4),3,IF(OR(N(F1224)&gt;=0.3,G1224=3),2,IF(OR(N(F1224)&gt;=0.1,G1224&gt;=1),1,0)))</f>
        <v/>
      </c>
      <c r="I1224" s="4">
        <f>CHOOSE(H1224+1,"Kein Risiko","Gering","Mittel","Hoch")</f>
        <v/>
      </c>
    </row>
    <row r="1225">
      <c r="A1225" s="4" t="n">
        <v>1221</v>
      </c>
      <c r="B1225" s="4" t="inlineStr">
        <is>
          <t>garages</t>
        </is>
      </c>
      <c r="C1225" s="4" t="inlineStr"/>
      <c r="D1225" s="4" t="inlineStr"/>
      <c r="E1225" s="13" t="n">
        <v>161.5</v>
      </c>
      <c r="F1225" s="12" t="n">
        <v>0.06999969482421875</v>
      </c>
      <c r="G1225" s="4" t="n">
        <v>3</v>
      </c>
      <c r="H1225" s="4">
        <f>IF(OR(N(F1225)&gt;=0.5,G1225&gt;=4),3,IF(OR(N(F1225)&gt;=0.3,G1225=3),2,IF(OR(N(F1225)&gt;=0.1,G1225&gt;=1),1,0)))</f>
        <v/>
      </c>
      <c r="I1225" s="4">
        <f>CHOOSE(H1225+1,"Kein Risiko","Gering","Mittel","Hoch")</f>
        <v/>
      </c>
    </row>
    <row r="1226">
      <c r="A1226" s="4" t="n">
        <v>1222</v>
      </c>
      <c r="B1226" s="4" t="inlineStr">
        <is>
          <t>garages</t>
        </is>
      </c>
      <c r="C1226" s="4" t="inlineStr"/>
      <c r="D1226" s="4" t="inlineStr"/>
      <c r="E1226" s="13" t="n">
        <v>52.7</v>
      </c>
      <c r="F1226" s="12" t="n">
        <v>0.01999664306640625</v>
      </c>
      <c r="G1226" s="4" t="n">
        <v>0</v>
      </c>
      <c r="H1226" s="4">
        <f>IF(OR(N(F1226)&gt;=0.5,G1226&gt;=4),3,IF(OR(N(F1226)&gt;=0.3,G1226=3),2,IF(OR(N(F1226)&gt;=0.1,G1226&gt;=1),1,0)))</f>
        <v/>
      </c>
      <c r="I1226" s="4">
        <f>CHOOSE(H1226+1,"Kein Risiko","Gering","Mittel","Hoch")</f>
        <v/>
      </c>
    </row>
    <row r="1227">
      <c r="A1227" s="4" t="n">
        <v>1223</v>
      </c>
      <c r="B1227" s="4" t="inlineStr">
        <is>
          <t>garages</t>
        </is>
      </c>
      <c r="C1227" s="4" t="inlineStr"/>
      <c r="D1227" s="4" t="inlineStr"/>
      <c r="E1227" s="13" t="n">
        <v>50.2</v>
      </c>
      <c r="F1227" s="12" t="n">
        <v>0</v>
      </c>
      <c r="G1227" s="4" t="n">
        <v>3</v>
      </c>
      <c r="H1227" s="4">
        <f>IF(OR(N(F1227)&gt;=0.5,G1227&gt;=4),3,IF(OR(N(F1227)&gt;=0.3,G1227=3),2,IF(OR(N(F1227)&gt;=0.1,G1227&gt;=1),1,0)))</f>
        <v/>
      </c>
      <c r="I1227" s="4">
        <f>CHOOSE(H1227+1,"Kein Risiko","Gering","Mittel","Hoch")</f>
        <v/>
      </c>
    </row>
    <row r="1228">
      <c r="A1228" s="4" t="n">
        <v>1224</v>
      </c>
      <c r="B1228" s="4" t="inlineStr">
        <is>
          <t>yes</t>
        </is>
      </c>
      <c r="C1228" s="4" t="inlineStr">
        <is>
          <t>Oslenderstraße</t>
        </is>
      </c>
      <c r="D1228" s="4" t="inlineStr">
        <is>
          <t>21b</t>
        </is>
      </c>
      <c r="E1228" s="13" t="n">
        <v>60.1</v>
      </c>
      <c r="F1228" s="12" t="n">
        <v>0</v>
      </c>
      <c r="G1228" s="4" t="n">
        <v>0</v>
      </c>
      <c r="H1228" s="4">
        <f>IF(OR(N(F1228)&gt;=0.5,G1228&gt;=4),3,IF(OR(N(F1228)&gt;=0.3,G1228=3),2,IF(OR(N(F1228)&gt;=0.1,G1228&gt;=1),1,0)))</f>
        <v/>
      </c>
      <c r="I1228" s="4">
        <f>CHOOSE(H1228+1,"Kein Risiko","Gering","Mittel","Hoch")</f>
        <v/>
      </c>
    </row>
    <row r="1229">
      <c r="A1229" s="4" t="n">
        <v>1225</v>
      </c>
      <c r="B1229" s="4" t="inlineStr">
        <is>
          <t>detached</t>
        </is>
      </c>
      <c r="C1229" s="4" t="inlineStr">
        <is>
          <t>Dilldorfer Straße</t>
        </is>
      </c>
      <c r="D1229" s="4" t="inlineStr">
        <is>
          <t>52a</t>
        </is>
      </c>
      <c r="E1229" s="13" t="n">
        <v>121.6</v>
      </c>
      <c r="F1229" s="12" t="n">
        <v>0.029998779296875</v>
      </c>
      <c r="G1229" s="4" t="n">
        <v>1</v>
      </c>
      <c r="H1229" s="4">
        <f>IF(OR(N(F1229)&gt;=0.5,G1229&gt;=4),3,IF(OR(N(F1229)&gt;=0.3,G1229=3),2,IF(OR(N(F1229)&gt;=0.1,G1229&gt;=1),1,0)))</f>
        <v/>
      </c>
      <c r="I1229" s="4">
        <f>CHOOSE(H1229+1,"Kein Risiko","Gering","Mittel","Hoch")</f>
        <v/>
      </c>
    </row>
    <row r="1230">
      <c r="A1230" s="4" t="n">
        <v>1226</v>
      </c>
      <c r="B1230" s="4" t="inlineStr">
        <is>
          <t>apartments</t>
        </is>
      </c>
      <c r="C1230" s="4" t="inlineStr"/>
      <c r="D1230" s="4" t="inlineStr"/>
      <c r="E1230" s="13" t="n">
        <v>436.3</v>
      </c>
      <c r="F1230" s="12" t="n">
        <v>0.01999664306640625</v>
      </c>
      <c r="G1230" s="4" t="n">
        <v>2</v>
      </c>
      <c r="H1230" s="4">
        <f>IF(OR(N(F1230)&gt;=0.5,G1230&gt;=4),3,IF(OR(N(F1230)&gt;=0.3,G1230=3),2,IF(OR(N(F1230)&gt;=0.1,G1230&gt;=1),1,0)))</f>
        <v/>
      </c>
      <c r="I1230" s="4">
        <f>CHOOSE(H1230+1,"Kein Risiko","Gering","Mittel","Hoch")</f>
        <v/>
      </c>
    </row>
    <row r="1231">
      <c r="A1231" s="4" t="n">
        <v>1227</v>
      </c>
      <c r="B1231" s="4" t="inlineStr">
        <is>
          <t>yes</t>
        </is>
      </c>
      <c r="C1231" s="4" t="inlineStr">
        <is>
          <t>Rathgeberhof</t>
        </is>
      </c>
      <c r="D1231" s="4" t="inlineStr">
        <is>
          <t>3</t>
        </is>
      </c>
      <c r="E1231" s="13" t="n">
        <v>165</v>
      </c>
      <c r="F1231" s="12" t="n">
        <v>0</v>
      </c>
      <c r="G1231" s="4" t="n">
        <v>2</v>
      </c>
      <c r="H1231" s="4">
        <f>IF(OR(N(F1231)&gt;=0.5,G1231&gt;=4),3,IF(OR(N(F1231)&gt;=0.3,G1231=3),2,IF(OR(N(F1231)&gt;=0.1,G1231&gt;=1),1,0)))</f>
        <v/>
      </c>
      <c r="I1231" s="4">
        <f>CHOOSE(H1231+1,"Kein Risiko","Gering","Mittel","Hoch")</f>
        <v/>
      </c>
    </row>
    <row r="1232">
      <c r="A1232" s="4" t="n">
        <v>1228</v>
      </c>
      <c r="B1232" s="4" t="inlineStr">
        <is>
          <t>yes</t>
        </is>
      </c>
      <c r="C1232" s="4" t="inlineStr">
        <is>
          <t>Dilldorfer Straße</t>
        </is>
      </c>
      <c r="D1232" s="4" t="inlineStr">
        <is>
          <t>27</t>
        </is>
      </c>
      <c r="E1232" s="13" t="n">
        <v>358.4</v>
      </c>
      <c r="F1232" s="12" t="n">
        <v>0.029998779296875</v>
      </c>
      <c r="G1232" s="4" t="n">
        <v>0</v>
      </c>
      <c r="H1232" s="4">
        <f>IF(OR(N(F1232)&gt;=0.5,G1232&gt;=4),3,IF(OR(N(F1232)&gt;=0.3,G1232=3),2,IF(OR(N(F1232)&gt;=0.1,G1232&gt;=1),1,0)))</f>
        <v/>
      </c>
      <c r="I1232" s="4">
        <f>CHOOSE(H1232+1,"Kein Risiko","Gering","Mittel","Hoch")</f>
        <v/>
      </c>
    </row>
    <row r="1233">
      <c r="A1233" s="4" t="n">
        <v>1229</v>
      </c>
      <c r="B1233" s="4" t="inlineStr">
        <is>
          <t>yes</t>
        </is>
      </c>
      <c r="C1233" s="4" t="inlineStr">
        <is>
          <t>Oslenderstraße</t>
        </is>
      </c>
      <c r="D1233" s="4" t="inlineStr">
        <is>
          <t>13</t>
        </is>
      </c>
      <c r="E1233" s="13" t="n">
        <v>164.7</v>
      </c>
      <c r="F1233" s="12" t="n">
        <v>0.2299957275390625</v>
      </c>
      <c r="G1233" s="4" t="n">
        <v>0</v>
      </c>
      <c r="H1233" s="4">
        <f>IF(OR(N(F1233)&gt;=0.5,G1233&gt;=4),3,IF(OR(N(F1233)&gt;=0.3,G1233=3),2,IF(OR(N(F1233)&gt;=0.1,G1233&gt;=1),1,0)))</f>
        <v/>
      </c>
      <c r="I1233" s="4">
        <f>CHOOSE(H1233+1,"Kein Risiko","Gering","Mittel","Hoch")</f>
        <v/>
      </c>
    </row>
    <row r="1234">
      <c r="A1234" s="4" t="n">
        <v>1230</v>
      </c>
      <c r="B1234" s="4" t="inlineStr">
        <is>
          <t>detached</t>
        </is>
      </c>
      <c r="C1234" s="4" t="inlineStr">
        <is>
          <t>Dilldorfer Straße</t>
        </is>
      </c>
      <c r="D1234" s="4" t="inlineStr">
        <is>
          <t>52</t>
        </is>
      </c>
      <c r="E1234" s="13" t="n">
        <v>122.2</v>
      </c>
      <c r="F1234" s="12" t="n">
        <v>0</v>
      </c>
      <c r="G1234" s="4" t="n">
        <v>0</v>
      </c>
      <c r="H1234" s="4">
        <f>IF(OR(N(F1234)&gt;=0.5,G1234&gt;=4),3,IF(OR(N(F1234)&gt;=0.3,G1234=3),2,IF(OR(N(F1234)&gt;=0.1,G1234&gt;=1),1,0)))</f>
        <v/>
      </c>
      <c r="I1234" s="4">
        <f>CHOOSE(H1234+1,"Kein Risiko","Gering","Mittel","Hoch")</f>
        <v/>
      </c>
    </row>
    <row r="1235">
      <c r="A1235" s="4" t="n">
        <v>1231</v>
      </c>
      <c r="B1235" s="4" t="inlineStr">
        <is>
          <t>yes</t>
        </is>
      </c>
      <c r="C1235" s="4" t="inlineStr">
        <is>
          <t>Dilldorfer Straße</t>
        </is>
      </c>
      <c r="D1235" s="4" t="inlineStr">
        <is>
          <t>23</t>
        </is>
      </c>
      <c r="E1235" s="13" t="n">
        <v>326.3</v>
      </c>
      <c r="F1235" s="12" t="n">
        <v>0</v>
      </c>
      <c r="G1235" s="4" t="n">
        <v>0</v>
      </c>
      <c r="H1235" s="4">
        <f>IF(OR(N(F1235)&gt;=0.5,G1235&gt;=4),3,IF(OR(N(F1235)&gt;=0.3,G1235=3),2,IF(OR(N(F1235)&gt;=0.1,G1235&gt;=1),1,0)))</f>
        <v/>
      </c>
      <c r="I1235" s="4">
        <f>CHOOSE(H1235+1,"Kein Risiko","Gering","Mittel","Hoch")</f>
        <v/>
      </c>
    </row>
    <row r="1236">
      <c r="A1236" s="4" t="n">
        <v>1232</v>
      </c>
      <c r="B1236" s="4" t="inlineStr">
        <is>
          <t>monastery</t>
        </is>
      </c>
      <c r="C1236" s="4" t="inlineStr">
        <is>
          <t>Oslenderstraße</t>
        </is>
      </c>
      <c r="D1236" s="4" t="inlineStr">
        <is>
          <t>4</t>
        </is>
      </c>
      <c r="E1236" s="13" t="n">
        <v>163.3</v>
      </c>
      <c r="F1236" s="12" t="n">
        <v>0.06000518798828125</v>
      </c>
      <c r="G1236" s="4" t="n">
        <v>0</v>
      </c>
      <c r="H1236" s="4">
        <f>IF(OR(N(F1236)&gt;=0.5,G1236&gt;=4),3,IF(OR(N(F1236)&gt;=0.3,G1236=3),2,IF(OR(N(F1236)&gt;=0.1,G1236&gt;=1),1,0)))</f>
        <v/>
      </c>
      <c r="I1236" s="4">
        <f>CHOOSE(H1236+1,"Kein Risiko","Gering","Mittel","Hoch")</f>
        <v/>
      </c>
    </row>
    <row r="1237">
      <c r="A1237" s="4" t="n">
        <v>1233</v>
      </c>
      <c r="B1237" s="4" t="inlineStr">
        <is>
          <t>garages</t>
        </is>
      </c>
      <c r="C1237" s="4" t="inlineStr"/>
      <c r="D1237" s="4" t="inlineStr"/>
      <c r="E1237" s="13" t="n">
        <v>30.2</v>
      </c>
      <c r="F1237" s="12" t="n">
        <v>0</v>
      </c>
      <c r="G1237" s="4" t="n">
        <v>0</v>
      </c>
      <c r="H1237" s="4">
        <f>IF(OR(N(F1237)&gt;=0.5,G1237&gt;=4),3,IF(OR(N(F1237)&gt;=0.3,G1237=3),2,IF(OR(N(F1237)&gt;=0.1,G1237&gt;=1),1,0)))</f>
        <v/>
      </c>
      <c r="I1237" s="4">
        <f>CHOOSE(H1237+1,"Kein Risiko","Gering","Mittel","Hoch")</f>
        <v/>
      </c>
    </row>
    <row r="1238">
      <c r="A1238" s="4" t="n">
        <v>1234</v>
      </c>
      <c r="B1238" s="4" t="inlineStr">
        <is>
          <t>detached</t>
        </is>
      </c>
      <c r="C1238" s="4" t="inlineStr">
        <is>
          <t>Dilldorfer Straße</t>
        </is>
      </c>
      <c r="D1238" s="4" t="inlineStr">
        <is>
          <t>48</t>
        </is>
      </c>
      <c r="E1238" s="13" t="n">
        <v>99</v>
      </c>
      <c r="F1238" s="12" t="n">
        <v>0</v>
      </c>
      <c r="G1238" s="4" t="n">
        <v>0</v>
      </c>
      <c r="H1238" s="4">
        <f>IF(OR(N(F1238)&gt;=0.5,G1238&gt;=4),3,IF(OR(N(F1238)&gt;=0.3,G1238=3),2,IF(OR(N(F1238)&gt;=0.1,G1238&gt;=1),1,0)))</f>
        <v/>
      </c>
      <c r="I1238" s="4">
        <f>CHOOSE(H1238+1,"Kein Risiko","Gering","Mittel","Hoch")</f>
        <v/>
      </c>
    </row>
    <row r="1239">
      <c r="A1239" s="4" t="n">
        <v>1235</v>
      </c>
      <c r="B1239" s="4" t="inlineStr">
        <is>
          <t>yes</t>
        </is>
      </c>
      <c r="C1239" s="4" t="inlineStr">
        <is>
          <t>Oslenderstraße</t>
        </is>
      </c>
      <c r="D1239" s="4" t="inlineStr">
        <is>
          <t>11</t>
        </is>
      </c>
      <c r="E1239" s="13" t="n">
        <v>281.2</v>
      </c>
      <c r="F1239" s="12" t="n">
        <v>0.0500030517578125</v>
      </c>
      <c r="G1239" s="4" t="n">
        <v>1</v>
      </c>
      <c r="H1239" s="4">
        <f>IF(OR(N(F1239)&gt;=0.5,G1239&gt;=4),3,IF(OR(N(F1239)&gt;=0.3,G1239=3),2,IF(OR(N(F1239)&gt;=0.1,G1239&gt;=1),1,0)))</f>
        <v/>
      </c>
      <c r="I1239" s="4">
        <f>CHOOSE(H1239+1,"Kein Risiko","Gering","Mittel","Hoch")</f>
        <v/>
      </c>
    </row>
    <row r="1240">
      <c r="A1240" s="4" t="n">
        <v>1236</v>
      </c>
      <c r="B1240" s="4" t="inlineStr">
        <is>
          <t>detached</t>
        </is>
      </c>
      <c r="C1240" s="4" t="inlineStr">
        <is>
          <t>Dilldorfer Straße</t>
        </is>
      </c>
      <c r="D1240" s="4" t="inlineStr">
        <is>
          <t>54</t>
        </is>
      </c>
      <c r="E1240" s="13" t="n">
        <v>104.5</v>
      </c>
      <c r="F1240" s="12" t="n">
        <v>0.06000518798828125</v>
      </c>
      <c r="G1240" s="4" t="n">
        <v>1</v>
      </c>
      <c r="H1240" s="4">
        <f>IF(OR(N(F1240)&gt;=0.5,G1240&gt;=4),3,IF(OR(N(F1240)&gt;=0.3,G1240=3),2,IF(OR(N(F1240)&gt;=0.1,G1240&gt;=1),1,0)))</f>
        <v/>
      </c>
      <c r="I1240" s="4">
        <f>CHOOSE(H1240+1,"Kein Risiko","Gering","Mittel","Hoch")</f>
        <v/>
      </c>
    </row>
    <row r="1241">
      <c r="A1241" s="4" t="n">
        <v>1237</v>
      </c>
      <c r="B1241" s="4" t="inlineStr">
        <is>
          <t>apartments</t>
        </is>
      </c>
      <c r="C1241" s="4" t="inlineStr">
        <is>
          <t>Priemhauser Weg</t>
        </is>
      </c>
      <c r="D1241" s="4" t="inlineStr">
        <is>
          <t>8</t>
        </is>
      </c>
      <c r="E1241" s="13" t="n">
        <v>171.1</v>
      </c>
      <c r="F1241" s="12" t="n">
        <v>0</v>
      </c>
      <c r="G1241" s="4" t="n">
        <v>0</v>
      </c>
      <c r="H1241" s="4">
        <f>IF(OR(N(F1241)&gt;=0.5,G1241&gt;=4),3,IF(OR(N(F1241)&gt;=0.3,G1241=3),2,IF(OR(N(F1241)&gt;=0.1,G1241&gt;=1),1,0)))</f>
        <v/>
      </c>
      <c r="I1241" s="4">
        <f>CHOOSE(H1241+1,"Kein Risiko","Gering","Mittel","Hoch")</f>
        <v/>
      </c>
    </row>
    <row r="1242">
      <c r="A1242" s="4" t="n">
        <v>1238</v>
      </c>
      <c r="B1242" s="4" t="inlineStr">
        <is>
          <t>semidetached_house</t>
        </is>
      </c>
      <c r="C1242" s="4" t="inlineStr">
        <is>
          <t>Priemhauser Weg</t>
        </is>
      </c>
      <c r="D1242" s="4" t="inlineStr">
        <is>
          <t>26</t>
        </is>
      </c>
      <c r="E1242" s="13" t="n">
        <v>79.40000000000001</v>
      </c>
      <c r="F1242" s="12" t="n">
        <v>0.04000091552734375</v>
      </c>
      <c r="G1242" s="4" t="n">
        <v>0</v>
      </c>
      <c r="H1242" s="4">
        <f>IF(OR(N(F1242)&gt;=0.5,G1242&gt;=4),3,IF(OR(N(F1242)&gt;=0.3,G1242=3),2,IF(OR(N(F1242)&gt;=0.1,G1242&gt;=1),1,0)))</f>
        <v/>
      </c>
      <c r="I1242" s="4">
        <f>CHOOSE(H1242+1,"Kein Risiko","Gering","Mittel","Hoch")</f>
        <v/>
      </c>
    </row>
    <row r="1243">
      <c r="A1243" s="4" t="n">
        <v>1239</v>
      </c>
      <c r="B1243" s="4" t="inlineStr">
        <is>
          <t>semidetached_house</t>
        </is>
      </c>
      <c r="C1243" s="4" t="inlineStr">
        <is>
          <t>Priemhauser Weg</t>
        </is>
      </c>
      <c r="D1243" s="4" t="inlineStr">
        <is>
          <t>34</t>
        </is>
      </c>
      <c r="E1243" s="13" t="n">
        <v>96.09999999999999</v>
      </c>
      <c r="F1243" s="12" t="n">
        <v>0.04000091552734375</v>
      </c>
      <c r="G1243" s="4" t="n">
        <v>0</v>
      </c>
      <c r="H1243" s="4">
        <f>IF(OR(N(F1243)&gt;=0.5,G1243&gt;=4),3,IF(OR(N(F1243)&gt;=0.3,G1243=3),2,IF(OR(N(F1243)&gt;=0.1,G1243&gt;=1),1,0)))</f>
        <v/>
      </c>
      <c r="I1243" s="4">
        <f>CHOOSE(H1243+1,"Kein Risiko","Gering","Mittel","Hoch")</f>
        <v/>
      </c>
    </row>
    <row r="1244">
      <c r="A1244" s="4" t="n">
        <v>1240</v>
      </c>
      <c r="B1244" s="4" t="inlineStr">
        <is>
          <t>yes</t>
        </is>
      </c>
      <c r="C1244" s="4" t="inlineStr">
        <is>
          <t>Priemhauser Weg</t>
        </is>
      </c>
      <c r="D1244" s="4" t="inlineStr">
        <is>
          <t>10</t>
        </is>
      </c>
      <c r="E1244" s="13" t="n">
        <v>193.9</v>
      </c>
      <c r="F1244" s="12" t="n">
        <v>0</v>
      </c>
      <c r="G1244" s="4" t="n">
        <v>0</v>
      </c>
      <c r="H1244" s="4">
        <f>IF(OR(N(F1244)&gt;=0.5,G1244&gt;=4),3,IF(OR(N(F1244)&gt;=0.3,G1244=3),2,IF(OR(N(F1244)&gt;=0.1,G1244&gt;=1),1,0)))</f>
        <v/>
      </c>
      <c r="I1244" s="4">
        <f>CHOOSE(H1244+1,"Kein Risiko","Gering","Mittel","Hoch")</f>
        <v/>
      </c>
    </row>
    <row r="1245">
      <c r="A1245" s="4" t="n">
        <v>1241</v>
      </c>
      <c r="B1245" s="4" t="inlineStr">
        <is>
          <t>residential</t>
        </is>
      </c>
      <c r="C1245" s="4" t="inlineStr"/>
      <c r="D1245" s="4" t="inlineStr"/>
      <c r="E1245" s="13" t="n">
        <v>332.6</v>
      </c>
      <c r="F1245" s="12" t="n">
        <v>0</v>
      </c>
      <c r="G1245" s="4" t="n">
        <v>0</v>
      </c>
      <c r="H1245" s="4">
        <f>IF(OR(N(F1245)&gt;=0.5,G1245&gt;=4),3,IF(OR(N(F1245)&gt;=0.3,G1245=3),2,IF(OR(N(F1245)&gt;=0.1,G1245&gt;=1),1,0)))</f>
        <v/>
      </c>
      <c r="I1245" s="4">
        <f>CHOOSE(H1245+1,"Kein Risiko","Gering","Mittel","Hoch")</f>
        <v/>
      </c>
    </row>
    <row r="1246">
      <c r="A1246" s="4" t="n">
        <v>1242</v>
      </c>
      <c r="B1246" s="4" t="inlineStr">
        <is>
          <t>yes</t>
        </is>
      </c>
      <c r="C1246" s="4" t="inlineStr">
        <is>
          <t>Priemhauser Weg</t>
        </is>
      </c>
      <c r="D1246" s="4" t="inlineStr">
        <is>
          <t>30</t>
        </is>
      </c>
      <c r="E1246" s="13" t="n">
        <v>89.90000000000001</v>
      </c>
      <c r="F1246" s="12" t="n">
        <v>0.0099945068359375</v>
      </c>
      <c r="G1246" s="4" t="n">
        <v>0</v>
      </c>
      <c r="H1246" s="4">
        <f>IF(OR(N(F1246)&gt;=0.5,G1246&gt;=4),3,IF(OR(N(F1246)&gt;=0.3,G1246=3),2,IF(OR(N(F1246)&gt;=0.1,G1246&gt;=1),1,0)))</f>
        <v/>
      </c>
      <c r="I1246" s="4">
        <f>CHOOSE(H1246+1,"Kein Risiko","Gering","Mittel","Hoch")</f>
        <v/>
      </c>
    </row>
    <row r="1247">
      <c r="A1247" s="4" t="n">
        <v>1243</v>
      </c>
      <c r="B1247" s="4" t="inlineStr">
        <is>
          <t>semidetached_house</t>
        </is>
      </c>
      <c r="C1247" s="4" t="inlineStr">
        <is>
          <t>Priemhauser Weg</t>
        </is>
      </c>
      <c r="D1247" s="4" t="inlineStr">
        <is>
          <t>24</t>
        </is>
      </c>
      <c r="E1247" s="13" t="n">
        <v>87.8</v>
      </c>
      <c r="F1247" s="12" t="n">
        <v>0.029998779296875</v>
      </c>
      <c r="G1247" s="4" t="n">
        <v>0</v>
      </c>
      <c r="H1247" s="4">
        <f>IF(OR(N(F1247)&gt;=0.5,G1247&gt;=4),3,IF(OR(N(F1247)&gt;=0.3,G1247=3),2,IF(OR(N(F1247)&gt;=0.1,G1247&gt;=1),1,0)))</f>
        <v/>
      </c>
      <c r="I1247" s="4">
        <f>CHOOSE(H1247+1,"Kein Risiko","Gering","Mittel","Hoch")</f>
        <v/>
      </c>
    </row>
    <row r="1248">
      <c r="A1248" s="4" t="n">
        <v>1244</v>
      </c>
      <c r="B1248" s="4" t="inlineStr">
        <is>
          <t>residential</t>
        </is>
      </c>
      <c r="C1248" s="4" t="inlineStr">
        <is>
          <t>Priemhauser Weg</t>
        </is>
      </c>
      <c r="D1248" s="4" t="inlineStr">
        <is>
          <t>6</t>
        </is>
      </c>
      <c r="E1248" s="13" t="n">
        <v>107.6</v>
      </c>
      <c r="F1248" s="12" t="n">
        <v>0</v>
      </c>
      <c r="G1248" s="4" t="n">
        <v>0</v>
      </c>
      <c r="H1248" s="4">
        <f>IF(OR(N(F1248)&gt;=0.5,G1248&gt;=4),3,IF(OR(N(F1248)&gt;=0.3,G1248=3),2,IF(OR(N(F1248)&gt;=0.1,G1248&gt;=1),1,0)))</f>
        <v/>
      </c>
      <c r="I1248" s="4">
        <f>CHOOSE(H1248+1,"Kein Risiko","Gering","Mittel","Hoch")</f>
        <v/>
      </c>
    </row>
    <row r="1249">
      <c r="A1249" s="4" t="n">
        <v>1245</v>
      </c>
      <c r="B1249" s="4" t="inlineStr">
        <is>
          <t>detached</t>
        </is>
      </c>
      <c r="C1249" s="4" t="inlineStr">
        <is>
          <t>Priemhauser Weg</t>
        </is>
      </c>
      <c r="D1249" s="4" t="inlineStr">
        <is>
          <t>11</t>
        </is>
      </c>
      <c r="E1249" s="13" t="n">
        <v>154.4</v>
      </c>
      <c r="F1249" s="12" t="n"/>
      <c r="G1249" s="4" t="n">
        <v>0</v>
      </c>
      <c r="H1249" s="4">
        <f>IF(OR(N(F1249)&gt;=0.5,G1249&gt;=4),3,IF(OR(N(F1249)&gt;=0.3,G1249=3),2,IF(OR(N(F1249)&gt;=0.1,G1249&gt;=1),1,0)))</f>
        <v/>
      </c>
      <c r="I1249" s="4">
        <f>CHOOSE(H1249+1,"Kein Risiko","Gering","Mittel","Hoch")</f>
        <v/>
      </c>
    </row>
    <row r="1250">
      <c r="A1250" s="4" t="n">
        <v>1246</v>
      </c>
      <c r="B1250" s="4" t="inlineStr">
        <is>
          <t>apartments</t>
        </is>
      </c>
      <c r="C1250" s="4" t="inlineStr">
        <is>
          <t>Priemhauser Weg</t>
        </is>
      </c>
      <c r="D1250" s="4" t="inlineStr">
        <is>
          <t>7</t>
        </is>
      </c>
      <c r="E1250" s="13" t="n">
        <v>279</v>
      </c>
      <c r="F1250" s="12" t="n">
        <v>0.09999847412109375</v>
      </c>
      <c r="G1250" s="4" t="n">
        <v>0</v>
      </c>
      <c r="H1250" s="4">
        <f>IF(OR(N(F1250)&gt;=0.5,G1250&gt;=4),3,IF(OR(N(F1250)&gt;=0.3,G1250=3),2,IF(OR(N(F1250)&gt;=0.1,G1250&gt;=1),1,0)))</f>
        <v/>
      </c>
      <c r="I1250" s="4">
        <f>CHOOSE(H1250+1,"Kein Risiko","Gering","Mittel","Hoch")</f>
        <v/>
      </c>
    </row>
    <row r="1251">
      <c r="A1251" s="4" t="n">
        <v>1247</v>
      </c>
      <c r="B1251" s="4" t="inlineStr">
        <is>
          <t>garages</t>
        </is>
      </c>
      <c r="C1251" s="4" t="inlineStr"/>
      <c r="D1251" s="4" t="inlineStr"/>
      <c r="E1251" s="13" t="n">
        <v>97.8</v>
      </c>
      <c r="F1251" s="12" t="n">
        <v>0</v>
      </c>
      <c r="G1251" s="4" t="n">
        <v>0</v>
      </c>
      <c r="H1251" s="4">
        <f>IF(OR(N(F1251)&gt;=0.5,G1251&gt;=4),3,IF(OR(N(F1251)&gt;=0.3,G1251=3),2,IF(OR(N(F1251)&gt;=0.1,G1251&gt;=1),1,0)))</f>
        <v/>
      </c>
      <c r="I1251" s="4">
        <f>CHOOSE(H1251+1,"Kein Risiko","Gering","Mittel","Hoch")</f>
        <v/>
      </c>
    </row>
    <row r="1252">
      <c r="A1252" s="4" t="n">
        <v>1248</v>
      </c>
      <c r="B1252" s="4" t="inlineStr">
        <is>
          <t>yes</t>
        </is>
      </c>
      <c r="C1252" s="4" t="inlineStr">
        <is>
          <t>Priemhauser Weg</t>
        </is>
      </c>
      <c r="D1252" s="4" t="inlineStr">
        <is>
          <t>1</t>
        </is>
      </c>
      <c r="E1252" s="13" t="n">
        <v>135.9</v>
      </c>
      <c r="F1252" s="12" t="n">
        <v>0.029998779296875</v>
      </c>
      <c r="G1252" s="4" t="n">
        <v>0</v>
      </c>
      <c r="H1252" s="4">
        <f>IF(OR(N(F1252)&gt;=0.5,G1252&gt;=4),3,IF(OR(N(F1252)&gt;=0.3,G1252=3),2,IF(OR(N(F1252)&gt;=0.1,G1252&gt;=1),1,0)))</f>
        <v/>
      </c>
      <c r="I1252" s="4">
        <f>CHOOSE(H1252+1,"Kein Risiko","Gering","Mittel","Hoch")</f>
        <v/>
      </c>
    </row>
    <row r="1253">
      <c r="A1253" s="4" t="n">
        <v>1249</v>
      </c>
      <c r="B1253" s="4" t="inlineStr">
        <is>
          <t>yes</t>
        </is>
      </c>
      <c r="C1253" s="4" t="inlineStr"/>
      <c r="D1253" s="4" t="inlineStr"/>
      <c r="E1253" s="13" t="n">
        <v>208.2</v>
      </c>
      <c r="F1253" s="12" t="n">
        <v>0.06999969482421875</v>
      </c>
      <c r="G1253" s="4" t="n">
        <v>2</v>
      </c>
      <c r="H1253" s="4">
        <f>IF(OR(N(F1253)&gt;=0.5,G1253&gt;=4),3,IF(OR(N(F1253)&gt;=0.3,G1253=3),2,IF(OR(N(F1253)&gt;=0.1,G1253&gt;=1),1,0)))</f>
        <v/>
      </c>
      <c r="I1253" s="4">
        <f>CHOOSE(H1253+1,"Kein Risiko","Gering","Mittel","Hoch")</f>
        <v/>
      </c>
    </row>
    <row r="1254">
      <c r="A1254" s="4" t="n">
        <v>1250</v>
      </c>
      <c r="B1254" s="4" t="inlineStr">
        <is>
          <t>yes</t>
        </is>
      </c>
      <c r="C1254" s="4" t="inlineStr">
        <is>
          <t>Deilbachtal</t>
        </is>
      </c>
      <c r="D1254" s="4" t="inlineStr">
        <is>
          <t>15</t>
        </is>
      </c>
      <c r="E1254" s="13" t="n">
        <v>1122.3</v>
      </c>
      <c r="F1254" s="12" t="n">
        <v>0.2399978637695312</v>
      </c>
      <c r="G1254" s="4" t="n">
        <v>2</v>
      </c>
      <c r="H1254" s="4">
        <f>IF(OR(N(F1254)&gt;=0.5,G1254&gt;=4),3,IF(OR(N(F1254)&gt;=0.3,G1254=3),2,IF(OR(N(F1254)&gt;=0.1,G1254&gt;=1),1,0)))</f>
        <v/>
      </c>
      <c r="I1254" s="4">
        <f>CHOOSE(H1254+1,"Kein Risiko","Gering","Mittel","Hoch")</f>
        <v/>
      </c>
    </row>
    <row r="1255">
      <c r="A1255" s="4" t="n">
        <v>1251</v>
      </c>
      <c r="B1255" s="4" t="inlineStr">
        <is>
          <t>yes</t>
        </is>
      </c>
      <c r="C1255" s="4" t="inlineStr"/>
      <c r="D1255" s="4" t="inlineStr"/>
      <c r="E1255" s="13" t="n">
        <v>289</v>
      </c>
      <c r="F1255" s="12" t="n">
        <v>0.220001220703125</v>
      </c>
      <c r="G1255" s="4" t="n">
        <v>0</v>
      </c>
      <c r="H1255" s="4">
        <f>IF(OR(N(F1255)&gt;=0.5,G1255&gt;=4),3,IF(OR(N(F1255)&gt;=0.3,G1255=3),2,IF(OR(N(F1255)&gt;=0.1,G1255&gt;=1),1,0)))</f>
        <v/>
      </c>
      <c r="I1255" s="4">
        <f>CHOOSE(H1255+1,"Kein Risiko","Gering","Mittel","Hoch")</f>
        <v/>
      </c>
    </row>
    <row r="1256">
      <c r="A1256" s="4" t="n">
        <v>1252</v>
      </c>
      <c r="B1256" s="4" t="inlineStr">
        <is>
          <t>industrial</t>
        </is>
      </c>
      <c r="C1256" s="4" t="inlineStr">
        <is>
          <t>Deilbachtal</t>
        </is>
      </c>
      <c r="D1256" s="4" t="inlineStr">
        <is>
          <t>23,25</t>
        </is>
      </c>
      <c r="E1256" s="13" t="n">
        <v>3048.2</v>
      </c>
      <c r="F1256" s="12" t="n">
        <v>0.03999710083007812</v>
      </c>
      <c r="G1256" s="4" t="n">
        <v>2</v>
      </c>
      <c r="H1256" s="4">
        <f>IF(OR(N(F1256)&gt;=0.5,G1256&gt;=4),3,IF(OR(N(F1256)&gt;=0.3,G1256=3),2,IF(OR(N(F1256)&gt;=0.1,G1256&gt;=1),1,0)))</f>
        <v/>
      </c>
      <c r="I1256" s="4">
        <f>CHOOSE(H1256+1,"Kein Risiko","Gering","Mittel","Hoch")</f>
        <v/>
      </c>
    </row>
    <row r="1257">
      <c r="A1257" s="4" t="n">
        <v>1253</v>
      </c>
      <c r="B1257" s="4" t="inlineStr">
        <is>
          <t>yes</t>
        </is>
      </c>
      <c r="C1257" s="4" t="inlineStr"/>
      <c r="D1257" s="4" t="inlineStr"/>
      <c r="E1257" s="13" t="n">
        <v>229.1</v>
      </c>
      <c r="F1257" s="12" t="n"/>
      <c r="G1257" s="4" t="n">
        <v>0</v>
      </c>
      <c r="H1257" s="4">
        <f>IF(OR(N(F1257)&gt;=0.5,G1257&gt;=4),3,IF(OR(N(F1257)&gt;=0.3,G1257=3),2,IF(OR(N(F1257)&gt;=0.1,G1257&gt;=1),1,0)))</f>
        <v/>
      </c>
      <c r="I1257" s="4">
        <f>CHOOSE(H1257+1,"Kein Risiko","Gering","Mittel","Hoch")</f>
        <v/>
      </c>
    </row>
    <row r="1258">
      <c r="A1258" s="4" t="n">
        <v>1254</v>
      </c>
      <c r="B1258" s="4" t="inlineStr">
        <is>
          <t>detached</t>
        </is>
      </c>
      <c r="C1258" s="4" t="inlineStr">
        <is>
          <t>Priembergweg</t>
        </is>
      </c>
      <c r="D1258" s="4" t="inlineStr">
        <is>
          <t>16</t>
        </is>
      </c>
      <c r="E1258" s="13" t="n">
        <v>89.2</v>
      </c>
      <c r="F1258" s="12" t="n"/>
      <c r="G1258" s="4" t="n">
        <v>0</v>
      </c>
      <c r="H1258" s="4">
        <f>IF(OR(N(F1258)&gt;=0.5,G1258&gt;=4),3,IF(OR(N(F1258)&gt;=0.3,G1258=3),2,IF(OR(N(F1258)&gt;=0.1,G1258&gt;=1),1,0)))</f>
        <v/>
      </c>
      <c r="I1258" s="4">
        <f>CHOOSE(H1258+1,"Kein Risiko","Gering","Mittel","Hoch")</f>
        <v/>
      </c>
    </row>
    <row r="1259">
      <c r="A1259" s="4" t="n">
        <v>1255</v>
      </c>
      <c r="B1259" s="4" t="inlineStr">
        <is>
          <t>detached</t>
        </is>
      </c>
      <c r="C1259" s="4" t="inlineStr">
        <is>
          <t>Priembergweg</t>
        </is>
      </c>
      <c r="D1259" s="4" t="inlineStr">
        <is>
          <t>14</t>
        </is>
      </c>
      <c r="E1259" s="13" t="n">
        <v>88.90000000000001</v>
      </c>
      <c r="F1259" s="12" t="n">
        <v>0</v>
      </c>
      <c r="G1259" s="4" t="n">
        <v>0</v>
      </c>
      <c r="H1259" s="4">
        <f>IF(OR(N(F1259)&gt;=0.5,G1259&gt;=4),3,IF(OR(N(F1259)&gt;=0.3,G1259=3),2,IF(OR(N(F1259)&gt;=0.1,G1259&gt;=1),1,0)))</f>
        <v/>
      </c>
      <c r="I1259" s="4">
        <f>CHOOSE(H1259+1,"Kein Risiko","Gering","Mittel","Hoch")</f>
        <v/>
      </c>
    </row>
    <row r="1260">
      <c r="A1260" s="4" t="n">
        <v>1256</v>
      </c>
      <c r="B1260" s="4" t="inlineStr">
        <is>
          <t>detached</t>
        </is>
      </c>
      <c r="C1260" s="4" t="inlineStr">
        <is>
          <t>Priembergweg</t>
        </is>
      </c>
      <c r="D1260" s="4" t="inlineStr">
        <is>
          <t>12</t>
        </is>
      </c>
      <c r="E1260" s="13" t="n">
        <v>135</v>
      </c>
      <c r="F1260" s="12" t="n">
        <v>0.06000518798828125</v>
      </c>
      <c r="G1260" s="4" t="n">
        <v>0</v>
      </c>
      <c r="H1260" s="4">
        <f>IF(OR(N(F1260)&gt;=0.5,G1260&gt;=4),3,IF(OR(N(F1260)&gt;=0.3,G1260=3),2,IF(OR(N(F1260)&gt;=0.1,G1260&gt;=1),1,0)))</f>
        <v/>
      </c>
      <c r="I1260" s="4">
        <f>CHOOSE(H1260+1,"Kein Risiko","Gering","Mittel","Hoch")</f>
        <v/>
      </c>
    </row>
    <row r="1261">
      <c r="A1261" s="4" t="n">
        <v>1257</v>
      </c>
      <c r="B1261" s="4" t="inlineStr">
        <is>
          <t>house</t>
        </is>
      </c>
      <c r="C1261" s="4" t="inlineStr">
        <is>
          <t>Priembergweg</t>
        </is>
      </c>
      <c r="D1261" s="4" t="inlineStr">
        <is>
          <t>8</t>
        </is>
      </c>
      <c r="E1261" s="13" t="n">
        <v>92.59999999999999</v>
      </c>
      <c r="F1261" s="12" t="n">
        <v>0</v>
      </c>
      <c r="G1261" s="4" t="n">
        <v>0</v>
      </c>
      <c r="H1261" s="4">
        <f>IF(OR(N(F1261)&gt;=0.5,G1261&gt;=4),3,IF(OR(N(F1261)&gt;=0.3,G1261=3),2,IF(OR(N(F1261)&gt;=0.1,G1261&gt;=1),1,0)))</f>
        <v/>
      </c>
      <c r="I1261" s="4">
        <f>CHOOSE(H1261+1,"Kein Risiko","Gering","Mittel","Hoch")</f>
        <v/>
      </c>
    </row>
    <row r="1262">
      <c r="A1262" s="4" t="n">
        <v>1258</v>
      </c>
      <c r="B1262" s="4" t="inlineStr">
        <is>
          <t>yes</t>
        </is>
      </c>
      <c r="C1262" s="4" t="inlineStr">
        <is>
          <t>Deilbachtal</t>
        </is>
      </c>
      <c r="D1262" s="4" t="inlineStr">
        <is>
          <t>3</t>
        </is>
      </c>
      <c r="E1262" s="13" t="n">
        <v>242.5</v>
      </c>
      <c r="F1262" s="12" t="n">
        <v>0.06999969482421875</v>
      </c>
      <c r="G1262" s="4" t="n">
        <v>0</v>
      </c>
      <c r="H1262" s="4">
        <f>IF(OR(N(F1262)&gt;=0.5,G1262&gt;=4),3,IF(OR(N(F1262)&gt;=0.3,G1262=3),2,IF(OR(N(F1262)&gt;=0.1,G1262&gt;=1),1,0)))</f>
        <v/>
      </c>
      <c r="I1262" s="4">
        <f>CHOOSE(H1262+1,"Kein Risiko","Gering","Mittel","Hoch")</f>
        <v/>
      </c>
    </row>
    <row r="1263">
      <c r="A1263" s="4" t="n">
        <v>1259</v>
      </c>
      <c r="B1263" s="4" t="inlineStr">
        <is>
          <t>yes</t>
        </is>
      </c>
      <c r="C1263" s="4" t="inlineStr">
        <is>
          <t>Asbachtal</t>
        </is>
      </c>
      <c r="D1263" s="4" t="inlineStr">
        <is>
          <t>52</t>
        </is>
      </c>
      <c r="E1263" s="13" t="n">
        <v>259.6</v>
      </c>
      <c r="F1263" s="12" t="n">
        <v>0</v>
      </c>
      <c r="G1263" s="4" t="n">
        <v>0</v>
      </c>
      <c r="H1263" s="4">
        <f>IF(OR(N(F1263)&gt;=0.5,G1263&gt;=4),3,IF(OR(N(F1263)&gt;=0.3,G1263=3),2,IF(OR(N(F1263)&gt;=0.1,G1263&gt;=1),1,0)))</f>
        <v/>
      </c>
      <c r="I1263" s="4">
        <f>CHOOSE(H1263+1,"Kein Risiko","Gering","Mittel","Hoch")</f>
        <v/>
      </c>
    </row>
    <row r="1264">
      <c r="A1264" s="4" t="n">
        <v>1260</v>
      </c>
      <c r="B1264" s="4" t="inlineStr">
        <is>
          <t>house</t>
        </is>
      </c>
      <c r="C1264" s="4" t="inlineStr">
        <is>
          <t>Dilldorfer Straße</t>
        </is>
      </c>
      <c r="D1264" s="4" t="inlineStr">
        <is>
          <t>59</t>
        </is>
      </c>
      <c r="E1264" s="13" t="n">
        <v>128.8</v>
      </c>
      <c r="F1264" s="12" t="n">
        <v>0</v>
      </c>
      <c r="G1264" s="4" t="n">
        <v>0</v>
      </c>
      <c r="H1264" s="4">
        <f>IF(OR(N(F1264)&gt;=0.5,G1264&gt;=4),3,IF(OR(N(F1264)&gt;=0.3,G1264=3),2,IF(OR(N(F1264)&gt;=0.1,G1264&gt;=1),1,0)))</f>
        <v/>
      </c>
      <c r="I1264" s="4">
        <f>CHOOSE(H1264+1,"Kein Risiko","Gering","Mittel","Hoch")</f>
        <v/>
      </c>
    </row>
    <row r="1265">
      <c r="A1265" s="4" t="n">
        <v>1261</v>
      </c>
      <c r="B1265" s="4" t="inlineStr">
        <is>
          <t>apartments</t>
        </is>
      </c>
      <c r="C1265" s="4" t="inlineStr">
        <is>
          <t>Dilldorfer Straße</t>
        </is>
      </c>
      <c r="D1265" s="4" t="inlineStr">
        <is>
          <t>45</t>
        </is>
      </c>
      <c r="E1265" s="13" t="n">
        <v>273.2</v>
      </c>
      <c r="F1265" s="12" t="n">
        <v>0</v>
      </c>
      <c r="G1265" s="4" t="n">
        <v>0</v>
      </c>
      <c r="H1265" s="4">
        <f>IF(OR(N(F1265)&gt;=0.5,G1265&gt;=4),3,IF(OR(N(F1265)&gt;=0.3,G1265=3),2,IF(OR(N(F1265)&gt;=0.1,G1265&gt;=1),1,0)))</f>
        <v/>
      </c>
      <c r="I1265" s="4">
        <f>CHOOSE(H1265+1,"Kein Risiko","Gering","Mittel","Hoch")</f>
        <v/>
      </c>
    </row>
    <row r="1266">
      <c r="A1266" s="4" t="n">
        <v>1262</v>
      </c>
      <c r="B1266" s="4" t="inlineStr">
        <is>
          <t>apartments</t>
        </is>
      </c>
      <c r="C1266" s="4" t="inlineStr"/>
      <c r="D1266" s="4" t="inlineStr"/>
      <c r="E1266" s="13" t="n">
        <v>333.9</v>
      </c>
      <c r="F1266" s="12" t="n">
        <v>0.0200042724609375</v>
      </c>
      <c r="G1266" s="4" t="n">
        <v>0</v>
      </c>
      <c r="H1266" s="4">
        <f>IF(OR(N(F1266)&gt;=0.5,G1266&gt;=4),3,IF(OR(N(F1266)&gt;=0.3,G1266=3),2,IF(OR(N(F1266)&gt;=0.1,G1266&gt;=1),1,0)))</f>
        <v/>
      </c>
      <c r="I1266" s="4">
        <f>CHOOSE(H1266+1,"Kein Risiko","Gering","Mittel","Hoch")</f>
        <v/>
      </c>
    </row>
    <row r="1267">
      <c r="A1267" s="4" t="n">
        <v>1263</v>
      </c>
      <c r="B1267" s="4" t="inlineStr">
        <is>
          <t>apartments</t>
        </is>
      </c>
      <c r="C1267" s="4" t="inlineStr">
        <is>
          <t>Dilldorfer Straße</t>
        </is>
      </c>
      <c r="D1267" s="4" t="inlineStr">
        <is>
          <t>47</t>
        </is>
      </c>
      <c r="E1267" s="13" t="n">
        <v>214.8</v>
      </c>
      <c r="F1267" s="12" t="n">
        <v>0</v>
      </c>
      <c r="G1267" s="4" t="n">
        <v>0</v>
      </c>
      <c r="H1267" s="4">
        <f>IF(OR(N(F1267)&gt;=0.5,G1267&gt;=4),3,IF(OR(N(F1267)&gt;=0.3,G1267=3),2,IF(OR(N(F1267)&gt;=0.1,G1267&gt;=1),1,0)))</f>
        <v/>
      </c>
      <c r="I1267" s="4">
        <f>CHOOSE(H1267+1,"Kein Risiko","Gering","Mittel","Hoch")</f>
        <v/>
      </c>
    </row>
    <row r="1268">
      <c r="A1268" s="4" t="n">
        <v>1264</v>
      </c>
      <c r="B1268" s="4" t="inlineStr">
        <is>
          <t>yes</t>
        </is>
      </c>
      <c r="C1268" s="4" t="inlineStr"/>
      <c r="D1268" s="4" t="inlineStr"/>
      <c r="E1268" s="13" t="n">
        <v>266.1</v>
      </c>
      <c r="F1268" s="12" t="n">
        <v>1.110000610351562</v>
      </c>
      <c r="G1268" s="4" t="n">
        <v>3</v>
      </c>
      <c r="H1268" s="4">
        <f>IF(OR(N(F1268)&gt;=0.5,G1268&gt;=4),3,IF(OR(N(F1268)&gt;=0.3,G1268=3),2,IF(OR(N(F1268)&gt;=0.1,G1268&gt;=1),1,0)))</f>
        <v/>
      </c>
      <c r="I1268" s="4">
        <f>CHOOSE(H1268+1,"Kein Risiko","Gering","Mittel","Hoch")</f>
        <v/>
      </c>
    </row>
    <row r="1269">
      <c r="A1269" s="4" t="n">
        <v>1265</v>
      </c>
      <c r="B1269" s="4" t="inlineStr">
        <is>
          <t>yes</t>
        </is>
      </c>
      <c r="C1269" s="4" t="inlineStr"/>
      <c r="D1269" s="4" t="inlineStr"/>
      <c r="E1269" s="13" t="n">
        <v>99.40000000000001</v>
      </c>
      <c r="F1269" s="12" t="n">
        <v>0.9699974060058594</v>
      </c>
      <c r="G1269" s="4" t="n">
        <v>1</v>
      </c>
      <c r="H1269" s="4">
        <f>IF(OR(N(F1269)&gt;=0.5,G1269&gt;=4),3,IF(OR(N(F1269)&gt;=0.3,G1269=3),2,IF(OR(N(F1269)&gt;=0.1,G1269&gt;=1),1,0)))</f>
        <v/>
      </c>
      <c r="I1269" s="4">
        <f>CHOOSE(H1269+1,"Kein Risiko","Gering","Mittel","Hoch")</f>
        <v/>
      </c>
    </row>
    <row r="1270">
      <c r="A1270" s="4" t="n">
        <v>1266</v>
      </c>
      <c r="B1270" s="4" t="inlineStr">
        <is>
          <t>yes</t>
        </is>
      </c>
      <c r="C1270" s="4" t="inlineStr">
        <is>
          <t>Deilbachbrücke</t>
        </is>
      </c>
      <c r="D1270" s="4" t="inlineStr">
        <is>
          <t>10</t>
        </is>
      </c>
      <c r="E1270" s="13" t="n">
        <v>95.90000000000001</v>
      </c>
      <c r="F1270" s="12" t="n">
        <v>0</v>
      </c>
      <c r="G1270" s="4" t="n">
        <v>0</v>
      </c>
      <c r="H1270" s="4">
        <f>IF(OR(N(F1270)&gt;=0.5,G1270&gt;=4),3,IF(OR(N(F1270)&gt;=0.3,G1270=3),2,IF(OR(N(F1270)&gt;=0.1,G1270&gt;=1),1,0)))</f>
        <v/>
      </c>
      <c r="I1270" s="4">
        <f>CHOOSE(H1270+1,"Kein Risiko","Gering","Mittel","Hoch")</f>
        <v/>
      </c>
    </row>
    <row r="1271">
      <c r="A1271" s="4" t="n">
        <v>1267</v>
      </c>
      <c r="B1271" s="4" t="inlineStr">
        <is>
          <t>yes</t>
        </is>
      </c>
      <c r="C1271" s="4" t="inlineStr"/>
      <c r="D1271" s="4" t="inlineStr"/>
      <c r="E1271" s="13" t="n">
        <v>472.5</v>
      </c>
      <c r="F1271" s="12" t="n">
        <v>0.03000259399414062</v>
      </c>
      <c r="G1271" s="4" t="n">
        <v>2</v>
      </c>
      <c r="H1271" s="4">
        <f>IF(OR(N(F1271)&gt;=0.5,G1271&gt;=4),3,IF(OR(N(F1271)&gt;=0.3,G1271=3),2,IF(OR(N(F1271)&gt;=0.1,G1271&gt;=1),1,0)))</f>
        <v/>
      </c>
      <c r="I1271" s="4">
        <f>CHOOSE(H1271+1,"Kein Risiko","Gering","Mittel","Hoch")</f>
        <v/>
      </c>
    </row>
    <row r="1272">
      <c r="A1272" s="4" t="n">
        <v>1268</v>
      </c>
      <c r="B1272" s="4" t="inlineStr">
        <is>
          <t>kindergarten</t>
        </is>
      </c>
      <c r="C1272" s="4" t="inlineStr">
        <is>
          <t>Oslenderstraße</t>
        </is>
      </c>
      <c r="D1272" s="4" t="inlineStr">
        <is>
          <t>10</t>
        </is>
      </c>
      <c r="E1272" s="13" t="n">
        <v>322.1</v>
      </c>
      <c r="F1272" s="12" t="n">
        <v>0.5100021362304688</v>
      </c>
      <c r="G1272" s="4" t="n">
        <v>0</v>
      </c>
      <c r="H1272" s="4">
        <f>IF(OR(N(F1272)&gt;=0.5,G1272&gt;=4),3,IF(OR(N(F1272)&gt;=0.3,G1272=3),2,IF(OR(N(F1272)&gt;=0.1,G1272&gt;=1),1,0)))</f>
        <v/>
      </c>
      <c r="I1272" s="4">
        <f>CHOOSE(H1272+1,"Kein Risiko","Gering","Mittel","Hoch")</f>
        <v/>
      </c>
    </row>
    <row r="1273">
      <c r="A1273" s="4" t="n">
        <v>1269</v>
      </c>
      <c r="B1273" s="4" t="inlineStr">
        <is>
          <t>yes</t>
        </is>
      </c>
      <c r="C1273" s="4" t="inlineStr"/>
      <c r="D1273" s="4" t="inlineStr"/>
      <c r="E1273" s="13" t="n">
        <v>61.6</v>
      </c>
      <c r="F1273" s="12" t="n">
        <v>0</v>
      </c>
      <c r="G1273" s="4" t="n">
        <v>0</v>
      </c>
      <c r="H1273" s="4">
        <f>IF(OR(N(F1273)&gt;=0.5,G1273&gt;=4),3,IF(OR(N(F1273)&gt;=0.3,G1273=3),2,IF(OR(N(F1273)&gt;=0.1,G1273&gt;=1),1,0)))</f>
        <v/>
      </c>
      <c r="I1273" s="4">
        <f>CHOOSE(H1273+1,"Kein Risiko","Gering","Mittel","Hoch")</f>
        <v/>
      </c>
    </row>
    <row r="1274">
      <c r="A1274" s="4" t="n">
        <v>1270</v>
      </c>
      <c r="B1274" s="4" t="inlineStr">
        <is>
          <t>yes</t>
        </is>
      </c>
      <c r="C1274" s="4" t="inlineStr">
        <is>
          <t>Frauenstein</t>
        </is>
      </c>
      <c r="D1274" s="4" t="inlineStr">
        <is>
          <t>137c</t>
        </is>
      </c>
      <c r="E1274" s="13" t="n">
        <v>219.4</v>
      </c>
      <c r="F1274" s="12" t="n">
        <v>0.4599990844726562</v>
      </c>
      <c r="G1274" s="4" t="n">
        <v>1</v>
      </c>
      <c r="H1274" s="4">
        <f>IF(OR(N(F1274)&gt;=0.5,G1274&gt;=4),3,IF(OR(N(F1274)&gt;=0.3,G1274=3),2,IF(OR(N(F1274)&gt;=0.1,G1274&gt;=1),1,0)))</f>
        <v/>
      </c>
      <c r="I1274" s="4">
        <f>CHOOSE(H1274+1,"Kein Risiko","Gering","Mittel","Hoch")</f>
        <v/>
      </c>
    </row>
    <row r="1275">
      <c r="A1275" s="4" t="n">
        <v>1271</v>
      </c>
      <c r="B1275" s="4" t="inlineStr">
        <is>
          <t>yes</t>
        </is>
      </c>
      <c r="C1275" s="4" t="inlineStr">
        <is>
          <t>Frauenstein</t>
        </is>
      </c>
      <c r="D1275" s="4" t="inlineStr">
        <is>
          <t>137b</t>
        </is>
      </c>
      <c r="E1275" s="13" t="n">
        <v>239.4</v>
      </c>
      <c r="F1275" s="12" t="n">
        <v>0.5600051879882812</v>
      </c>
      <c r="G1275" s="4" t="n">
        <v>2</v>
      </c>
      <c r="H1275" s="4">
        <f>IF(OR(N(F1275)&gt;=0.5,G1275&gt;=4),3,IF(OR(N(F1275)&gt;=0.3,G1275=3),2,IF(OR(N(F1275)&gt;=0.1,G1275&gt;=1),1,0)))</f>
        <v/>
      </c>
      <c r="I1275" s="4">
        <f>CHOOSE(H1275+1,"Kein Risiko","Gering","Mittel","Hoch")</f>
        <v/>
      </c>
    </row>
    <row r="1276">
      <c r="A1276" s="4" t="n">
        <v>1272</v>
      </c>
      <c r="B1276" s="4" t="inlineStr">
        <is>
          <t>apartments</t>
        </is>
      </c>
      <c r="C1276" s="4" t="inlineStr"/>
      <c r="D1276" s="4" t="inlineStr"/>
      <c r="E1276" s="13" t="n">
        <v>188.5</v>
      </c>
      <c r="F1276" s="12" t="n">
        <v>0.1099929809570312</v>
      </c>
      <c r="G1276" s="4" t="n">
        <v>2</v>
      </c>
      <c r="H1276" s="4">
        <f>IF(OR(N(F1276)&gt;=0.5,G1276&gt;=4),3,IF(OR(N(F1276)&gt;=0.3,G1276=3),2,IF(OR(N(F1276)&gt;=0.1,G1276&gt;=1),1,0)))</f>
        <v/>
      </c>
      <c r="I1276" s="4">
        <f>CHOOSE(H1276+1,"Kein Risiko","Gering","Mittel","Hoch")</f>
        <v/>
      </c>
    </row>
    <row r="1277">
      <c r="A1277" s="4" t="n">
        <v>1273</v>
      </c>
      <c r="B1277" s="4" t="inlineStr">
        <is>
          <t>yes</t>
        </is>
      </c>
      <c r="C1277" s="4" t="inlineStr">
        <is>
          <t>Frauenstein</t>
        </is>
      </c>
      <c r="D1277" s="4" t="inlineStr">
        <is>
          <t>137a</t>
        </is>
      </c>
      <c r="E1277" s="13" t="n">
        <v>146.8</v>
      </c>
      <c r="F1277" s="12" t="n">
        <v>0.399993896484375</v>
      </c>
      <c r="G1277" s="4" t="n">
        <v>0</v>
      </c>
      <c r="H1277" s="4">
        <f>IF(OR(N(F1277)&gt;=0.5,G1277&gt;=4),3,IF(OR(N(F1277)&gt;=0.3,G1277=3),2,IF(OR(N(F1277)&gt;=0.1,G1277&gt;=1),1,0)))</f>
        <v/>
      </c>
      <c r="I1277" s="4">
        <f>CHOOSE(H1277+1,"Kein Risiko","Gering","Mittel","Hoch")</f>
        <v/>
      </c>
    </row>
    <row r="1278">
      <c r="A1278" s="4" t="n">
        <v>1274</v>
      </c>
      <c r="B1278" s="4" t="inlineStr">
        <is>
          <t>yes</t>
        </is>
      </c>
      <c r="C1278" s="4" t="inlineStr">
        <is>
          <t>Frauenstein</t>
        </is>
      </c>
      <c r="D1278" s="4" t="inlineStr">
        <is>
          <t>137e</t>
        </is>
      </c>
      <c r="E1278" s="13" t="n">
        <v>79.7</v>
      </c>
      <c r="F1278" s="12" t="n">
        <v>0.089996337890625</v>
      </c>
      <c r="G1278" s="4" t="n">
        <v>0</v>
      </c>
      <c r="H1278" s="4">
        <f>IF(OR(N(F1278)&gt;=0.5,G1278&gt;=4),3,IF(OR(N(F1278)&gt;=0.3,G1278=3),2,IF(OR(N(F1278)&gt;=0.1,G1278&gt;=1),1,0)))</f>
        <v/>
      </c>
      <c r="I1278" s="4">
        <f>CHOOSE(H1278+1,"Kein Risiko","Gering","Mittel","Hoch")</f>
        <v/>
      </c>
    </row>
    <row r="1279">
      <c r="A1279" s="4" t="n">
        <v>1275</v>
      </c>
      <c r="B1279" s="4" t="inlineStr">
        <is>
          <t>yes</t>
        </is>
      </c>
      <c r="C1279" s="4" t="inlineStr">
        <is>
          <t>Prinz-Friedrich-Straße</t>
        </is>
      </c>
      <c r="D1279" s="4" t="inlineStr">
        <is>
          <t>34</t>
        </is>
      </c>
      <c r="E1279" s="13" t="n">
        <v>245.6</v>
      </c>
      <c r="F1279" s="12" t="n">
        <v>0.0500030517578125</v>
      </c>
      <c r="G1279" s="4" t="n">
        <v>0</v>
      </c>
      <c r="H1279" s="4">
        <f>IF(OR(N(F1279)&gt;=0.5,G1279&gt;=4),3,IF(OR(N(F1279)&gt;=0.3,G1279=3),2,IF(OR(N(F1279)&gt;=0.1,G1279&gt;=1),1,0)))</f>
        <v/>
      </c>
      <c r="I1279" s="4">
        <f>CHOOSE(H1279+1,"Kein Risiko","Gering","Mittel","Hoch")</f>
        <v/>
      </c>
    </row>
    <row r="1280">
      <c r="A1280" s="4" t="n">
        <v>1276</v>
      </c>
      <c r="B1280" s="4" t="inlineStr">
        <is>
          <t>yes</t>
        </is>
      </c>
      <c r="C1280" s="4" t="inlineStr">
        <is>
          <t>Hinsbecker Berg</t>
        </is>
      </c>
      <c r="D1280" s="4" t="inlineStr">
        <is>
          <t>30</t>
        </is>
      </c>
      <c r="E1280" s="13" t="n">
        <v>584</v>
      </c>
      <c r="F1280" s="12" t="n">
        <v>0.4199981689453125</v>
      </c>
      <c r="G1280" s="4" t="n">
        <v>4</v>
      </c>
      <c r="H1280" s="4">
        <f>IF(OR(N(F1280)&gt;=0.5,G1280&gt;=4),3,IF(OR(N(F1280)&gt;=0.3,G1280=3),2,IF(OR(N(F1280)&gt;=0.1,G1280&gt;=1),1,0)))</f>
        <v/>
      </c>
      <c r="I1280" s="4">
        <f>CHOOSE(H1280+1,"Kein Risiko","Gering","Mittel","Hoch")</f>
        <v/>
      </c>
    </row>
    <row r="1281">
      <c r="A1281" s="4" t="n">
        <v>1277</v>
      </c>
      <c r="B1281" s="4" t="inlineStr">
        <is>
          <t>yes</t>
        </is>
      </c>
      <c r="C1281" s="4" t="inlineStr">
        <is>
          <t>Prinz-Friedrich-Platz</t>
        </is>
      </c>
      <c r="D1281" s="4" t="inlineStr">
        <is>
          <t>3</t>
        </is>
      </c>
      <c r="E1281" s="13" t="n">
        <v>699.2</v>
      </c>
      <c r="F1281" s="12" t="n">
        <v>0.0500030517578125</v>
      </c>
      <c r="G1281" s="4" t="n">
        <v>2</v>
      </c>
      <c r="H1281" s="4">
        <f>IF(OR(N(F1281)&gt;=0.5,G1281&gt;=4),3,IF(OR(N(F1281)&gt;=0.3,G1281=3),2,IF(OR(N(F1281)&gt;=0.1,G1281&gt;=1),1,0)))</f>
        <v/>
      </c>
      <c r="I1281" s="4">
        <f>CHOOSE(H1281+1,"Kein Risiko","Gering","Mittel","Hoch")</f>
        <v/>
      </c>
    </row>
    <row r="1282">
      <c r="A1282" s="4" t="n">
        <v>1278</v>
      </c>
      <c r="B1282" s="4" t="inlineStr">
        <is>
          <t>yes</t>
        </is>
      </c>
      <c r="C1282" s="4" t="inlineStr"/>
      <c r="D1282" s="4" t="inlineStr"/>
      <c r="E1282" s="13" t="n">
        <v>184.4</v>
      </c>
      <c r="F1282" s="12" t="n">
        <v>0</v>
      </c>
      <c r="G1282" s="4" t="n">
        <v>0</v>
      </c>
      <c r="H1282" s="4">
        <f>IF(OR(N(F1282)&gt;=0.5,G1282&gt;=4),3,IF(OR(N(F1282)&gt;=0.3,G1282=3),2,IF(OR(N(F1282)&gt;=0.1,G1282&gt;=1),1,0)))</f>
        <v/>
      </c>
      <c r="I1282" s="4">
        <f>CHOOSE(H1282+1,"Kein Risiko","Gering","Mittel","Hoch")</f>
        <v/>
      </c>
    </row>
    <row r="1283">
      <c r="A1283" s="4" t="n">
        <v>1279</v>
      </c>
      <c r="B1283" s="4" t="inlineStr">
        <is>
          <t>yes</t>
        </is>
      </c>
      <c r="C1283" s="4" t="inlineStr"/>
      <c r="D1283" s="4" t="inlineStr"/>
      <c r="E1283" s="13" t="n">
        <v>186</v>
      </c>
      <c r="F1283" s="12" t="n">
        <v>0.06999969482421875</v>
      </c>
      <c r="G1283" s="4" t="n">
        <v>0</v>
      </c>
      <c r="H1283" s="4">
        <f>IF(OR(N(F1283)&gt;=0.5,G1283&gt;=4),3,IF(OR(N(F1283)&gt;=0.3,G1283=3),2,IF(OR(N(F1283)&gt;=0.1,G1283&gt;=1),1,0)))</f>
        <v/>
      </c>
      <c r="I1283" s="4">
        <f>CHOOSE(H1283+1,"Kein Risiko","Gering","Mittel","Hoch")</f>
        <v/>
      </c>
    </row>
    <row r="1284">
      <c r="A1284" s="4" t="n">
        <v>1280</v>
      </c>
      <c r="B1284" s="4" t="inlineStr">
        <is>
          <t>yes</t>
        </is>
      </c>
      <c r="C1284" s="4" t="inlineStr">
        <is>
          <t>Kupferdreher Straße</t>
        </is>
      </c>
      <c r="D1284" s="4" t="inlineStr">
        <is>
          <t>181a</t>
        </is>
      </c>
      <c r="E1284" s="13" t="n">
        <v>168.3</v>
      </c>
      <c r="F1284" s="12" t="n">
        <v>0</v>
      </c>
      <c r="G1284" s="4" t="n">
        <v>0</v>
      </c>
      <c r="H1284" s="4">
        <f>IF(OR(N(F1284)&gt;=0.5,G1284&gt;=4),3,IF(OR(N(F1284)&gt;=0.3,G1284=3),2,IF(OR(N(F1284)&gt;=0.1,G1284&gt;=1),1,0)))</f>
        <v/>
      </c>
      <c r="I1284" s="4">
        <f>CHOOSE(H1284+1,"Kein Risiko","Gering","Mittel","Hoch")</f>
        <v/>
      </c>
    </row>
    <row r="1285">
      <c r="A1285" s="4" t="n">
        <v>1281</v>
      </c>
      <c r="B1285" s="4" t="inlineStr">
        <is>
          <t>house</t>
        </is>
      </c>
      <c r="C1285" s="4" t="inlineStr">
        <is>
          <t>Benderstraße</t>
        </is>
      </c>
      <c r="D1285" s="4" t="inlineStr">
        <is>
          <t>3</t>
        </is>
      </c>
      <c r="E1285" s="13" t="n">
        <v>82</v>
      </c>
      <c r="F1285" s="12" t="n">
        <v>0.029998779296875</v>
      </c>
      <c r="G1285" s="4" t="n">
        <v>1</v>
      </c>
      <c r="H1285" s="4">
        <f>IF(OR(N(F1285)&gt;=0.5,G1285&gt;=4),3,IF(OR(N(F1285)&gt;=0.3,G1285=3),2,IF(OR(N(F1285)&gt;=0.1,G1285&gt;=1),1,0)))</f>
        <v/>
      </c>
      <c r="I1285" s="4">
        <f>CHOOSE(H1285+1,"Kein Risiko","Gering","Mittel","Hoch")</f>
        <v/>
      </c>
    </row>
    <row r="1286">
      <c r="A1286" s="4" t="n">
        <v>1282</v>
      </c>
      <c r="B1286" s="4" t="inlineStr">
        <is>
          <t>apartments</t>
        </is>
      </c>
      <c r="C1286" s="4" t="inlineStr">
        <is>
          <t>Benderstraße</t>
        </is>
      </c>
      <c r="D1286" s="4" t="inlineStr">
        <is>
          <t>9</t>
        </is>
      </c>
      <c r="E1286" s="13" t="n">
        <v>147.2</v>
      </c>
      <c r="F1286" s="12" t="n">
        <v>0.09000015258789062</v>
      </c>
      <c r="G1286" s="4" t="n">
        <v>0</v>
      </c>
      <c r="H1286" s="4">
        <f>IF(OR(N(F1286)&gt;=0.5,G1286&gt;=4),3,IF(OR(N(F1286)&gt;=0.3,G1286=3),2,IF(OR(N(F1286)&gt;=0.1,G1286&gt;=1),1,0)))</f>
        <v/>
      </c>
      <c r="I1286" s="4">
        <f>CHOOSE(H1286+1,"Kein Risiko","Gering","Mittel","Hoch")</f>
        <v/>
      </c>
    </row>
    <row r="1287">
      <c r="A1287" s="4" t="n">
        <v>1283</v>
      </c>
      <c r="B1287" s="4" t="inlineStr">
        <is>
          <t>apartments</t>
        </is>
      </c>
      <c r="C1287" s="4" t="inlineStr">
        <is>
          <t>Benderstraße</t>
        </is>
      </c>
      <c r="D1287" s="4" t="inlineStr">
        <is>
          <t>10</t>
        </is>
      </c>
      <c r="E1287" s="13" t="n">
        <v>176</v>
      </c>
      <c r="F1287" s="12" t="n">
        <v>0.04000091552734375</v>
      </c>
      <c r="G1287" s="4" t="n">
        <v>2</v>
      </c>
      <c r="H1287" s="4">
        <f>IF(OR(N(F1287)&gt;=0.5,G1287&gt;=4),3,IF(OR(N(F1287)&gt;=0.3,G1287=3),2,IF(OR(N(F1287)&gt;=0.1,G1287&gt;=1),1,0)))</f>
        <v/>
      </c>
      <c r="I1287" s="4">
        <f>CHOOSE(H1287+1,"Kein Risiko","Gering","Mittel","Hoch")</f>
        <v/>
      </c>
    </row>
    <row r="1288">
      <c r="A1288" s="4" t="n">
        <v>1284</v>
      </c>
      <c r="B1288" s="4" t="inlineStr">
        <is>
          <t>garages</t>
        </is>
      </c>
      <c r="C1288" s="4" t="inlineStr"/>
      <c r="D1288" s="4" t="inlineStr"/>
      <c r="E1288" s="13" t="n">
        <v>88.8</v>
      </c>
      <c r="F1288" s="12" t="n">
        <v>0</v>
      </c>
      <c r="G1288" s="4" t="n">
        <v>0</v>
      </c>
      <c r="H1288" s="4">
        <f>IF(OR(N(F1288)&gt;=0.5,G1288&gt;=4),3,IF(OR(N(F1288)&gt;=0.3,G1288=3),2,IF(OR(N(F1288)&gt;=0.1,G1288&gt;=1),1,0)))</f>
        <v/>
      </c>
      <c r="I1288" s="4">
        <f>CHOOSE(H1288+1,"Kein Risiko","Gering","Mittel","Hoch")</f>
        <v/>
      </c>
    </row>
    <row r="1289">
      <c r="A1289" s="4" t="n">
        <v>1285</v>
      </c>
      <c r="B1289" s="4" t="inlineStr">
        <is>
          <t>yes</t>
        </is>
      </c>
      <c r="C1289" s="4" t="inlineStr">
        <is>
          <t>Möllneys Nocken</t>
        </is>
      </c>
      <c r="D1289" s="4" t="inlineStr">
        <is>
          <t>35a</t>
        </is>
      </c>
      <c r="E1289" s="13" t="n">
        <v>169.8</v>
      </c>
      <c r="F1289" s="12" t="n">
        <v>0.029998779296875</v>
      </c>
      <c r="G1289" s="4" t="n">
        <v>0</v>
      </c>
      <c r="H1289" s="4">
        <f>IF(OR(N(F1289)&gt;=0.5,G1289&gt;=4),3,IF(OR(N(F1289)&gt;=0.3,G1289=3),2,IF(OR(N(F1289)&gt;=0.1,G1289&gt;=1),1,0)))</f>
        <v/>
      </c>
      <c r="I1289" s="4">
        <f>CHOOSE(H1289+1,"Kein Risiko","Gering","Mittel","Hoch")</f>
        <v/>
      </c>
    </row>
    <row r="1290">
      <c r="A1290" s="4" t="n">
        <v>1286</v>
      </c>
      <c r="B1290" s="4" t="inlineStr">
        <is>
          <t>shed</t>
        </is>
      </c>
      <c r="C1290" s="4" t="inlineStr"/>
      <c r="D1290" s="4" t="inlineStr"/>
      <c r="E1290" s="13" t="n">
        <v>37.8</v>
      </c>
      <c r="F1290" s="12" t="n">
        <v>0.01000213623046875</v>
      </c>
      <c r="G1290" s="4" t="n">
        <v>0</v>
      </c>
      <c r="H1290" s="4">
        <f>IF(OR(N(F1290)&gt;=0.5,G1290&gt;=4),3,IF(OR(N(F1290)&gt;=0.3,G1290=3),2,IF(OR(N(F1290)&gt;=0.1,G1290&gt;=1),1,0)))</f>
        <v/>
      </c>
      <c r="I1290" s="4">
        <f>CHOOSE(H1290+1,"Kein Risiko","Gering","Mittel","Hoch")</f>
        <v/>
      </c>
    </row>
    <row r="1291">
      <c r="A1291" s="4" t="n">
        <v>1287</v>
      </c>
      <c r="B1291" s="4" t="inlineStr">
        <is>
          <t>residential</t>
        </is>
      </c>
      <c r="C1291" s="4" t="inlineStr"/>
      <c r="D1291" s="4" t="inlineStr"/>
      <c r="E1291" s="13" t="n">
        <v>49.1</v>
      </c>
      <c r="F1291" s="12" t="n">
        <v>0</v>
      </c>
      <c r="G1291" s="4" t="n">
        <v>0</v>
      </c>
      <c r="H1291" s="4">
        <f>IF(OR(N(F1291)&gt;=0.5,G1291&gt;=4),3,IF(OR(N(F1291)&gt;=0.3,G1291=3),2,IF(OR(N(F1291)&gt;=0.1,G1291&gt;=1),1,0)))</f>
        <v/>
      </c>
      <c r="I1291" s="4">
        <f>CHOOSE(H1291+1,"Kein Risiko","Gering","Mittel","Hoch")</f>
        <v/>
      </c>
    </row>
    <row r="1292">
      <c r="A1292" s="4" t="n">
        <v>1288</v>
      </c>
      <c r="B1292" s="4" t="inlineStr">
        <is>
          <t>hospital</t>
        </is>
      </c>
      <c r="C1292" s="4" t="inlineStr"/>
      <c r="D1292" s="4" t="inlineStr"/>
      <c r="E1292" s="13" t="n">
        <v>258.7</v>
      </c>
      <c r="F1292" s="12" t="n">
        <v>0.3799972534179688</v>
      </c>
      <c r="G1292" s="4" t="n">
        <v>2</v>
      </c>
      <c r="H1292" s="4">
        <f>IF(OR(N(F1292)&gt;=0.5,G1292&gt;=4),3,IF(OR(N(F1292)&gt;=0.3,G1292=3),2,IF(OR(N(F1292)&gt;=0.1,G1292&gt;=1),1,0)))</f>
        <v/>
      </c>
      <c r="I1292" s="4">
        <f>CHOOSE(H1292+1,"Kein Risiko","Gering","Mittel","Hoch")</f>
        <v/>
      </c>
    </row>
    <row r="1293">
      <c r="A1293" s="4" t="n">
        <v>1289</v>
      </c>
      <c r="B1293" s="4" t="inlineStr">
        <is>
          <t>hospital</t>
        </is>
      </c>
      <c r="C1293" s="4" t="inlineStr"/>
      <c r="D1293" s="4" t="inlineStr"/>
      <c r="E1293" s="13" t="n">
        <v>622.8</v>
      </c>
      <c r="F1293" s="12" t="n">
        <v>0.75</v>
      </c>
      <c r="G1293" s="4" t="n">
        <v>2</v>
      </c>
      <c r="H1293" s="4">
        <f>IF(OR(N(F1293)&gt;=0.5,G1293&gt;=4),3,IF(OR(N(F1293)&gt;=0.3,G1293=3),2,IF(OR(N(F1293)&gt;=0.1,G1293&gt;=1),1,0)))</f>
        <v/>
      </c>
      <c r="I1293" s="4">
        <f>CHOOSE(H1293+1,"Kein Risiko","Gering","Mittel","Hoch")</f>
        <v/>
      </c>
    </row>
    <row r="1294">
      <c r="A1294" s="4" t="n">
        <v>1290</v>
      </c>
      <c r="B1294" s="4" t="inlineStr">
        <is>
          <t>yes</t>
        </is>
      </c>
      <c r="C1294" s="4" t="inlineStr">
        <is>
          <t>Reulsbergweg</t>
        </is>
      </c>
      <c r="D1294" s="4" t="inlineStr">
        <is>
          <t>1a</t>
        </is>
      </c>
      <c r="E1294" s="13" t="n">
        <v>65.40000000000001</v>
      </c>
      <c r="F1294" s="12" t="n">
        <v>0</v>
      </c>
      <c r="G1294" s="4" t="n">
        <v>0</v>
      </c>
      <c r="H1294" s="4">
        <f>IF(OR(N(F1294)&gt;=0.5,G1294&gt;=4),3,IF(OR(N(F1294)&gt;=0.3,G1294=3),2,IF(OR(N(F1294)&gt;=0.1,G1294&gt;=1),1,0)))</f>
        <v/>
      </c>
      <c r="I1294" s="4">
        <f>CHOOSE(H1294+1,"Kein Risiko","Gering","Mittel","Hoch")</f>
        <v/>
      </c>
    </row>
    <row r="1295">
      <c r="A1295" s="4" t="n">
        <v>1291</v>
      </c>
      <c r="B1295" s="4" t="inlineStr">
        <is>
          <t>yes</t>
        </is>
      </c>
      <c r="C1295" s="4" t="inlineStr">
        <is>
          <t>Dixbäume</t>
        </is>
      </c>
      <c r="D1295" s="4" t="inlineStr">
        <is>
          <t>33</t>
        </is>
      </c>
      <c r="E1295" s="13" t="n">
        <v>65.3</v>
      </c>
      <c r="F1295" s="12" t="n">
        <v>0</v>
      </c>
      <c r="G1295" s="4" t="n">
        <v>0</v>
      </c>
      <c r="H1295" s="4">
        <f>IF(OR(N(F1295)&gt;=0.5,G1295&gt;=4),3,IF(OR(N(F1295)&gt;=0.3,G1295=3),2,IF(OR(N(F1295)&gt;=0.1,G1295&gt;=1),1,0)))</f>
        <v/>
      </c>
      <c r="I1295" s="4">
        <f>CHOOSE(H1295+1,"Kein Risiko","Gering","Mittel","Hoch")</f>
        <v/>
      </c>
    </row>
    <row r="1296">
      <c r="A1296" s="4" t="n">
        <v>1292</v>
      </c>
      <c r="B1296" s="4" t="inlineStr">
        <is>
          <t>yes</t>
        </is>
      </c>
      <c r="C1296" s="4" t="inlineStr">
        <is>
          <t>Hammer Straße</t>
        </is>
      </c>
      <c r="D1296" s="4" t="inlineStr">
        <is>
          <t>218</t>
        </is>
      </c>
      <c r="E1296" s="13" t="n">
        <v>205</v>
      </c>
      <c r="F1296" s="12" t="n">
        <v>0.05999755859375</v>
      </c>
      <c r="G1296" s="4" t="n">
        <v>0</v>
      </c>
      <c r="H1296" s="4">
        <f>IF(OR(N(F1296)&gt;=0.5,G1296&gt;=4),3,IF(OR(N(F1296)&gt;=0.3,G1296=3),2,IF(OR(N(F1296)&gt;=0.1,G1296&gt;=1),1,0)))</f>
        <v/>
      </c>
      <c r="I1296" s="4">
        <f>CHOOSE(H1296+1,"Kein Risiko","Gering","Mittel","Hoch")</f>
        <v/>
      </c>
    </row>
    <row r="1297">
      <c r="A1297" s="4" t="n">
        <v>1293</v>
      </c>
      <c r="B1297" s="4" t="inlineStr">
        <is>
          <t>yes</t>
        </is>
      </c>
      <c r="C1297" s="4" t="inlineStr">
        <is>
          <t>Hammer Straße</t>
        </is>
      </c>
      <c r="D1297" s="4" t="inlineStr">
        <is>
          <t>224</t>
        </is>
      </c>
      <c r="E1297" s="13" t="n">
        <v>235.7</v>
      </c>
      <c r="F1297" s="12" t="n">
        <v>0</v>
      </c>
      <c r="G1297" s="4" t="n">
        <v>0</v>
      </c>
      <c r="H1297" s="4">
        <f>IF(OR(N(F1297)&gt;=0.5,G1297&gt;=4),3,IF(OR(N(F1297)&gt;=0.3,G1297=3),2,IF(OR(N(F1297)&gt;=0.1,G1297&gt;=1),1,0)))</f>
        <v/>
      </c>
      <c r="I1297" s="4">
        <f>CHOOSE(H1297+1,"Kein Risiko","Gering","Mittel","Hoch")</f>
        <v/>
      </c>
    </row>
    <row r="1298">
      <c r="A1298" s="4" t="n">
        <v>1294</v>
      </c>
      <c r="B1298" s="4" t="inlineStr">
        <is>
          <t>commercial</t>
        </is>
      </c>
      <c r="C1298" s="4" t="inlineStr">
        <is>
          <t>Hammer Straße</t>
        </is>
      </c>
      <c r="D1298" s="4" t="inlineStr">
        <is>
          <t>222</t>
        </is>
      </c>
      <c r="E1298" s="13" t="n">
        <v>235.8</v>
      </c>
      <c r="F1298" s="12" t="n">
        <v>0.09000396728515625</v>
      </c>
      <c r="G1298" s="4" t="n">
        <v>0</v>
      </c>
      <c r="H1298" s="4">
        <f>IF(OR(N(F1298)&gt;=0.5,G1298&gt;=4),3,IF(OR(N(F1298)&gt;=0.3,G1298=3),2,IF(OR(N(F1298)&gt;=0.1,G1298&gt;=1),1,0)))</f>
        <v/>
      </c>
      <c r="I1298" s="4">
        <f>CHOOSE(H1298+1,"Kein Risiko","Gering","Mittel","Hoch")</f>
        <v/>
      </c>
    </row>
    <row r="1299">
      <c r="A1299" s="4" t="n">
        <v>1295</v>
      </c>
      <c r="B1299" s="4" t="inlineStr">
        <is>
          <t>yes</t>
        </is>
      </c>
      <c r="C1299" s="4" t="inlineStr">
        <is>
          <t>Engelssiepen</t>
        </is>
      </c>
      <c r="D1299" s="4" t="inlineStr">
        <is>
          <t>18</t>
        </is>
      </c>
      <c r="E1299" s="13" t="n">
        <v>105.8</v>
      </c>
      <c r="F1299" s="12" t="n">
        <v>0.029998779296875</v>
      </c>
      <c r="G1299" s="4" t="n">
        <v>1</v>
      </c>
      <c r="H1299" s="4">
        <f>IF(OR(N(F1299)&gt;=0.5,G1299&gt;=4),3,IF(OR(N(F1299)&gt;=0.3,G1299=3),2,IF(OR(N(F1299)&gt;=0.1,G1299&gt;=1),1,0)))</f>
        <v/>
      </c>
      <c r="I1299" s="4">
        <f>CHOOSE(H1299+1,"Kein Risiko","Gering","Mittel","Hoch")</f>
        <v/>
      </c>
    </row>
    <row r="1300">
      <c r="A1300" s="4" t="n">
        <v>1296</v>
      </c>
      <c r="B1300" s="4" t="inlineStr">
        <is>
          <t>yes</t>
        </is>
      </c>
      <c r="C1300" s="4" t="inlineStr">
        <is>
          <t>Kupferdreher Straße</t>
        </is>
      </c>
      <c r="D1300" s="4" t="inlineStr"/>
      <c r="E1300" s="13" t="n">
        <v>218.7</v>
      </c>
      <c r="F1300" s="12" t="n">
        <v>0</v>
      </c>
      <c r="G1300" s="4" t="n">
        <v>1</v>
      </c>
      <c r="H1300" s="4">
        <f>IF(OR(N(F1300)&gt;=0.5,G1300&gt;=4),3,IF(OR(N(F1300)&gt;=0.3,G1300=3),2,IF(OR(N(F1300)&gt;=0.1,G1300&gt;=1),1,0)))</f>
        <v/>
      </c>
      <c r="I1300" s="4">
        <f>CHOOSE(H1300+1,"Kein Risiko","Gering","Mittel","Hoch")</f>
        <v/>
      </c>
    </row>
    <row r="1301">
      <c r="A1301" s="4" t="n">
        <v>1297</v>
      </c>
      <c r="B1301" s="4" t="inlineStr">
        <is>
          <t>yes</t>
        </is>
      </c>
      <c r="C1301" s="4" t="inlineStr">
        <is>
          <t>Kupferdreher Straße</t>
        </is>
      </c>
      <c r="D1301" s="4" t="inlineStr">
        <is>
          <t>245</t>
        </is>
      </c>
      <c r="E1301" s="13" t="n">
        <v>125.1</v>
      </c>
      <c r="F1301" s="12" t="n">
        <v>0</v>
      </c>
      <c r="G1301" s="4" t="n">
        <v>0</v>
      </c>
      <c r="H1301" s="4">
        <f>IF(OR(N(F1301)&gt;=0.5,G1301&gt;=4),3,IF(OR(N(F1301)&gt;=0.3,G1301=3),2,IF(OR(N(F1301)&gt;=0.1,G1301&gt;=1),1,0)))</f>
        <v/>
      </c>
      <c r="I1301" s="4">
        <f>CHOOSE(H1301+1,"Kein Risiko","Gering","Mittel","Hoch")</f>
        <v/>
      </c>
    </row>
    <row r="1302">
      <c r="A1302" s="4" t="n">
        <v>1298</v>
      </c>
      <c r="B1302" s="4" t="inlineStr">
        <is>
          <t>commercial</t>
        </is>
      </c>
      <c r="C1302" s="4" t="inlineStr">
        <is>
          <t>Kupferdreher Straße</t>
        </is>
      </c>
      <c r="D1302" s="4" t="inlineStr">
        <is>
          <t>86</t>
        </is>
      </c>
      <c r="E1302" s="13" t="n">
        <v>341.5</v>
      </c>
      <c r="F1302" s="12" t="n">
        <v>0</v>
      </c>
      <c r="G1302" s="4" t="n">
        <v>0</v>
      </c>
      <c r="H1302" s="4">
        <f>IF(OR(N(F1302)&gt;=0.5,G1302&gt;=4),3,IF(OR(N(F1302)&gt;=0.3,G1302=3),2,IF(OR(N(F1302)&gt;=0.1,G1302&gt;=1),1,0)))</f>
        <v/>
      </c>
      <c r="I1302" s="4">
        <f>CHOOSE(H1302+1,"Kein Risiko","Gering","Mittel","Hoch")</f>
        <v/>
      </c>
    </row>
    <row r="1303">
      <c r="A1303" s="4" t="n">
        <v>1299</v>
      </c>
      <c r="B1303" s="4" t="inlineStr">
        <is>
          <t>yes</t>
        </is>
      </c>
      <c r="C1303" s="4" t="inlineStr"/>
      <c r="D1303" s="4" t="inlineStr"/>
      <c r="E1303" s="13" t="n">
        <v>13.7</v>
      </c>
      <c r="F1303" s="12" t="n">
        <v>0</v>
      </c>
      <c r="G1303" s="4" t="n">
        <v>1</v>
      </c>
      <c r="H1303" s="4">
        <f>IF(OR(N(F1303)&gt;=0.5,G1303&gt;=4),3,IF(OR(N(F1303)&gt;=0.3,G1303=3),2,IF(OR(N(F1303)&gt;=0.1,G1303&gt;=1),1,0)))</f>
        <v/>
      </c>
      <c r="I1303" s="4">
        <f>CHOOSE(H1303+1,"Kein Risiko","Gering","Mittel","Hoch")</f>
        <v/>
      </c>
    </row>
    <row r="1304">
      <c r="A1304" s="4" t="n">
        <v>1300</v>
      </c>
      <c r="B1304" s="4" t="inlineStr">
        <is>
          <t>apartments</t>
        </is>
      </c>
      <c r="C1304" s="4" t="inlineStr">
        <is>
          <t>Byfanger Straße</t>
        </is>
      </c>
      <c r="D1304" s="4" t="inlineStr">
        <is>
          <t>14</t>
        </is>
      </c>
      <c r="E1304" s="13" t="n">
        <v>77.59999999999999</v>
      </c>
      <c r="F1304" s="12" t="n">
        <v>0</v>
      </c>
      <c r="G1304" s="4" t="n">
        <v>5</v>
      </c>
      <c r="H1304" s="4">
        <f>IF(OR(N(F1304)&gt;=0.5,G1304&gt;=4),3,IF(OR(N(F1304)&gt;=0.3,G1304=3),2,IF(OR(N(F1304)&gt;=0.1,G1304&gt;=1),1,0)))</f>
        <v/>
      </c>
      <c r="I1304" s="4">
        <f>CHOOSE(H1304+1,"Kein Risiko","Gering","Mittel","Hoch")</f>
        <v/>
      </c>
    </row>
    <row r="1305">
      <c r="A1305" s="4" t="n">
        <v>1301</v>
      </c>
      <c r="B1305" s="4" t="inlineStr">
        <is>
          <t>yes</t>
        </is>
      </c>
      <c r="C1305" s="4" t="inlineStr"/>
      <c r="D1305" s="4" t="inlineStr"/>
      <c r="E1305" s="13" t="n">
        <v>59.6</v>
      </c>
      <c r="F1305" s="12" t="n">
        <v>0</v>
      </c>
      <c r="G1305" s="4" t="n">
        <v>0</v>
      </c>
      <c r="H1305" s="4">
        <f>IF(OR(N(F1305)&gt;=0.5,G1305&gt;=4),3,IF(OR(N(F1305)&gt;=0.3,G1305=3),2,IF(OR(N(F1305)&gt;=0.1,G1305&gt;=1),1,0)))</f>
        <v/>
      </c>
      <c r="I1305" s="4">
        <f>CHOOSE(H1305+1,"Kein Risiko","Gering","Mittel","Hoch")</f>
        <v/>
      </c>
    </row>
    <row r="1306">
      <c r="A1306" s="4" t="n">
        <v>1302</v>
      </c>
      <c r="B1306" s="4" t="inlineStr">
        <is>
          <t>house</t>
        </is>
      </c>
      <c r="C1306" s="4" t="inlineStr">
        <is>
          <t>Auf'm Stöcken</t>
        </is>
      </c>
      <c r="D1306" s="4" t="inlineStr">
        <is>
          <t>28</t>
        </is>
      </c>
      <c r="E1306" s="13" t="n">
        <v>78.59999999999999</v>
      </c>
      <c r="F1306" s="12" t="n">
        <v>0</v>
      </c>
      <c r="G1306" s="4" t="n">
        <v>0</v>
      </c>
      <c r="H1306" s="4">
        <f>IF(OR(N(F1306)&gt;=0.5,G1306&gt;=4),3,IF(OR(N(F1306)&gt;=0.3,G1306=3),2,IF(OR(N(F1306)&gt;=0.1,G1306&gt;=1),1,0)))</f>
        <v/>
      </c>
      <c r="I1306" s="4">
        <f>CHOOSE(H1306+1,"Kein Risiko","Gering","Mittel","Hoch")</f>
        <v/>
      </c>
    </row>
    <row r="1307">
      <c r="A1307" s="4" t="n">
        <v>1303</v>
      </c>
      <c r="B1307" s="4" t="inlineStr">
        <is>
          <t>yes</t>
        </is>
      </c>
      <c r="C1307" s="4" t="inlineStr"/>
      <c r="D1307" s="4" t="inlineStr"/>
      <c r="E1307" s="13" t="n">
        <v>146.5</v>
      </c>
      <c r="F1307" s="12" t="n">
        <v>0.0200042724609375</v>
      </c>
      <c r="G1307" s="4" t="n">
        <v>0</v>
      </c>
      <c r="H1307" s="4">
        <f>IF(OR(N(F1307)&gt;=0.5,G1307&gt;=4),3,IF(OR(N(F1307)&gt;=0.3,G1307=3),2,IF(OR(N(F1307)&gt;=0.1,G1307&gt;=1),1,0)))</f>
        <v/>
      </c>
      <c r="I1307" s="4">
        <f>CHOOSE(H1307+1,"Kein Risiko","Gering","Mittel","Hoch")</f>
        <v/>
      </c>
    </row>
    <row r="1308">
      <c r="A1308" s="4" t="n">
        <v>1304</v>
      </c>
      <c r="B1308" s="4" t="inlineStr">
        <is>
          <t>garage</t>
        </is>
      </c>
      <c r="C1308" s="4" t="inlineStr"/>
      <c r="D1308" s="4" t="inlineStr"/>
      <c r="E1308" s="13" t="n">
        <v>18.9</v>
      </c>
      <c r="F1308" s="12" t="n">
        <v>0</v>
      </c>
      <c r="G1308" s="4" t="n">
        <v>0</v>
      </c>
      <c r="H1308" s="4">
        <f>IF(OR(N(F1308)&gt;=0.5,G1308&gt;=4),3,IF(OR(N(F1308)&gt;=0.3,G1308=3),2,IF(OR(N(F1308)&gt;=0.1,G1308&gt;=1),1,0)))</f>
        <v/>
      </c>
      <c r="I1308" s="4">
        <f>CHOOSE(H1308+1,"Kein Risiko","Gering","Mittel","Hoch")</f>
        <v/>
      </c>
    </row>
    <row r="1309">
      <c r="A1309" s="4" t="n">
        <v>1305</v>
      </c>
      <c r="B1309" s="4" t="inlineStr">
        <is>
          <t>yes</t>
        </is>
      </c>
      <c r="C1309" s="4" t="inlineStr"/>
      <c r="D1309" s="4" t="inlineStr"/>
      <c r="E1309" s="13" t="n">
        <v>23.1</v>
      </c>
      <c r="F1309" s="12" t="n">
        <v>0</v>
      </c>
      <c r="G1309" s="4" t="n">
        <v>1</v>
      </c>
      <c r="H1309" s="4">
        <f>IF(OR(N(F1309)&gt;=0.5,G1309&gt;=4),3,IF(OR(N(F1309)&gt;=0.3,G1309=3),2,IF(OR(N(F1309)&gt;=0.1,G1309&gt;=1),1,0)))</f>
        <v/>
      </c>
      <c r="I1309" s="4">
        <f>CHOOSE(H1309+1,"Kein Risiko","Gering","Mittel","Hoch")</f>
        <v/>
      </c>
    </row>
    <row r="1310">
      <c r="A1310" s="4" t="n">
        <v>1306</v>
      </c>
      <c r="B1310" s="4" t="inlineStr">
        <is>
          <t>yes</t>
        </is>
      </c>
      <c r="C1310" s="4" t="inlineStr"/>
      <c r="D1310" s="4" t="inlineStr"/>
      <c r="E1310" s="13" t="n">
        <v>26.5</v>
      </c>
      <c r="F1310" s="12" t="n">
        <v>0</v>
      </c>
      <c r="G1310" s="4" t="n">
        <v>0</v>
      </c>
      <c r="H1310" s="4">
        <f>IF(OR(N(F1310)&gt;=0.5,G1310&gt;=4),3,IF(OR(N(F1310)&gt;=0.3,G1310=3),2,IF(OR(N(F1310)&gt;=0.1,G1310&gt;=1),1,0)))</f>
        <v/>
      </c>
      <c r="I1310" s="4">
        <f>CHOOSE(H1310+1,"Kein Risiko","Gering","Mittel","Hoch")</f>
        <v/>
      </c>
    </row>
    <row r="1311">
      <c r="A1311" s="4" t="n">
        <v>1307</v>
      </c>
      <c r="B1311" s="4" t="inlineStr">
        <is>
          <t>yes</t>
        </is>
      </c>
      <c r="C1311" s="4" t="inlineStr"/>
      <c r="D1311" s="4" t="inlineStr"/>
      <c r="E1311" s="13" t="n">
        <v>2.7</v>
      </c>
      <c r="F1311" s="12" t="n">
        <v>0</v>
      </c>
      <c r="G1311" s="4" t="n">
        <v>1</v>
      </c>
      <c r="H1311" s="4">
        <f>IF(OR(N(F1311)&gt;=0.5,G1311&gt;=4),3,IF(OR(N(F1311)&gt;=0.3,G1311=3),2,IF(OR(N(F1311)&gt;=0.1,G1311&gt;=1),1,0)))</f>
        <v/>
      </c>
      <c r="I1311" s="4">
        <f>CHOOSE(H1311+1,"Kein Risiko","Gering","Mittel","Hoch")</f>
        <v/>
      </c>
    </row>
    <row r="1312">
      <c r="A1312" s="4" t="n">
        <v>1308</v>
      </c>
      <c r="B1312" s="4" t="inlineStr">
        <is>
          <t>yes</t>
        </is>
      </c>
      <c r="C1312" s="4" t="inlineStr"/>
      <c r="D1312" s="4" t="inlineStr"/>
      <c r="E1312" s="13" t="n">
        <v>25.1</v>
      </c>
      <c r="F1312" s="12" t="n">
        <v>0</v>
      </c>
      <c r="G1312" s="4" t="n">
        <v>0</v>
      </c>
      <c r="H1312" s="4">
        <f>IF(OR(N(F1312)&gt;=0.5,G1312&gt;=4),3,IF(OR(N(F1312)&gt;=0.3,G1312=3),2,IF(OR(N(F1312)&gt;=0.1,G1312&gt;=1),1,0)))</f>
        <v/>
      </c>
      <c r="I1312" s="4">
        <f>CHOOSE(H1312+1,"Kein Risiko","Gering","Mittel","Hoch")</f>
        <v/>
      </c>
    </row>
    <row r="1313">
      <c r="A1313" s="4" t="n">
        <v>1309</v>
      </c>
      <c r="B1313" s="4" t="inlineStr">
        <is>
          <t>yes</t>
        </is>
      </c>
      <c r="C1313" s="4" t="inlineStr"/>
      <c r="D1313" s="4" t="inlineStr"/>
      <c r="E1313" s="13" t="n">
        <v>21</v>
      </c>
      <c r="F1313" s="12" t="n">
        <v>0</v>
      </c>
      <c r="G1313" s="4" t="n">
        <v>0</v>
      </c>
      <c r="H1313" s="4">
        <f>IF(OR(N(F1313)&gt;=0.5,G1313&gt;=4),3,IF(OR(N(F1313)&gt;=0.3,G1313=3),2,IF(OR(N(F1313)&gt;=0.1,G1313&gt;=1),1,0)))</f>
        <v/>
      </c>
      <c r="I1313" s="4">
        <f>CHOOSE(H1313+1,"Kein Risiko","Gering","Mittel","Hoch")</f>
        <v/>
      </c>
    </row>
    <row r="1314">
      <c r="A1314" s="4" t="n">
        <v>1310</v>
      </c>
      <c r="B1314" s="4" t="inlineStr">
        <is>
          <t>yes</t>
        </is>
      </c>
      <c r="C1314" s="4" t="inlineStr"/>
      <c r="D1314" s="4" t="inlineStr"/>
      <c r="E1314" s="13" t="n">
        <v>41.1</v>
      </c>
      <c r="F1314" s="12" t="n">
        <v>0</v>
      </c>
      <c r="G1314" s="4" t="n">
        <v>0</v>
      </c>
      <c r="H1314" s="4">
        <f>IF(OR(N(F1314)&gt;=0.5,G1314&gt;=4),3,IF(OR(N(F1314)&gt;=0.3,G1314=3),2,IF(OR(N(F1314)&gt;=0.1,G1314&gt;=1),1,0)))</f>
        <v/>
      </c>
      <c r="I1314" s="4">
        <f>CHOOSE(H1314+1,"Kein Risiko","Gering","Mittel","Hoch")</f>
        <v/>
      </c>
    </row>
    <row r="1315">
      <c r="A1315" s="4" t="n">
        <v>1311</v>
      </c>
      <c r="B1315" s="4" t="inlineStr">
        <is>
          <t>yes</t>
        </is>
      </c>
      <c r="C1315" s="4" t="inlineStr"/>
      <c r="D1315" s="4" t="inlineStr"/>
      <c r="E1315" s="13" t="n">
        <v>7.6</v>
      </c>
      <c r="F1315" s="12" t="n">
        <v>0</v>
      </c>
      <c r="G1315" s="4" t="n">
        <v>0</v>
      </c>
      <c r="H1315" s="4">
        <f>IF(OR(N(F1315)&gt;=0.5,G1315&gt;=4),3,IF(OR(N(F1315)&gt;=0.3,G1315=3),2,IF(OR(N(F1315)&gt;=0.1,G1315&gt;=1),1,0)))</f>
        <v/>
      </c>
      <c r="I1315" s="4">
        <f>CHOOSE(H1315+1,"Kein Risiko","Gering","Mittel","Hoch")</f>
        <v/>
      </c>
    </row>
    <row r="1316">
      <c r="A1316" s="4" t="n">
        <v>1312</v>
      </c>
      <c r="B1316" s="4" t="inlineStr">
        <is>
          <t>yes</t>
        </is>
      </c>
      <c r="C1316" s="4" t="inlineStr"/>
      <c r="D1316" s="4" t="inlineStr"/>
      <c r="E1316" s="13" t="n">
        <v>33.6</v>
      </c>
      <c r="F1316" s="12" t="n">
        <v>0</v>
      </c>
      <c r="G1316" s="4" t="n">
        <v>0</v>
      </c>
      <c r="H1316" s="4">
        <f>IF(OR(N(F1316)&gt;=0.5,G1316&gt;=4),3,IF(OR(N(F1316)&gt;=0.3,G1316=3),2,IF(OR(N(F1316)&gt;=0.1,G1316&gt;=1),1,0)))</f>
        <v/>
      </c>
      <c r="I1316" s="4">
        <f>CHOOSE(H1316+1,"Kein Risiko","Gering","Mittel","Hoch")</f>
        <v/>
      </c>
    </row>
    <row r="1317">
      <c r="A1317" s="4" t="n">
        <v>1313</v>
      </c>
      <c r="B1317" s="4" t="inlineStr">
        <is>
          <t>yes</t>
        </is>
      </c>
      <c r="C1317" s="4" t="inlineStr"/>
      <c r="D1317" s="4" t="inlineStr"/>
      <c r="E1317" s="13" t="n">
        <v>16.6</v>
      </c>
      <c r="F1317" s="12" t="n">
        <v>0.0500030517578125</v>
      </c>
      <c r="G1317" s="4" t="n">
        <v>0</v>
      </c>
      <c r="H1317" s="4">
        <f>IF(OR(N(F1317)&gt;=0.5,G1317&gt;=4),3,IF(OR(N(F1317)&gt;=0.3,G1317=3),2,IF(OR(N(F1317)&gt;=0.1,G1317&gt;=1),1,0)))</f>
        <v/>
      </c>
      <c r="I1317" s="4">
        <f>CHOOSE(H1317+1,"Kein Risiko","Gering","Mittel","Hoch")</f>
        <v/>
      </c>
    </row>
    <row r="1318">
      <c r="A1318" s="4" t="n">
        <v>1314</v>
      </c>
      <c r="B1318" s="4" t="inlineStr">
        <is>
          <t>yes</t>
        </is>
      </c>
      <c r="C1318" s="4" t="inlineStr"/>
      <c r="D1318" s="4" t="inlineStr"/>
      <c r="E1318" s="13" t="n">
        <v>36.8</v>
      </c>
      <c r="F1318" s="12" t="n">
        <v>0</v>
      </c>
      <c r="G1318" s="4" t="n">
        <v>1</v>
      </c>
      <c r="H1318" s="4">
        <f>IF(OR(N(F1318)&gt;=0.5,G1318&gt;=4),3,IF(OR(N(F1318)&gt;=0.3,G1318=3),2,IF(OR(N(F1318)&gt;=0.1,G1318&gt;=1),1,0)))</f>
        <v/>
      </c>
      <c r="I1318" s="4">
        <f>CHOOSE(H1318+1,"Kein Risiko","Gering","Mittel","Hoch")</f>
        <v/>
      </c>
    </row>
    <row r="1319">
      <c r="A1319" s="4" t="n">
        <v>1315</v>
      </c>
      <c r="B1319" s="4" t="inlineStr">
        <is>
          <t>yes</t>
        </is>
      </c>
      <c r="C1319" s="4" t="inlineStr"/>
      <c r="D1319" s="4" t="inlineStr"/>
      <c r="E1319" s="13" t="n">
        <v>12.9</v>
      </c>
      <c r="F1319" s="12" t="n">
        <v>0</v>
      </c>
      <c r="G1319" s="4" t="n">
        <v>1</v>
      </c>
      <c r="H1319" s="4">
        <f>IF(OR(N(F1319)&gt;=0.5,G1319&gt;=4),3,IF(OR(N(F1319)&gt;=0.3,G1319=3),2,IF(OR(N(F1319)&gt;=0.1,G1319&gt;=1),1,0)))</f>
        <v/>
      </c>
      <c r="I1319" s="4">
        <f>CHOOSE(H1319+1,"Kein Risiko","Gering","Mittel","Hoch")</f>
        <v/>
      </c>
    </row>
    <row r="1320">
      <c r="A1320" s="4" t="n">
        <v>1316</v>
      </c>
      <c r="B1320" s="4" t="inlineStr">
        <is>
          <t>yes</t>
        </is>
      </c>
      <c r="C1320" s="4" t="inlineStr"/>
      <c r="D1320" s="4" t="inlineStr"/>
      <c r="E1320" s="13" t="n">
        <v>23.8</v>
      </c>
      <c r="F1320" s="12" t="n">
        <v>0</v>
      </c>
      <c r="G1320" s="4" t="n">
        <v>0</v>
      </c>
      <c r="H1320" s="4">
        <f>IF(OR(N(F1320)&gt;=0.5,G1320&gt;=4),3,IF(OR(N(F1320)&gt;=0.3,G1320=3),2,IF(OR(N(F1320)&gt;=0.1,G1320&gt;=1),1,0)))</f>
        <v/>
      </c>
      <c r="I1320" s="4">
        <f>CHOOSE(H1320+1,"Kein Risiko","Gering","Mittel","Hoch")</f>
        <v/>
      </c>
    </row>
    <row r="1321">
      <c r="A1321" s="4" t="n">
        <v>1317</v>
      </c>
      <c r="B1321" s="4" t="inlineStr">
        <is>
          <t>yes</t>
        </is>
      </c>
      <c r="C1321" s="4" t="inlineStr"/>
      <c r="D1321" s="4" t="inlineStr"/>
      <c r="E1321" s="13" t="n">
        <v>4.8</v>
      </c>
      <c r="F1321" s="12" t="n">
        <v>0.07000732421875</v>
      </c>
      <c r="G1321" s="4" t="n">
        <v>1</v>
      </c>
      <c r="H1321" s="4">
        <f>IF(OR(N(F1321)&gt;=0.5,G1321&gt;=4),3,IF(OR(N(F1321)&gt;=0.3,G1321=3),2,IF(OR(N(F1321)&gt;=0.1,G1321&gt;=1),1,0)))</f>
        <v/>
      </c>
      <c r="I1321" s="4">
        <f>CHOOSE(H1321+1,"Kein Risiko","Gering","Mittel","Hoch")</f>
        <v/>
      </c>
    </row>
    <row r="1322">
      <c r="A1322" s="4" t="n">
        <v>1318</v>
      </c>
      <c r="B1322" s="4" t="inlineStr">
        <is>
          <t>yes</t>
        </is>
      </c>
      <c r="C1322" s="4" t="inlineStr"/>
      <c r="D1322" s="4" t="inlineStr"/>
      <c r="E1322" s="13" t="n">
        <v>5.2</v>
      </c>
      <c r="F1322" s="12" t="n">
        <v>0</v>
      </c>
      <c r="G1322" s="4" t="n">
        <v>0</v>
      </c>
      <c r="H1322" s="4">
        <f>IF(OR(N(F1322)&gt;=0.5,G1322&gt;=4),3,IF(OR(N(F1322)&gt;=0.3,G1322=3),2,IF(OR(N(F1322)&gt;=0.1,G1322&gt;=1),1,0)))</f>
        <v/>
      </c>
      <c r="I1322" s="4">
        <f>CHOOSE(H1322+1,"Kein Risiko","Gering","Mittel","Hoch")</f>
        <v/>
      </c>
    </row>
    <row r="1323">
      <c r="A1323" s="4" t="n">
        <v>1319</v>
      </c>
      <c r="B1323" s="4" t="inlineStr">
        <is>
          <t>yes</t>
        </is>
      </c>
      <c r="C1323" s="4" t="inlineStr"/>
      <c r="D1323" s="4" t="inlineStr"/>
      <c r="E1323" s="13" t="n">
        <v>22.9</v>
      </c>
      <c r="F1323" s="12" t="n">
        <v>0.0200042724609375</v>
      </c>
      <c r="G1323" s="4" t="n">
        <v>0</v>
      </c>
      <c r="H1323" s="4">
        <f>IF(OR(N(F1323)&gt;=0.5,G1323&gt;=4),3,IF(OR(N(F1323)&gt;=0.3,G1323=3),2,IF(OR(N(F1323)&gt;=0.1,G1323&gt;=1),1,0)))</f>
        <v/>
      </c>
      <c r="I1323" s="4">
        <f>CHOOSE(H1323+1,"Kein Risiko","Gering","Mittel","Hoch")</f>
        <v/>
      </c>
    </row>
    <row r="1324">
      <c r="A1324" s="4" t="n">
        <v>1320</v>
      </c>
      <c r="B1324" s="4" t="inlineStr">
        <is>
          <t>yes</t>
        </is>
      </c>
      <c r="C1324" s="4" t="inlineStr"/>
      <c r="D1324" s="4" t="inlineStr"/>
      <c r="E1324" s="13" t="n">
        <v>23.4</v>
      </c>
      <c r="F1324" s="12" t="n">
        <v>0</v>
      </c>
      <c r="G1324" s="4" t="n">
        <v>0</v>
      </c>
      <c r="H1324" s="4">
        <f>IF(OR(N(F1324)&gt;=0.5,G1324&gt;=4),3,IF(OR(N(F1324)&gt;=0.3,G1324=3),2,IF(OR(N(F1324)&gt;=0.1,G1324&gt;=1),1,0)))</f>
        <v/>
      </c>
      <c r="I1324" s="4">
        <f>CHOOSE(H1324+1,"Kein Risiko","Gering","Mittel","Hoch")</f>
        <v/>
      </c>
    </row>
    <row r="1325">
      <c r="A1325" s="4" t="n">
        <v>1321</v>
      </c>
      <c r="B1325" s="4" t="inlineStr">
        <is>
          <t>house</t>
        </is>
      </c>
      <c r="C1325" s="4" t="inlineStr">
        <is>
          <t>Auf'm Stöcken</t>
        </is>
      </c>
      <c r="D1325" s="4" t="inlineStr">
        <is>
          <t>15</t>
        </is>
      </c>
      <c r="E1325" s="13" t="n">
        <v>95.3</v>
      </c>
      <c r="F1325" s="12" t="n">
        <v>0</v>
      </c>
      <c r="G1325" s="4" t="n">
        <v>0</v>
      </c>
      <c r="H1325" s="4">
        <f>IF(OR(N(F1325)&gt;=0.5,G1325&gt;=4),3,IF(OR(N(F1325)&gt;=0.3,G1325=3),2,IF(OR(N(F1325)&gt;=0.1,G1325&gt;=1),1,0)))</f>
        <v/>
      </c>
      <c r="I1325" s="4">
        <f>CHOOSE(H1325+1,"Kein Risiko","Gering","Mittel","Hoch")</f>
        <v/>
      </c>
    </row>
    <row r="1326">
      <c r="A1326" s="4" t="n">
        <v>1322</v>
      </c>
      <c r="B1326" s="4" t="inlineStr">
        <is>
          <t>yes</t>
        </is>
      </c>
      <c r="C1326" s="4" t="inlineStr"/>
      <c r="D1326" s="4" t="inlineStr"/>
      <c r="E1326" s="13" t="n">
        <v>40.2</v>
      </c>
      <c r="F1326" s="12" t="n">
        <v>0</v>
      </c>
      <c r="G1326" s="4" t="n">
        <v>0</v>
      </c>
      <c r="H1326" s="4">
        <f>IF(OR(N(F1326)&gt;=0.5,G1326&gt;=4),3,IF(OR(N(F1326)&gt;=0.3,G1326=3),2,IF(OR(N(F1326)&gt;=0.1,G1326&gt;=1),1,0)))</f>
        <v/>
      </c>
      <c r="I1326" s="4">
        <f>CHOOSE(H1326+1,"Kein Risiko","Gering","Mittel","Hoch")</f>
        <v/>
      </c>
    </row>
    <row r="1327">
      <c r="A1327" s="4" t="n">
        <v>1323</v>
      </c>
      <c r="B1327" s="4" t="inlineStr">
        <is>
          <t>yes</t>
        </is>
      </c>
      <c r="C1327" s="4" t="inlineStr"/>
      <c r="D1327" s="4" t="inlineStr"/>
      <c r="E1327" s="13" t="n">
        <v>53</v>
      </c>
      <c r="F1327" s="12" t="n">
        <v>0</v>
      </c>
      <c r="G1327" s="4" t="n">
        <v>0</v>
      </c>
      <c r="H1327" s="4">
        <f>IF(OR(N(F1327)&gt;=0.5,G1327&gt;=4),3,IF(OR(N(F1327)&gt;=0.3,G1327=3),2,IF(OR(N(F1327)&gt;=0.1,G1327&gt;=1),1,0)))</f>
        <v/>
      </c>
      <c r="I1327" s="4">
        <f>CHOOSE(H1327+1,"Kein Risiko","Gering","Mittel","Hoch")</f>
        <v/>
      </c>
    </row>
    <row r="1328">
      <c r="A1328" s="4" t="n">
        <v>1324</v>
      </c>
      <c r="B1328" s="4" t="inlineStr">
        <is>
          <t>garage</t>
        </is>
      </c>
      <c r="C1328" s="4" t="inlineStr"/>
      <c r="D1328" s="4" t="inlineStr"/>
      <c r="E1328" s="13" t="n">
        <v>18</v>
      </c>
      <c r="F1328" s="12" t="n">
        <v>0.040008544921875</v>
      </c>
      <c r="G1328" s="4" t="n">
        <v>0</v>
      </c>
      <c r="H1328" s="4">
        <f>IF(OR(N(F1328)&gt;=0.5,G1328&gt;=4),3,IF(OR(N(F1328)&gt;=0.3,G1328=3),2,IF(OR(N(F1328)&gt;=0.1,G1328&gt;=1),1,0)))</f>
        <v/>
      </c>
      <c r="I1328" s="4">
        <f>CHOOSE(H1328+1,"Kein Risiko","Gering","Mittel","Hoch")</f>
        <v/>
      </c>
    </row>
    <row r="1329">
      <c r="A1329" s="4" t="n">
        <v>1325</v>
      </c>
      <c r="B1329" s="4" t="inlineStr">
        <is>
          <t>house</t>
        </is>
      </c>
      <c r="C1329" s="4" t="inlineStr">
        <is>
          <t>Schliepersberg</t>
        </is>
      </c>
      <c r="D1329" s="4" t="inlineStr">
        <is>
          <t>31</t>
        </is>
      </c>
      <c r="E1329" s="13" t="n">
        <v>136.8</v>
      </c>
      <c r="F1329" s="12" t="n">
        <v>0.0099945068359375</v>
      </c>
      <c r="G1329" s="4" t="n">
        <v>0</v>
      </c>
      <c r="H1329" s="4">
        <f>IF(OR(N(F1329)&gt;=0.5,G1329&gt;=4),3,IF(OR(N(F1329)&gt;=0.3,G1329=3),2,IF(OR(N(F1329)&gt;=0.1,G1329&gt;=1),1,0)))</f>
        <v/>
      </c>
      <c r="I1329" s="4">
        <f>CHOOSE(H1329+1,"Kein Risiko","Gering","Mittel","Hoch")</f>
        <v/>
      </c>
    </row>
    <row r="1330">
      <c r="A1330" s="4" t="n">
        <v>1326</v>
      </c>
      <c r="B1330" s="4" t="inlineStr">
        <is>
          <t>yes</t>
        </is>
      </c>
      <c r="C1330" s="4" t="inlineStr"/>
      <c r="D1330" s="4" t="inlineStr"/>
      <c r="E1330" s="13" t="n">
        <v>89.2</v>
      </c>
      <c r="F1330" s="12" t="n">
        <v>0</v>
      </c>
      <c r="G1330" s="4" t="n">
        <v>1</v>
      </c>
      <c r="H1330" s="4">
        <f>IF(OR(N(F1330)&gt;=0.5,G1330&gt;=4),3,IF(OR(N(F1330)&gt;=0.3,G1330=3),2,IF(OR(N(F1330)&gt;=0.1,G1330&gt;=1),1,0)))</f>
        <v/>
      </c>
      <c r="I1330" s="4">
        <f>CHOOSE(H1330+1,"Kein Risiko","Gering","Mittel","Hoch")</f>
        <v/>
      </c>
    </row>
    <row r="1331">
      <c r="A1331" s="4" t="n">
        <v>1327</v>
      </c>
      <c r="B1331" s="4" t="inlineStr">
        <is>
          <t>house</t>
        </is>
      </c>
      <c r="C1331" s="4" t="inlineStr">
        <is>
          <t>Auf'm Stöcken</t>
        </is>
      </c>
      <c r="D1331" s="4" t="inlineStr">
        <is>
          <t>30</t>
        </is>
      </c>
      <c r="E1331" s="13" t="n">
        <v>83.3</v>
      </c>
      <c r="F1331" s="12" t="n">
        <v>0</v>
      </c>
      <c r="G1331" s="4" t="n">
        <v>0</v>
      </c>
      <c r="H1331" s="4">
        <f>IF(OR(N(F1331)&gt;=0.5,G1331&gt;=4),3,IF(OR(N(F1331)&gt;=0.3,G1331=3),2,IF(OR(N(F1331)&gt;=0.1,G1331&gt;=1),1,0)))</f>
        <v/>
      </c>
      <c r="I1331" s="4">
        <f>CHOOSE(H1331+1,"Kein Risiko","Gering","Mittel","Hoch")</f>
        <v/>
      </c>
    </row>
    <row r="1332">
      <c r="A1332" s="4" t="n">
        <v>1328</v>
      </c>
      <c r="B1332" s="4" t="inlineStr">
        <is>
          <t>garage</t>
        </is>
      </c>
      <c r="C1332" s="4" t="inlineStr"/>
      <c r="D1332" s="4" t="inlineStr"/>
      <c r="E1332" s="13" t="n">
        <v>21.9</v>
      </c>
      <c r="F1332" s="12" t="n">
        <v>0.010009765625</v>
      </c>
      <c r="G1332" s="4" t="n">
        <v>0</v>
      </c>
      <c r="H1332" s="4">
        <f>IF(OR(N(F1332)&gt;=0.5,G1332&gt;=4),3,IF(OR(N(F1332)&gt;=0.3,G1332=3),2,IF(OR(N(F1332)&gt;=0.1,G1332&gt;=1),1,0)))</f>
        <v/>
      </c>
      <c r="I1332" s="4">
        <f>CHOOSE(H1332+1,"Kein Risiko","Gering","Mittel","Hoch")</f>
        <v/>
      </c>
    </row>
    <row r="1333">
      <c r="A1333" s="4" t="n">
        <v>1329</v>
      </c>
      <c r="B1333" s="4" t="inlineStr">
        <is>
          <t>house</t>
        </is>
      </c>
      <c r="C1333" s="4" t="inlineStr">
        <is>
          <t>Auf'm Stöcken</t>
        </is>
      </c>
      <c r="D1333" s="4" t="inlineStr">
        <is>
          <t>17</t>
        </is>
      </c>
      <c r="E1333" s="13" t="n">
        <v>95.8</v>
      </c>
      <c r="F1333" s="12" t="n">
        <v>0</v>
      </c>
      <c r="G1333" s="4" t="n">
        <v>0</v>
      </c>
      <c r="H1333" s="4">
        <f>IF(OR(N(F1333)&gt;=0.5,G1333&gt;=4),3,IF(OR(N(F1333)&gt;=0.3,G1333=3),2,IF(OR(N(F1333)&gt;=0.1,G1333&gt;=1),1,0)))</f>
        <v/>
      </c>
      <c r="I1333" s="4">
        <f>CHOOSE(H1333+1,"Kein Risiko","Gering","Mittel","Hoch")</f>
        <v/>
      </c>
    </row>
    <row r="1334">
      <c r="A1334" s="4" t="n">
        <v>1330</v>
      </c>
      <c r="B1334" s="4" t="inlineStr">
        <is>
          <t>house</t>
        </is>
      </c>
      <c r="C1334" s="4" t="inlineStr">
        <is>
          <t>Auf'm Stöcken</t>
        </is>
      </c>
      <c r="D1334" s="4" t="inlineStr">
        <is>
          <t>19</t>
        </is>
      </c>
      <c r="E1334" s="13" t="n">
        <v>82.2</v>
      </c>
      <c r="F1334" s="12" t="n">
        <v>0</v>
      </c>
      <c r="G1334" s="4" t="n">
        <v>0</v>
      </c>
      <c r="H1334" s="4">
        <f>IF(OR(N(F1334)&gt;=0.5,G1334&gt;=4),3,IF(OR(N(F1334)&gt;=0.3,G1334=3),2,IF(OR(N(F1334)&gt;=0.1,G1334&gt;=1),1,0)))</f>
        <v/>
      </c>
      <c r="I1334" s="4">
        <f>CHOOSE(H1334+1,"Kein Risiko","Gering","Mittel","Hoch")</f>
        <v/>
      </c>
    </row>
    <row r="1335">
      <c r="A1335" s="4" t="n">
        <v>1331</v>
      </c>
      <c r="B1335" s="4" t="inlineStr">
        <is>
          <t>house</t>
        </is>
      </c>
      <c r="C1335" s="4" t="inlineStr">
        <is>
          <t>Auf'm Stöcken</t>
        </is>
      </c>
      <c r="D1335" s="4" t="inlineStr">
        <is>
          <t>16</t>
        </is>
      </c>
      <c r="E1335" s="13" t="n">
        <v>75.59999999999999</v>
      </c>
      <c r="F1335" s="12" t="n">
        <v>0</v>
      </c>
      <c r="G1335" s="4" t="n">
        <v>0</v>
      </c>
      <c r="H1335" s="4">
        <f>IF(OR(N(F1335)&gt;=0.5,G1335&gt;=4),3,IF(OR(N(F1335)&gt;=0.3,G1335=3),2,IF(OR(N(F1335)&gt;=0.1,G1335&gt;=1),1,0)))</f>
        <v/>
      </c>
      <c r="I1335" s="4">
        <f>CHOOSE(H1335+1,"Kein Risiko","Gering","Mittel","Hoch")</f>
        <v/>
      </c>
    </row>
    <row r="1336">
      <c r="A1336" s="4" t="n">
        <v>1332</v>
      </c>
      <c r="B1336" s="4" t="inlineStr">
        <is>
          <t>house</t>
        </is>
      </c>
      <c r="C1336" s="4" t="inlineStr">
        <is>
          <t>Schliepersberg</t>
        </is>
      </c>
      <c r="D1336" s="4" t="inlineStr">
        <is>
          <t>37b</t>
        </is>
      </c>
      <c r="E1336" s="13" t="n">
        <v>70</v>
      </c>
      <c r="F1336" s="12" t="n">
        <v>0</v>
      </c>
      <c r="G1336" s="4" t="n">
        <v>0</v>
      </c>
      <c r="H1336" s="4">
        <f>IF(OR(N(F1336)&gt;=0.5,G1336&gt;=4),3,IF(OR(N(F1336)&gt;=0.3,G1336=3),2,IF(OR(N(F1336)&gt;=0.1,G1336&gt;=1),1,0)))</f>
        <v/>
      </c>
      <c r="I1336" s="4">
        <f>CHOOSE(H1336+1,"Kein Risiko","Gering","Mittel","Hoch")</f>
        <v/>
      </c>
    </row>
    <row r="1337">
      <c r="A1337" s="4" t="n">
        <v>1333</v>
      </c>
      <c r="B1337" s="4" t="inlineStr">
        <is>
          <t>house</t>
        </is>
      </c>
      <c r="C1337" s="4" t="inlineStr">
        <is>
          <t>Auf'm Stöcken</t>
        </is>
      </c>
      <c r="D1337" s="4" t="inlineStr">
        <is>
          <t>13a</t>
        </is>
      </c>
      <c r="E1337" s="13" t="n">
        <v>98.8</v>
      </c>
      <c r="F1337" s="12" t="n">
        <v>0</v>
      </c>
      <c r="G1337" s="4" t="n">
        <v>0</v>
      </c>
      <c r="H1337" s="4">
        <f>IF(OR(N(F1337)&gt;=0.5,G1337&gt;=4),3,IF(OR(N(F1337)&gt;=0.3,G1337=3),2,IF(OR(N(F1337)&gt;=0.1,G1337&gt;=1),1,0)))</f>
        <v/>
      </c>
      <c r="I1337" s="4">
        <f>CHOOSE(H1337+1,"Kein Risiko","Gering","Mittel","Hoch")</f>
        <v/>
      </c>
    </row>
    <row r="1338">
      <c r="A1338" s="4" t="n">
        <v>1334</v>
      </c>
      <c r="B1338" s="4" t="inlineStr">
        <is>
          <t>house</t>
        </is>
      </c>
      <c r="C1338" s="4" t="inlineStr">
        <is>
          <t>Auf'm Stöcken</t>
        </is>
      </c>
      <c r="D1338" s="4" t="inlineStr">
        <is>
          <t>18</t>
        </is>
      </c>
      <c r="E1338" s="13" t="n">
        <v>80.90000000000001</v>
      </c>
      <c r="F1338" s="12" t="n">
        <v>0</v>
      </c>
      <c r="G1338" s="4" t="n">
        <v>0</v>
      </c>
      <c r="H1338" s="4">
        <f>IF(OR(N(F1338)&gt;=0.5,G1338&gt;=4),3,IF(OR(N(F1338)&gt;=0.3,G1338=3),2,IF(OR(N(F1338)&gt;=0.1,G1338&gt;=1),1,0)))</f>
        <v/>
      </c>
      <c r="I1338" s="4">
        <f>CHOOSE(H1338+1,"Kein Risiko","Gering","Mittel","Hoch")</f>
        <v/>
      </c>
    </row>
    <row r="1339">
      <c r="A1339" s="4" t="n">
        <v>1335</v>
      </c>
      <c r="B1339" s="4" t="inlineStr">
        <is>
          <t>house</t>
        </is>
      </c>
      <c r="C1339" s="4" t="inlineStr">
        <is>
          <t>Schliepersberg</t>
        </is>
      </c>
      <c r="D1339" s="4" t="inlineStr">
        <is>
          <t>41</t>
        </is>
      </c>
      <c r="E1339" s="13" t="n">
        <v>72.7</v>
      </c>
      <c r="F1339" s="12" t="n">
        <v>0</v>
      </c>
      <c r="G1339" s="4" t="n">
        <v>0</v>
      </c>
      <c r="H1339" s="4">
        <f>IF(OR(N(F1339)&gt;=0.5,G1339&gt;=4),3,IF(OR(N(F1339)&gt;=0.3,G1339=3),2,IF(OR(N(F1339)&gt;=0.1,G1339&gt;=1),1,0)))</f>
        <v/>
      </c>
      <c r="I1339" s="4">
        <f>CHOOSE(H1339+1,"Kein Risiko","Gering","Mittel","Hoch")</f>
        <v/>
      </c>
    </row>
    <row r="1340">
      <c r="A1340" s="4" t="n">
        <v>1336</v>
      </c>
      <c r="B1340" s="4" t="inlineStr">
        <is>
          <t>house</t>
        </is>
      </c>
      <c r="C1340" s="4" t="inlineStr">
        <is>
          <t>Schliepersberg</t>
        </is>
      </c>
      <c r="D1340" s="4" t="inlineStr">
        <is>
          <t>33b</t>
        </is>
      </c>
      <c r="E1340" s="13" t="n">
        <v>74.09999999999999</v>
      </c>
      <c r="F1340" s="12" t="n">
        <v>0</v>
      </c>
      <c r="G1340" s="4" t="n">
        <v>0</v>
      </c>
      <c r="H1340" s="4">
        <f>IF(OR(N(F1340)&gt;=0.5,G1340&gt;=4),3,IF(OR(N(F1340)&gt;=0.3,G1340=3),2,IF(OR(N(F1340)&gt;=0.1,G1340&gt;=1),1,0)))</f>
        <v/>
      </c>
      <c r="I1340" s="4">
        <f>CHOOSE(H1340+1,"Kein Risiko","Gering","Mittel","Hoch")</f>
        <v/>
      </c>
    </row>
    <row r="1341">
      <c r="A1341" s="4" t="n">
        <v>1337</v>
      </c>
      <c r="B1341" s="4" t="inlineStr">
        <is>
          <t>house</t>
        </is>
      </c>
      <c r="C1341" s="4" t="inlineStr">
        <is>
          <t>Auf'm Stöcken</t>
        </is>
      </c>
      <c r="D1341" s="4" t="inlineStr">
        <is>
          <t>11</t>
        </is>
      </c>
      <c r="E1341" s="13" t="n">
        <v>97.40000000000001</v>
      </c>
      <c r="F1341" s="12" t="n">
        <v>0</v>
      </c>
      <c r="G1341" s="4" t="n">
        <v>0</v>
      </c>
      <c r="H1341" s="4">
        <f>IF(OR(N(F1341)&gt;=0.5,G1341&gt;=4),3,IF(OR(N(F1341)&gt;=0.3,G1341=3),2,IF(OR(N(F1341)&gt;=0.1,G1341&gt;=1),1,0)))</f>
        <v/>
      </c>
      <c r="I1341" s="4">
        <f>CHOOSE(H1341+1,"Kein Risiko","Gering","Mittel","Hoch")</f>
        <v/>
      </c>
    </row>
    <row r="1342">
      <c r="A1342" s="4" t="n">
        <v>1338</v>
      </c>
      <c r="B1342" s="4" t="inlineStr">
        <is>
          <t>house</t>
        </is>
      </c>
      <c r="C1342" s="4" t="inlineStr">
        <is>
          <t>Schliepersberg</t>
        </is>
      </c>
      <c r="D1342" s="4" t="inlineStr">
        <is>
          <t>39b</t>
        </is>
      </c>
      <c r="E1342" s="13" t="n">
        <v>70.7</v>
      </c>
      <c r="F1342" s="12" t="n">
        <v>0</v>
      </c>
      <c r="G1342" s="4" t="n">
        <v>0</v>
      </c>
      <c r="H1342" s="4">
        <f>IF(OR(N(F1342)&gt;=0.5,G1342&gt;=4),3,IF(OR(N(F1342)&gt;=0.3,G1342=3),2,IF(OR(N(F1342)&gt;=0.1,G1342&gt;=1),1,0)))</f>
        <v/>
      </c>
      <c r="I1342" s="4">
        <f>CHOOSE(H1342+1,"Kein Risiko","Gering","Mittel","Hoch")</f>
        <v/>
      </c>
    </row>
    <row r="1343">
      <c r="A1343" s="4" t="n">
        <v>1339</v>
      </c>
      <c r="B1343" s="4" t="inlineStr">
        <is>
          <t>yes</t>
        </is>
      </c>
      <c r="C1343" s="4" t="inlineStr"/>
      <c r="D1343" s="4" t="inlineStr"/>
      <c r="E1343" s="13" t="n">
        <v>44.3</v>
      </c>
      <c r="F1343" s="12" t="n">
        <v>0</v>
      </c>
      <c r="G1343" s="4" t="n">
        <v>0</v>
      </c>
      <c r="H1343" s="4">
        <f>IF(OR(N(F1343)&gt;=0.5,G1343&gt;=4),3,IF(OR(N(F1343)&gt;=0.3,G1343=3),2,IF(OR(N(F1343)&gt;=0.1,G1343&gt;=1),1,0)))</f>
        <v/>
      </c>
      <c r="I1343" s="4">
        <f>CHOOSE(H1343+1,"Kein Risiko","Gering","Mittel","Hoch")</f>
        <v/>
      </c>
    </row>
    <row r="1344">
      <c r="A1344" s="4" t="n">
        <v>1340</v>
      </c>
      <c r="B1344" s="4" t="inlineStr">
        <is>
          <t>yes</t>
        </is>
      </c>
      <c r="C1344" s="4" t="inlineStr"/>
      <c r="D1344" s="4" t="inlineStr"/>
      <c r="E1344" s="13" t="n">
        <v>42.1</v>
      </c>
      <c r="F1344" s="12" t="n">
        <v>0.010009765625</v>
      </c>
      <c r="G1344" s="4" t="n">
        <v>0</v>
      </c>
      <c r="H1344" s="4">
        <f>IF(OR(N(F1344)&gt;=0.5,G1344&gt;=4),3,IF(OR(N(F1344)&gt;=0.3,G1344=3),2,IF(OR(N(F1344)&gt;=0.1,G1344&gt;=1),1,0)))</f>
        <v/>
      </c>
      <c r="I1344" s="4">
        <f>CHOOSE(H1344+1,"Kein Risiko","Gering","Mittel","Hoch")</f>
        <v/>
      </c>
    </row>
    <row r="1345">
      <c r="A1345" s="4" t="n">
        <v>1341</v>
      </c>
      <c r="B1345" s="4" t="inlineStr">
        <is>
          <t>house</t>
        </is>
      </c>
      <c r="C1345" s="4" t="inlineStr">
        <is>
          <t>Auf'm Stöcken</t>
        </is>
      </c>
      <c r="D1345" s="4" t="inlineStr">
        <is>
          <t>7</t>
        </is>
      </c>
      <c r="E1345" s="13" t="n">
        <v>100</v>
      </c>
      <c r="F1345" s="12" t="n">
        <v>0</v>
      </c>
      <c r="G1345" s="4" t="n">
        <v>0</v>
      </c>
      <c r="H1345" s="4">
        <f>IF(OR(N(F1345)&gt;=0.5,G1345&gt;=4),3,IF(OR(N(F1345)&gt;=0.3,G1345=3),2,IF(OR(N(F1345)&gt;=0.1,G1345&gt;=1),1,0)))</f>
        <v/>
      </c>
      <c r="I1345" s="4">
        <f>CHOOSE(H1345+1,"Kein Risiko","Gering","Mittel","Hoch")</f>
        <v/>
      </c>
    </row>
    <row r="1346">
      <c r="A1346" s="4" t="n">
        <v>1342</v>
      </c>
      <c r="B1346" s="4" t="inlineStr">
        <is>
          <t>house</t>
        </is>
      </c>
      <c r="C1346" s="4" t="inlineStr">
        <is>
          <t>Schliepersberg</t>
        </is>
      </c>
      <c r="D1346" s="4" t="inlineStr">
        <is>
          <t>33a</t>
        </is>
      </c>
      <c r="E1346" s="13" t="n">
        <v>66.5</v>
      </c>
      <c r="F1346" s="12" t="n">
        <v>0.0099945068359375</v>
      </c>
      <c r="G1346" s="4" t="n">
        <v>0</v>
      </c>
      <c r="H1346" s="4">
        <f>IF(OR(N(F1346)&gt;=0.5,G1346&gt;=4),3,IF(OR(N(F1346)&gt;=0.3,G1346=3),2,IF(OR(N(F1346)&gt;=0.1,G1346&gt;=1),1,0)))</f>
        <v/>
      </c>
      <c r="I1346" s="4">
        <f>CHOOSE(H1346+1,"Kein Risiko","Gering","Mittel","Hoch")</f>
        <v/>
      </c>
    </row>
    <row r="1347">
      <c r="A1347" s="4" t="n">
        <v>1343</v>
      </c>
      <c r="B1347" s="4" t="inlineStr">
        <is>
          <t>yes</t>
        </is>
      </c>
      <c r="C1347" s="4" t="inlineStr"/>
      <c r="D1347" s="4" t="inlineStr"/>
      <c r="E1347" s="13" t="n">
        <v>54.7</v>
      </c>
      <c r="F1347" s="12" t="n">
        <v>0</v>
      </c>
      <c r="G1347" s="4" t="n">
        <v>0</v>
      </c>
      <c r="H1347" s="4">
        <f>IF(OR(N(F1347)&gt;=0.5,G1347&gt;=4),3,IF(OR(N(F1347)&gt;=0.3,G1347=3),2,IF(OR(N(F1347)&gt;=0.1,G1347&gt;=1),1,0)))</f>
        <v/>
      </c>
      <c r="I1347" s="4">
        <f>CHOOSE(H1347+1,"Kein Risiko","Gering","Mittel","Hoch")</f>
        <v/>
      </c>
    </row>
    <row r="1348">
      <c r="A1348" s="4" t="n">
        <v>1344</v>
      </c>
      <c r="B1348" s="4" t="inlineStr">
        <is>
          <t>house</t>
        </is>
      </c>
      <c r="C1348" s="4" t="inlineStr">
        <is>
          <t>Schliepersberg</t>
        </is>
      </c>
      <c r="D1348" s="4" t="inlineStr">
        <is>
          <t>35b</t>
        </is>
      </c>
      <c r="E1348" s="13" t="n">
        <v>69.3</v>
      </c>
      <c r="F1348" s="12" t="n">
        <v>0</v>
      </c>
      <c r="G1348" s="4" t="n">
        <v>0</v>
      </c>
      <c r="H1348" s="4">
        <f>IF(OR(N(F1348)&gt;=0.5,G1348&gt;=4),3,IF(OR(N(F1348)&gt;=0.3,G1348=3),2,IF(OR(N(F1348)&gt;=0.1,G1348&gt;=1),1,0)))</f>
        <v/>
      </c>
      <c r="I1348" s="4">
        <f>CHOOSE(H1348+1,"Kein Risiko","Gering","Mittel","Hoch")</f>
        <v/>
      </c>
    </row>
    <row r="1349">
      <c r="A1349" s="4" t="n">
        <v>1345</v>
      </c>
      <c r="B1349" s="4" t="inlineStr">
        <is>
          <t>house</t>
        </is>
      </c>
      <c r="C1349" s="4" t="inlineStr">
        <is>
          <t>Auf'm Stöcken</t>
        </is>
      </c>
      <c r="D1349" s="4" t="inlineStr">
        <is>
          <t>9</t>
        </is>
      </c>
      <c r="E1349" s="13" t="n">
        <v>91.3</v>
      </c>
      <c r="F1349" s="12" t="n">
        <v>0</v>
      </c>
      <c r="G1349" s="4" t="n">
        <v>0</v>
      </c>
      <c r="H1349" s="4">
        <f>IF(OR(N(F1349)&gt;=0.5,G1349&gt;=4),3,IF(OR(N(F1349)&gt;=0.3,G1349=3),2,IF(OR(N(F1349)&gt;=0.1,G1349&gt;=1),1,0)))</f>
        <v/>
      </c>
      <c r="I1349" s="4">
        <f>CHOOSE(H1349+1,"Kein Risiko","Gering","Mittel","Hoch")</f>
        <v/>
      </c>
    </row>
    <row r="1350">
      <c r="A1350" s="4" t="n">
        <v>1346</v>
      </c>
      <c r="B1350" s="4" t="inlineStr">
        <is>
          <t>house</t>
        </is>
      </c>
      <c r="C1350" s="4" t="inlineStr">
        <is>
          <t>Auf'm Stöcken</t>
        </is>
      </c>
      <c r="D1350" s="4" t="inlineStr">
        <is>
          <t>27</t>
        </is>
      </c>
      <c r="E1350" s="13" t="n">
        <v>87.8</v>
      </c>
      <c r="F1350" s="12" t="n">
        <v>0</v>
      </c>
      <c r="G1350" s="4" t="n">
        <v>0</v>
      </c>
      <c r="H1350" s="4">
        <f>IF(OR(N(F1350)&gt;=0.5,G1350&gt;=4),3,IF(OR(N(F1350)&gt;=0.3,G1350=3),2,IF(OR(N(F1350)&gt;=0.1,G1350&gt;=1),1,0)))</f>
        <v/>
      </c>
      <c r="I1350" s="4">
        <f>CHOOSE(H1350+1,"Kein Risiko","Gering","Mittel","Hoch")</f>
        <v/>
      </c>
    </row>
    <row r="1351">
      <c r="A1351" s="4" t="n">
        <v>1347</v>
      </c>
      <c r="B1351" s="4" t="inlineStr">
        <is>
          <t>house</t>
        </is>
      </c>
      <c r="C1351" s="4" t="inlineStr">
        <is>
          <t>Auf'm Stöcken</t>
        </is>
      </c>
      <c r="D1351" s="4" t="inlineStr">
        <is>
          <t>25</t>
        </is>
      </c>
      <c r="E1351" s="13" t="n">
        <v>84.8</v>
      </c>
      <c r="F1351" s="12" t="n">
        <v>0</v>
      </c>
      <c r="G1351" s="4" t="n">
        <v>0</v>
      </c>
      <c r="H1351" s="4">
        <f>IF(OR(N(F1351)&gt;=0.5,G1351&gt;=4),3,IF(OR(N(F1351)&gt;=0.3,G1351=3),2,IF(OR(N(F1351)&gt;=0.1,G1351&gt;=1),1,0)))</f>
        <v/>
      </c>
      <c r="I1351" s="4">
        <f>CHOOSE(H1351+1,"Kein Risiko","Gering","Mittel","Hoch")</f>
        <v/>
      </c>
    </row>
    <row r="1352">
      <c r="A1352" s="4" t="n">
        <v>1348</v>
      </c>
      <c r="B1352" s="4" t="inlineStr">
        <is>
          <t>yes</t>
        </is>
      </c>
      <c r="C1352" s="4" t="inlineStr"/>
      <c r="D1352" s="4" t="inlineStr"/>
      <c r="E1352" s="13" t="n">
        <v>53.8</v>
      </c>
      <c r="F1352" s="12" t="n">
        <v>0</v>
      </c>
      <c r="G1352" s="4" t="n">
        <v>0</v>
      </c>
      <c r="H1352" s="4">
        <f>IF(OR(N(F1352)&gt;=0.5,G1352&gt;=4),3,IF(OR(N(F1352)&gt;=0.3,G1352=3),2,IF(OR(N(F1352)&gt;=0.1,G1352&gt;=1),1,0)))</f>
        <v/>
      </c>
      <c r="I1352" s="4">
        <f>CHOOSE(H1352+1,"Kein Risiko","Gering","Mittel","Hoch")</f>
        <v/>
      </c>
    </row>
    <row r="1353">
      <c r="A1353" s="4" t="n">
        <v>1349</v>
      </c>
      <c r="B1353" s="4" t="inlineStr">
        <is>
          <t>house</t>
        </is>
      </c>
      <c r="C1353" s="4" t="inlineStr">
        <is>
          <t>Schliepersberg</t>
        </is>
      </c>
      <c r="D1353" s="4" t="inlineStr">
        <is>
          <t>39a</t>
        </is>
      </c>
      <c r="E1353" s="13" t="n">
        <v>67.5</v>
      </c>
      <c r="F1353" s="12" t="n">
        <v>0</v>
      </c>
      <c r="G1353" s="4" t="n">
        <v>0</v>
      </c>
      <c r="H1353" s="4">
        <f>IF(OR(N(F1353)&gt;=0.5,G1353&gt;=4),3,IF(OR(N(F1353)&gt;=0.3,G1353=3),2,IF(OR(N(F1353)&gt;=0.1,G1353&gt;=1),1,0)))</f>
        <v/>
      </c>
      <c r="I1353" s="4">
        <f>CHOOSE(H1353+1,"Kein Risiko","Gering","Mittel","Hoch")</f>
        <v/>
      </c>
    </row>
    <row r="1354">
      <c r="A1354" s="4" t="n">
        <v>1350</v>
      </c>
      <c r="B1354" s="4" t="inlineStr">
        <is>
          <t>semidetached_house</t>
        </is>
      </c>
      <c r="C1354" s="4" t="inlineStr">
        <is>
          <t>Auf'm Stöcken</t>
        </is>
      </c>
      <c r="D1354" s="4" t="inlineStr">
        <is>
          <t>22</t>
        </is>
      </c>
      <c r="E1354" s="13" t="n">
        <v>104</v>
      </c>
      <c r="F1354" s="12" t="n">
        <v>0</v>
      </c>
      <c r="G1354" s="4" t="n">
        <v>0</v>
      </c>
      <c r="H1354" s="4">
        <f>IF(OR(N(F1354)&gt;=0.5,G1354&gt;=4),3,IF(OR(N(F1354)&gt;=0.3,G1354=3),2,IF(OR(N(F1354)&gt;=0.1,G1354&gt;=1),1,0)))</f>
        <v/>
      </c>
      <c r="I1354" s="4">
        <f>CHOOSE(H1354+1,"Kein Risiko","Gering","Mittel","Hoch")</f>
        <v/>
      </c>
    </row>
    <row r="1355">
      <c r="A1355" s="4" t="n">
        <v>1351</v>
      </c>
      <c r="B1355" s="4" t="inlineStr">
        <is>
          <t>house</t>
        </is>
      </c>
      <c r="C1355" s="4" t="inlineStr">
        <is>
          <t>Auf'm Stöcken</t>
        </is>
      </c>
      <c r="D1355" s="4" t="inlineStr">
        <is>
          <t>23</t>
        </is>
      </c>
      <c r="E1355" s="13" t="n">
        <v>89.7</v>
      </c>
      <c r="F1355" s="12" t="n">
        <v>0</v>
      </c>
      <c r="G1355" s="4" t="n">
        <v>0</v>
      </c>
      <c r="H1355" s="4">
        <f>IF(OR(N(F1355)&gt;=0.5,G1355&gt;=4),3,IF(OR(N(F1355)&gt;=0.3,G1355=3),2,IF(OR(N(F1355)&gt;=0.1,G1355&gt;=1),1,0)))</f>
        <v/>
      </c>
      <c r="I1355" s="4">
        <f>CHOOSE(H1355+1,"Kein Risiko","Gering","Mittel","Hoch")</f>
        <v/>
      </c>
    </row>
    <row r="1356">
      <c r="A1356" s="4" t="n">
        <v>1352</v>
      </c>
      <c r="B1356" s="4" t="inlineStr">
        <is>
          <t>yes</t>
        </is>
      </c>
      <c r="C1356" s="4" t="inlineStr"/>
      <c r="D1356" s="4" t="inlineStr"/>
      <c r="E1356" s="13" t="n">
        <v>44.3</v>
      </c>
      <c r="F1356" s="12" t="n">
        <v>0</v>
      </c>
      <c r="G1356" s="4" t="n">
        <v>1</v>
      </c>
      <c r="H1356" s="4">
        <f>IF(OR(N(F1356)&gt;=0.5,G1356&gt;=4),3,IF(OR(N(F1356)&gt;=0.3,G1356=3),2,IF(OR(N(F1356)&gt;=0.1,G1356&gt;=1),1,0)))</f>
        <v/>
      </c>
      <c r="I1356" s="4">
        <f>CHOOSE(H1356+1,"Kein Risiko","Gering","Mittel","Hoch")</f>
        <v/>
      </c>
    </row>
    <row r="1357">
      <c r="A1357" s="4" t="n">
        <v>1353</v>
      </c>
      <c r="B1357" s="4" t="inlineStr">
        <is>
          <t>yes</t>
        </is>
      </c>
      <c r="C1357" s="4" t="inlineStr">
        <is>
          <t>Auf'm Stöcken</t>
        </is>
      </c>
      <c r="D1357" s="4" t="inlineStr">
        <is>
          <t>3</t>
        </is>
      </c>
      <c r="E1357" s="13" t="n">
        <v>124.6</v>
      </c>
      <c r="F1357" s="12" t="n">
        <v>0.0399932861328125</v>
      </c>
      <c r="G1357" s="4" t="n">
        <v>0</v>
      </c>
      <c r="H1357" s="4">
        <f>IF(OR(N(F1357)&gt;=0.5,G1357&gt;=4),3,IF(OR(N(F1357)&gt;=0.3,G1357=3),2,IF(OR(N(F1357)&gt;=0.1,G1357&gt;=1),1,0)))</f>
        <v/>
      </c>
      <c r="I1357" s="4">
        <f>CHOOSE(H1357+1,"Kein Risiko","Gering","Mittel","Hoch")</f>
        <v/>
      </c>
    </row>
    <row r="1358">
      <c r="A1358" s="4" t="n">
        <v>1354</v>
      </c>
      <c r="B1358" s="4" t="inlineStr">
        <is>
          <t>semidetached_house</t>
        </is>
      </c>
      <c r="C1358" s="4" t="inlineStr">
        <is>
          <t>Schliepersberg</t>
        </is>
      </c>
      <c r="D1358" s="4" t="inlineStr">
        <is>
          <t>21a</t>
        </is>
      </c>
      <c r="E1358" s="13" t="n">
        <v>66.09999999999999</v>
      </c>
      <c r="F1358" s="12" t="n">
        <v>0</v>
      </c>
      <c r="G1358" s="4" t="n">
        <v>0</v>
      </c>
      <c r="H1358" s="4">
        <f>IF(OR(N(F1358)&gt;=0.5,G1358&gt;=4),3,IF(OR(N(F1358)&gt;=0.3,G1358=3),2,IF(OR(N(F1358)&gt;=0.1,G1358&gt;=1),1,0)))</f>
        <v/>
      </c>
      <c r="I1358" s="4">
        <f>CHOOSE(H1358+1,"Kein Risiko","Gering","Mittel","Hoch")</f>
        <v/>
      </c>
    </row>
    <row r="1359">
      <c r="A1359" s="4" t="n">
        <v>1355</v>
      </c>
      <c r="B1359" s="4" t="inlineStr">
        <is>
          <t>yes</t>
        </is>
      </c>
      <c r="C1359" s="4" t="inlineStr"/>
      <c r="D1359" s="4" t="inlineStr"/>
      <c r="E1359" s="13" t="n">
        <v>8.800000000000001</v>
      </c>
      <c r="F1359" s="12" t="n">
        <v>0</v>
      </c>
      <c r="G1359" s="4" t="n">
        <v>0</v>
      </c>
      <c r="H1359" s="4">
        <f>IF(OR(N(F1359)&gt;=0.5,G1359&gt;=4),3,IF(OR(N(F1359)&gt;=0.3,G1359=3),2,IF(OR(N(F1359)&gt;=0.1,G1359&gt;=1),1,0)))</f>
        <v/>
      </c>
      <c r="I1359" s="4">
        <f>CHOOSE(H1359+1,"Kein Risiko","Gering","Mittel","Hoch")</f>
        <v/>
      </c>
    </row>
    <row r="1360">
      <c r="A1360" s="4" t="n">
        <v>1356</v>
      </c>
      <c r="B1360" s="4" t="inlineStr">
        <is>
          <t>yes</t>
        </is>
      </c>
      <c r="C1360" s="4" t="inlineStr"/>
      <c r="D1360" s="4" t="inlineStr"/>
      <c r="E1360" s="13" t="n">
        <v>10.5</v>
      </c>
      <c r="F1360" s="12" t="n">
        <v>0</v>
      </c>
      <c r="G1360" s="4" t="n">
        <v>0</v>
      </c>
      <c r="H1360" s="4">
        <f>IF(OR(N(F1360)&gt;=0.5,G1360&gt;=4),3,IF(OR(N(F1360)&gt;=0.3,G1360=3),2,IF(OR(N(F1360)&gt;=0.1,G1360&gt;=1),1,0)))</f>
        <v/>
      </c>
      <c r="I1360" s="4">
        <f>CHOOSE(H1360+1,"Kein Risiko","Gering","Mittel","Hoch")</f>
        <v/>
      </c>
    </row>
    <row r="1361">
      <c r="A1361" s="4" t="n">
        <v>1357</v>
      </c>
      <c r="B1361" s="4" t="inlineStr">
        <is>
          <t>garage</t>
        </is>
      </c>
      <c r="C1361" s="4" t="inlineStr"/>
      <c r="D1361" s="4" t="inlineStr"/>
      <c r="E1361" s="13" t="n">
        <v>17.3</v>
      </c>
      <c r="F1361" s="12" t="n">
        <v>0</v>
      </c>
      <c r="G1361" s="4" t="n">
        <v>0</v>
      </c>
      <c r="H1361" s="4">
        <f>IF(OR(N(F1361)&gt;=0.5,G1361&gt;=4),3,IF(OR(N(F1361)&gt;=0.3,G1361=3),2,IF(OR(N(F1361)&gt;=0.1,G1361&gt;=1),1,0)))</f>
        <v/>
      </c>
      <c r="I1361" s="4">
        <f>CHOOSE(H1361+1,"Kein Risiko","Gering","Mittel","Hoch")</f>
        <v/>
      </c>
    </row>
    <row r="1362">
      <c r="A1362" s="4" t="n">
        <v>1358</v>
      </c>
      <c r="B1362" s="4" t="inlineStr">
        <is>
          <t>yes</t>
        </is>
      </c>
      <c r="C1362" s="4" t="inlineStr"/>
      <c r="D1362" s="4" t="inlineStr"/>
      <c r="E1362" s="13" t="n">
        <v>16.7</v>
      </c>
      <c r="F1362" s="12" t="n">
        <v>0</v>
      </c>
      <c r="G1362" s="4" t="n">
        <v>0</v>
      </c>
      <c r="H1362" s="4">
        <f>IF(OR(N(F1362)&gt;=0.5,G1362&gt;=4),3,IF(OR(N(F1362)&gt;=0.3,G1362=3),2,IF(OR(N(F1362)&gt;=0.1,G1362&gt;=1),1,0)))</f>
        <v/>
      </c>
      <c r="I1362" s="4">
        <f>CHOOSE(H1362+1,"Kein Risiko","Gering","Mittel","Hoch")</f>
        <v/>
      </c>
    </row>
    <row r="1363">
      <c r="A1363" s="4" t="n">
        <v>1359</v>
      </c>
      <c r="B1363" s="4" t="inlineStr">
        <is>
          <t>yes</t>
        </is>
      </c>
      <c r="C1363" s="4" t="inlineStr"/>
      <c r="D1363" s="4" t="inlineStr"/>
      <c r="E1363" s="13" t="n">
        <v>12.6</v>
      </c>
      <c r="F1363" s="12" t="n">
        <v>0</v>
      </c>
      <c r="G1363" s="4" t="n">
        <v>0</v>
      </c>
      <c r="H1363" s="4">
        <f>IF(OR(N(F1363)&gt;=0.5,G1363&gt;=4),3,IF(OR(N(F1363)&gt;=0.3,G1363=3),2,IF(OR(N(F1363)&gt;=0.1,G1363&gt;=1),1,0)))</f>
        <v/>
      </c>
      <c r="I1363" s="4">
        <f>CHOOSE(H1363+1,"Kein Risiko","Gering","Mittel","Hoch")</f>
        <v/>
      </c>
    </row>
    <row r="1364">
      <c r="A1364" s="4" t="n">
        <v>1360</v>
      </c>
      <c r="B1364" s="4" t="inlineStr">
        <is>
          <t>yes</t>
        </is>
      </c>
      <c r="C1364" s="4" t="inlineStr"/>
      <c r="D1364" s="4" t="inlineStr"/>
      <c r="E1364" s="13" t="n">
        <v>20.3</v>
      </c>
      <c r="F1364" s="12" t="n">
        <v>0</v>
      </c>
      <c r="G1364" s="4" t="n">
        <v>0</v>
      </c>
      <c r="H1364" s="4">
        <f>IF(OR(N(F1364)&gt;=0.5,G1364&gt;=4),3,IF(OR(N(F1364)&gt;=0.3,G1364=3),2,IF(OR(N(F1364)&gt;=0.1,G1364&gt;=1),1,0)))</f>
        <v/>
      </c>
      <c r="I1364" s="4">
        <f>CHOOSE(H1364+1,"Kein Risiko","Gering","Mittel","Hoch")</f>
        <v/>
      </c>
    </row>
    <row r="1365">
      <c r="A1365" s="4" t="n">
        <v>1361</v>
      </c>
      <c r="B1365" s="4" t="inlineStr">
        <is>
          <t>garage</t>
        </is>
      </c>
      <c r="C1365" s="4" t="inlineStr"/>
      <c r="D1365" s="4" t="inlineStr"/>
      <c r="E1365" s="13" t="n">
        <v>18.8</v>
      </c>
      <c r="F1365" s="12" t="n">
        <v>0</v>
      </c>
      <c r="G1365" s="4" t="n">
        <v>0</v>
      </c>
      <c r="H1365" s="4">
        <f>IF(OR(N(F1365)&gt;=0.5,G1365&gt;=4),3,IF(OR(N(F1365)&gt;=0.3,G1365=3),2,IF(OR(N(F1365)&gt;=0.1,G1365&gt;=1),1,0)))</f>
        <v/>
      </c>
      <c r="I1365" s="4">
        <f>CHOOSE(H1365+1,"Kein Risiko","Gering","Mittel","Hoch")</f>
        <v/>
      </c>
    </row>
    <row r="1366">
      <c r="A1366" s="4" t="n">
        <v>1362</v>
      </c>
      <c r="B1366" s="4" t="inlineStr">
        <is>
          <t>yes</t>
        </is>
      </c>
      <c r="C1366" s="4" t="inlineStr"/>
      <c r="D1366" s="4" t="inlineStr"/>
      <c r="E1366" s="13" t="n">
        <v>26.4</v>
      </c>
      <c r="F1366" s="12" t="n">
        <v>0.0099945068359375</v>
      </c>
      <c r="G1366" s="4" t="n">
        <v>0</v>
      </c>
      <c r="H1366" s="4">
        <f>IF(OR(N(F1366)&gt;=0.5,G1366&gt;=4),3,IF(OR(N(F1366)&gt;=0.3,G1366=3),2,IF(OR(N(F1366)&gt;=0.1,G1366&gt;=1),1,0)))</f>
        <v/>
      </c>
      <c r="I1366" s="4">
        <f>CHOOSE(H1366+1,"Kein Risiko","Gering","Mittel","Hoch")</f>
        <v/>
      </c>
    </row>
    <row r="1367">
      <c r="A1367" s="4" t="n">
        <v>1363</v>
      </c>
      <c r="B1367" s="4" t="inlineStr">
        <is>
          <t>yes</t>
        </is>
      </c>
      <c r="C1367" s="4" t="inlineStr"/>
      <c r="D1367" s="4" t="inlineStr"/>
      <c r="E1367" s="13" t="n">
        <v>12.9</v>
      </c>
      <c r="F1367" s="12" t="n">
        <v>0.040008544921875</v>
      </c>
      <c r="G1367" s="4" t="n">
        <v>0</v>
      </c>
      <c r="H1367" s="4">
        <f>IF(OR(N(F1367)&gt;=0.5,G1367&gt;=4),3,IF(OR(N(F1367)&gt;=0.3,G1367=3),2,IF(OR(N(F1367)&gt;=0.1,G1367&gt;=1),1,0)))</f>
        <v/>
      </c>
      <c r="I1367" s="4">
        <f>CHOOSE(H1367+1,"Kein Risiko","Gering","Mittel","Hoch")</f>
        <v/>
      </c>
    </row>
    <row r="1368">
      <c r="A1368" s="4" t="n">
        <v>1364</v>
      </c>
      <c r="B1368" s="4" t="inlineStr">
        <is>
          <t>yes</t>
        </is>
      </c>
      <c r="C1368" s="4" t="inlineStr"/>
      <c r="D1368" s="4" t="inlineStr"/>
      <c r="E1368" s="13" t="n">
        <v>5.8</v>
      </c>
      <c r="F1368" s="12" t="n">
        <v>0.019989013671875</v>
      </c>
      <c r="G1368" s="4" t="n">
        <v>0</v>
      </c>
      <c r="H1368" s="4">
        <f>IF(OR(N(F1368)&gt;=0.5,G1368&gt;=4),3,IF(OR(N(F1368)&gt;=0.3,G1368=3),2,IF(OR(N(F1368)&gt;=0.1,G1368&gt;=1),1,0)))</f>
        <v/>
      </c>
      <c r="I1368" s="4">
        <f>CHOOSE(H1368+1,"Kein Risiko","Gering","Mittel","Hoch")</f>
        <v/>
      </c>
    </row>
    <row r="1369">
      <c r="A1369" s="4" t="n">
        <v>1365</v>
      </c>
      <c r="B1369" s="4" t="inlineStr">
        <is>
          <t>yes</t>
        </is>
      </c>
      <c r="C1369" s="4" t="inlineStr"/>
      <c r="D1369" s="4" t="inlineStr"/>
      <c r="E1369" s="13" t="n">
        <v>13.7</v>
      </c>
      <c r="F1369" s="12" t="n">
        <v>0</v>
      </c>
      <c r="G1369" s="4" t="n">
        <v>0</v>
      </c>
      <c r="H1369" s="4">
        <f>IF(OR(N(F1369)&gt;=0.5,G1369&gt;=4),3,IF(OR(N(F1369)&gt;=0.3,G1369=3),2,IF(OR(N(F1369)&gt;=0.1,G1369&gt;=1),1,0)))</f>
        <v/>
      </c>
      <c r="I1369" s="4">
        <f>CHOOSE(H1369+1,"Kein Risiko","Gering","Mittel","Hoch")</f>
        <v/>
      </c>
    </row>
    <row r="1370">
      <c r="A1370" s="4" t="n">
        <v>1366</v>
      </c>
      <c r="B1370" s="4" t="inlineStr">
        <is>
          <t>yes</t>
        </is>
      </c>
      <c r="C1370" s="4" t="inlineStr"/>
      <c r="D1370" s="4" t="inlineStr"/>
      <c r="E1370" s="13" t="n">
        <v>5.6</v>
      </c>
      <c r="F1370" s="12" t="n">
        <v>0</v>
      </c>
      <c r="G1370" s="4" t="n">
        <v>0</v>
      </c>
      <c r="H1370" s="4">
        <f>IF(OR(N(F1370)&gt;=0.5,G1370&gt;=4),3,IF(OR(N(F1370)&gt;=0.3,G1370=3),2,IF(OR(N(F1370)&gt;=0.1,G1370&gt;=1),1,0)))</f>
        <v/>
      </c>
      <c r="I1370" s="4">
        <f>CHOOSE(H1370+1,"Kein Risiko","Gering","Mittel","Hoch")</f>
        <v/>
      </c>
    </row>
    <row r="1371">
      <c r="A1371" s="4" t="n">
        <v>1367</v>
      </c>
      <c r="B1371" s="4" t="inlineStr">
        <is>
          <t>yes</t>
        </is>
      </c>
      <c r="C1371" s="4" t="inlineStr"/>
      <c r="D1371" s="4" t="inlineStr"/>
      <c r="E1371" s="13" t="n">
        <v>19.8</v>
      </c>
      <c r="F1371" s="12" t="n">
        <v>0.040008544921875</v>
      </c>
      <c r="G1371" s="4" t="n">
        <v>1</v>
      </c>
      <c r="H1371" s="4">
        <f>IF(OR(N(F1371)&gt;=0.5,G1371&gt;=4),3,IF(OR(N(F1371)&gt;=0.3,G1371=3),2,IF(OR(N(F1371)&gt;=0.1,G1371&gt;=1),1,0)))</f>
        <v/>
      </c>
      <c r="I1371" s="4">
        <f>CHOOSE(H1371+1,"Kein Risiko","Gering","Mittel","Hoch")</f>
        <v/>
      </c>
    </row>
    <row r="1372">
      <c r="A1372" s="4" t="n">
        <v>1368</v>
      </c>
      <c r="B1372" s="4" t="inlineStr">
        <is>
          <t>yes</t>
        </is>
      </c>
      <c r="C1372" s="4" t="inlineStr"/>
      <c r="D1372" s="4" t="inlineStr"/>
      <c r="E1372" s="13" t="n">
        <v>11.1</v>
      </c>
      <c r="F1372" s="12" t="n">
        <v>0</v>
      </c>
      <c r="G1372" s="4" t="n">
        <v>0</v>
      </c>
      <c r="H1372" s="4">
        <f>IF(OR(N(F1372)&gt;=0.5,G1372&gt;=4),3,IF(OR(N(F1372)&gt;=0.3,G1372=3),2,IF(OR(N(F1372)&gt;=0.1,G1372&gt;=1),1,0)))</f>
        <v/>
      </c>
      <c r="I1372" s="4">
        <f>CHOOSE(H1372+1,"Kein Risiko","Gering","Mittel","Hoch")</f>
        <v/>
      </c>
    </row>
    <row r="1373">
      <c r="A1373" s="4" t="n">
        <v>1369</v>
      </c>
      <c r="B1373" s="4" t="inlineStr">
        <is>
          <t>yes</t>
        </is>
      </c>
      <c r="C1373" s="4" t="inlineStr"/>
      <c r="D1373" s="4" t="inlineStr"/>
      <c r="E1373" s="13" t="n">
        <v>9.9</v>
      </c>
      <c r="F1373" s="12" t="n">
        <v>0</v>
      </c>
      <c r="G1373" s="4" t="n">
        <v>0</v>
      </c>
      <c r="H1373" s="4">
        <f>IF(OR(N(F1373)&gt;=0.5,G1373&gt;=4),3,IF(OR(N(F1373)&gt;=0.3,G1373=3),2,IF(OR(N(F1373)&gt;=0.1,G1373&gt;=1),1,0)))</f>
        <v/>
      </c>
      <c r="I1373" s="4">
        <f>CHOOSE(H1373+1,"Kein Risiko","Gering","Mittel","Hoch")</f>
        <v/>
      </c>
    </row>
    <row r="1374">
      <c r="A1374" s="4" t="n">
        <v>1370</v>
      </c>
      <c r="B1374" s="4" t="inlineStr">
        <is>
          <t>yes</t>
        </is>
      </c>
      <c r="C1374" s="4" t="inlineStr"/>
      <c r="D1374" s="4" t="inlineStr"/>
      <c r="E1374" s="13" t="n">
        <v>15.9</v>
      </c>
      <c r="F1374" s="12" t="n">
        <v>0</v>
      </c>
      <c r="G1374" s="4" t="n">
        <v>0</v>
      </c>
      <c r="H1374" s="4">
        <f>IF(OR(N(F1374)&gt;=0.5,G1374&gt;=4),3,IF(OR(N(F1374)&gt;=0.3,G1374=3),2,IF(OR(N(F1374)&gt;=0.1,G1374&gt;=1),1,0)))</f>
        <v/>
      </c>
      <c r="I1374" s="4">
        <f>CHOOSE(H1374+1,"Kein Risiko","Gering","Mittel","Hoch")</f>
        <v/>
      </c>
    </row>
    <row r="1375">
      <c r="A1375" s="4" t="n">
        <v>1371</v>
      </c>
      <c r="B1375" s="4" t="inlineStr">
        <is>
          <t>yes</t>
        </is>
      </c>
      <c r="C1375" s="4" t="inlineStr"/>
      <c r="D1375" s="4" t="inlineStr"/>
      <c r="E1375" s="13" t="n">
        <v>16.7</v>
      </c>
      <c r="F1375" s="12" t="n">
        <v>0</v>
      </c>
      <c r="G1375" s="4" t="n">
        <v>0</v>
      </c>
      <c r="H1375" s="4">
        <f>IF(OR(N(F1375)&gt;=0.5,G1375&gt;=4),3,IF(OR(N(F1375)&gt;=0.3,G1375=3),2,IF(OR(N(F1375)&gt;=0.1,G1375&gt;=1),1,0)))</f>
        <v/>
      </c>
      <c r="I1375" s="4">
        <f>CHOOSE(H1375+1,"Kein Risiko","Gering","Mittel","Hoch")</f>
        <v/>
      </c>
    </row>
    <row r="1376">
      <c r="A1376" s="4" t="n">
        <v>1372</v>
      </c>
      <c r="B1376" s="4" t="inlineStr">
        <is>
          <t>yes</t>
        </is>
      </c>
      <c r="C1376" s="4" t="inlineStr"/>
      <c r="D1376" s="4" t="inlineStr"/>
      <c r="E1376" s="13" t="n">
        <v>12.1</v>
      </c>
      <c r="F1376" s="12" t="n">
        <v>0</v>
      </c>
      <c r="G1376" s="4" t="n">
        <v>0</v>
      </c>
      <c r="H1376" s="4">
        <f>IF(OR(N(F1376)&gt;=0.5,G1376&gt;=4),3,IF(OR(N(F1376)&gt;=0.3,G1376=3),2,IF(OR(N(F1376)&gt;=0.1,G1376&gt;=1),1,0)))</f>
        <v/>
      </c>
      <c r="I1376" s="4">
        <f>CHOOSE(H1376+1,"Kein Risiko","Gering","Mittel","Hoch")</f>
        <v/>
      </c>
    </row>
    <row r="1377">
      <c r="A1377" s="4" t="n">
        <v>1373</v>
      </c>
      <c r="B1377" s="4" t="inlineStr">
        <is>
          <t>semidetached_house</t>
        </is>
      </c>
      <c r="C1377" s="4" t="inlineStr">
        <is>
          <t>Schliepersberg</t>
        </is>
      </c>
      <c r="D1377" s="4" t="inlineStr">
        <is>
          <t>9a</t>
        </is>
      </c>
      <c r="E1377" s="13" t="n">
        <v>68.59999999999999</v>
      </c>
      <c r="F1377" s="12" t="n">
        <v>0</v>
      </c>
      <c r="G1377" s="4" t="n">
        <v>0</v>
      </c>
      <c r="H1377" s="4">
        <f>IF(OR(N(F1377)&gt;=0.5,G1377&gt;=4),3,IF(OR(N(F1377)&gt;=0.3,G1377=3),2,IF(OR(N(F1377)&gt;=0.1,G1377&gt;=1),1,0)))</f>
        <v/>
      </c>
      <c r="I1377" s="4">
        <f>CHOOSE(H1377+1,"Kein Risiko","Gering","Mittel","Hoch")</f>
        <v/>
      </c>
    </row>
    <row r="1378">
      <c r="A1378" s="4" t="n">
        <v>1374</v>
      </c>
      <c r="B1378" s="4" t="inlineStr">
        <is>
          <t>yes</t>
        </is>
      </c>
      <c r="C1378" s="4" t="inlineStr"/>
      <c r="D1378" s="4" t="inlineStr"/>
      <c r="E1378" s="13" t="n">
        <v>18.4</v>
      </c>
      <c r="F1378" s="12" t="n">
        <v>0</v>
      </c>
      <c r="G1378" s="4" t="n">
        <v>0</v>
      </c>
      <c r="H1378" s="4">
        <f>IF(OR(N(F1378)&gt;=0.5,G1378&gt;=4),3,IF(OR(N(F1378)&gt;=0.3,G1378=3),2,IF(OR(N(F1378)&gt;=0.1,G1378&gt;=1),1,0)))</f>
        <v/>
      </c>
      <c r="I1378" s="4">
        <f>CHOOSE(H1378+1,"Kein Risiko","Gering","Mittel","Hoch")</f>
        <v/>
      </c>
    </row>
    <row r="1379">
      <c r="A1379" s="4" t="n">
        <v>1375</v>
      </c>
      <c r="B1379" s="4" t="inlineStr">
        <is>
          <t>semidetached_house</t>
        </is>
      </c>
      <c r="C1379" s="4" t="inlineStr">
        <is>
          <t>Schliepersberg</t>
        </is>
      </c>
      <c r="D1379" s="4" t="inlineStr">
        <is>
          <t>17a</t>
        </is>
      </c>
      <c r="E1379" s="13" t="n">
        <v>70.2</v>
      </c>
      <c r="F1379" s="12" t="n">
        <v>0</v>
      </c>
      <c r="G1379" s="4" t="n">
        <v>0</v>
      </c>
      <c r="H1379" s="4">
        <f>IF(OR(N(F1379)&gt;=0.5,G1379&gt;=4),3,IF(OR(N(F1379)&gt;=0.3,G1379=3),2,IF(OR(N(F1379)&gt;=0.1,G1379&gt;=1),1,0)))</f>
        <v/>
      </c>
      <c r="I1379" s="4">
        <f>CHOOSE(H1379+1,"Kein Risiko","Gering","Mittel","Hoch")</f>
        <v/>
      </c>
    </row>
    <row r="1380">
      <c r="A1380" s="4" t="n">
        <v>1376</v>
      </c>
      <c r="B1380" s="4" t="inlineStr">
        <is>
          <t>yes</t>
        </is>
      </c>
      <c r="C1380" s="4" t="inlineStr"/>
      <c r="D1380" s="4" t="inlineStr"/>
      <c r="E1380" s="13" t="n">
        <v>15</v>
      </c>
      <c r="F1380" s="12" t="n">
        <v>0</v>
      </c>
      <c r="G1380" s="4" t="n">
        <v>0</v>
      </c>
      <c r="H1380" s="4">
        <f>IF(OR(N(F1380)&gt;=0.5,G1380&gt;=4),3,IF(OR(N(F1380)&gt;=0.3,G1380=3),2,IF(OR(N(F1380)&gt;=0.1,G1380&gt;=1),1,0)))</f>
        <v/>
      </c>
      <c r="I1380" s="4">
        <f>CHOOSE(H1380+1,"Kein Risiko","Gering","Mittel","Hoch")</f>
        <v/>
      </c>
    </row>
    <row r="1381">
      <c r="A1381" s="4" t="n">
        <v>1377</v>
      </c>
      <c r="B1381" s="4" t="inlineStr">
        <is>
          <t>garage</t>
        </is>
      </c>
      <c r="C1381" s="4" t="inlineStr"/>
      <c r="D1381" s="4" t="inlineStr"/>
      <c r="E1381" s="13" t="n">
        <v>17.8</v>
      </c>
      <c r="F1381" s="12" t="n">
        <v>0</v>
      </c>
      <c r="G1381" s="4" t="n">
        <v>0</v>
      </c>
      <c r="H1381" s="4">
        <f>IF(OR(N(F1381)&gt;=0.5,G1381&gt;=4),3,IF(OR(N(F1381)&gt;=0.3,G1381=3),2,IF(OR(N(F1381)&gt;=0.1,G1381&gt;=1),1,0)))</f>
        <v/>
      </c>
      <c r="I1381" s="4">
        <f>CHOOSE(H1381+1,"Kein Risiko","Gering","Mittel","Hoch")</f>
        <v/>
      </c>
    </row>
    <row r="1382">
      <c r="A1382" s="4" t="n">
        <v>1378</v>
      </c>
      <c r="B1382" s="4" t="inlineStr">
        <is>
          <t>garage</t>
        </is>
      </c>
      <c r="C1382" s="4" t="inlineStr"/>
      <c r="D1382" s="4" t="inlineStr"/>
      <c r="E1382" s="13" t="n">
        <v>47.3</v>
      </c>
      <c r="F1382" s="12" t="n">
        <v>0</v>
      </c>
      <c r="G1382" s="4" t="n">
        <v>0</v>
      </c>
      <c r="H1382" s="4">
        <f>IF(OR(N(F1382)&gt;=0.5,G1382&gt;=4),3,IF(OR(N(F1382)&gt;=0.3,G1382=3),2,IF(OR(N(F1382)&gt;=0.1,G1382&gt;=1),1,0)))</f>
        <v/>
      </c>
      <c r="I1382" s="4">
        <f>CHOOSE(H1382+1,"Kein Risiko","Gering","Mittel","Hoch")</f>
        <v/>
      </c>
    </row>
    <row r="1383">
      <c r="A1383" s="4" t="n">
        <v>1379</v>
      </c>
      <c r="B1383" s="4" t="inlineStr">
        <is>
          <t>semidetached_house</t>
        </is>
      </c>
      <c r="C1383" s="4" t="inlineStr">
        <is>
          <t>Schliepersberg</t>
        </is>
      </c>
      <c r="D1383" s="4" t="inlineStr">
        <is>
          <t>13a</t>
        </is>
      </c>
      <c r="E1383" s="13" t="n">
        <v>59.9</v>
      </c>
      <c r="F1383" s="12" t="n">
        <v>0</v>
      </c>
      <c r="G1383" s="4" t="n">
        <v>0</v>
      </c>
      <c r="H1383" s="4">
        <f>IF(OR(N(F1383)&gt;=0.5,G1383&gt;=4),3,IF(OR(N(F1383)&gt;=0.3,G1383=3),2,IF(OR(N(F1383)&gt;=0.1,G1383&gt;=1),1,0)))</f>
        <v/>
      </c>
      <c r="I1383" s="4">
        <f>CHOOSE(H1383+1,"Kein Risiko","Gering","Mittel","Hoch")</f>
        <v/>
      </c>
    </row>
    <row r="1384">
      <c r="A1384" s="4" t="n">
        <v>1380</v>
      </c>
      <c r="B1384" s="4" t="inlineStr">
        <is>
          <t>yes</t>
        </is>
      </c>
      <c r="C1384" s="4" t="inlineStr"/>
      <c r="D1384" s="4" t="inlineStr"/>
      <c r="E1384" s="13" t="n">
        <v>14.4</v>
      </c>
      <c r="F1384" s="12" t="n">
        <v>0</v>
      </c>
      <c r="G1384" s="4" t="n">
        <v>0</v>
      </c>
      <c r="H1384" s="4">
        <f>IF(OR(N(F1384)&gt;=0.5,G1384&gt;=4),3,IF(OR(N(F1384)&gt;=0.3,G1384=3),2,IF(OR(N(F1384)&gt;=0.1,G1384&gt;=1),1,0)))</f>
        <v/>
      </c>
      <c r="I1384" s="4">
        <f>CHOOSE(H1384+1,"Kein Risiko","Gering","Mittel","Hoch")</f>
        <v/>
      </c>
    </row>
    <row r="1385">
      <c r="A1385" s="4" t="n">
        <v>1381</v>
      </c>
      <c r="B1385" s="4" t="inlineStr">
        <is>
          <t>garage</t>
        </is>
      </c>
      <c r="C1385" s="4" t="inlineStr"/>
      <c r="D1385" s="4" t="inlineStr"/>
      <c r="E1385" s="13" t="n">
        <v>28.7</v>
      </c>
      <c r="F1385" s="12" t="n">
        <v>0</v>
      </c>
      <c r="G1385" s="4" t="n">
        <v>0</v>
      </c>
      <c r="H1385" s="4">
        <f>IF(OR(N(F1385)&gt;=0.5,G1385&gt;=4),3,IF(OR(N(F1385)&gt;=0.3,G1385=3),2,IF(OR(N(F1385)&gt;=0.1,G1385&gt;=1),1,0)))</f>
        <v/>
      </c>
      <c r="I1385" s="4">
        <f>CHOOSE(H1385+1,"Kein Risiko","Gering","Mittel","Hoch")</f>
        <v/>
      </c>
    </row>
    <row r="1386">
      <c r="A1386" s="4" t="n">
        <v>1382</v>
      </c>
      <c r="B1386" s="4" t="inlineStr">
        <is>
          <t>yes</t>
        </is>
      </c>
      <c r="C1386" s="4" t="inlineStr"/>
      <c r="D1386" s="4" t="inlineStr"/>
      <c r="E1386" s="13" t="n">
        <v>25.7</v>
      </c>
      <c r="F1386" s="12" t="n">
        <v>0.0200042724609375</v>
      </c>
      <c r="G1386" s="4" t="n">
        <v>0</v>
      </c>
      <c r="H1386" s="4">
        <f>IF(OR(N(F1386)&gt;=0.5,G1386&gt;=4),3,IF(OR(N(F1386)&gt;=0.3,G1386=3),2,IF(OR(N(F1386)&gt;=0.1,G1386&gt;=1),1,0)))</f>
        <v/>
      </c>
      <c r="I1386" s="4">
        <f>CHOOSE(H1386+1,"Kein Risiko","Gering","Mittel","Hoch")</f>
        <v/>
      </c>
    </row>
    <row r="1387">
      <c r="A1387" s="4" t="n">
        <v>1383</v>
      </c>
      <c r="B1387" s="4" t="inlineStr">
        <is>
          <t>garage</t>
        </is>
      </c>
      <c r="C1387" s="4" t="inlineStr"/>
      <c r="D1387" s="4" t="inlineStr"/>
      <c r="E1387" s="13" t="n">
        <v>17.4</v>
      </c>
      <c r="F1387" s="12" t="n">
        <v>0.0999908447265625</v>
      </c>
      <c r="G1387" s="4" t="n">
        <v>0</v>
      </c>
      <c r="H1387" s="4">
        <f>IF(OR(N(F1387)&gt;=0.5,G1387&gt;=4),3,IF(OR(N(F1387)&gt;=0.3,G1387=3),2,IF(OR(N(F1387)&gt;=0.1,G1387&gt;=1),1,0)))</f>
        <v/>
      </c>
      <c r="I1387" s="4">
        <f>CHOOSE(H1387+1,"Kein Risiko","Gering","Mittel","Hoch")</f>
        <v/>
      </c>
    </row>
    <row r="1388">
      <c r="A1388" s="4" t="n">
        <v>1384</v>
      </c>
      <c r="B1388" s="4" t="inlineStr">
        <is>
          <t>garage</t>
        </is>
      </c>
      <c r="C1388" s="4" t="inlineStr"/>
      <c r="D1388" s="4" t="inlineStr"/>
      <c r="E1388" s="13" t="n">
        <v>15</v>
      </c>
      <c r="F1388" s="12" t="n">
        <v>0</v>
      </c>
      <c r="G1388" s="4" t="n">
        <v>0</v>
      </c>
      <c r="H1388" s="4">
        <f>IF(OR(N(F1388)&gt;=0.5,G1388&gt;=4),3,IF(OR(N(F1388)&gt;=0.3,G1388=3),2,IF(OR(N(F1388)&gt;=0.1,G1388&gt;=1),1,0)))</f>
        <v/>
      </c>
      <c r="I1388" s="4">
        <f>CHOOSE(H1388+1,"Kein Risiko","Gering","Mittel","Hoch")</f>
        <v/>
      </c>
    </row>
    <row r="1389">
      <c r="A1389" s="4" t="n">
        <v>1385</v>
      </c>
      <c r="B1389" s="4" t="inlineStr">
        <is>
          <t>garage</t>
        </is>
      </c>
      <c r="C1389" s="4" t="inlineStr"/>
      <c r="D1389" s="4" t="inlineStr"/>
      <c r="E1389" s="13" t="n">
        <v>15.7</v>
      </c>
      <c r="F1389" s="12" t="n">
        <v>0.019989013671875</v>
      </c>
      <c r="G1389" s="4" t="n">
        <v>0</v>
      </c>
      <c r="H1389" s="4">
        <f>IF(OR(N(F1389)&gt;=0.5,G1389&gt;=4),3,IF(OR(N(F1389)&gt;=0.3,G1389=3),2,IF(OR(N(F1389)&gt;=0.1,G1389&gt;=1),1,0)))</f>
        <v/>
      </c>
      <c r="I1389" s="4">
        <f>CHOOSE(H1389+1,"Kein Risiko","Gering","Mittel","Hoch")</f>
        <v/>
      </c>
    </row>
    <row r="1390">
      <c r="A1390" s="4" t="n">
        <v>1386</v>
      </c>
      <c r="B1390" s="4" t="inlineStr">
        <is>
          <t>garage</t>
        </is>
      </c>
      <c r="C1390" s="4" t="inlineStr"/>
      <c r="D1390" s="4" t="inlineStr"/>
      <c r="E1390" s="13" t="n">
        <v>17.3</v>
      </c>
      <c r="F1390" s="12" t="n">
        <v>0</v>
      </c>
      <c r="G1390" s="4" t="n">
        <v>0</v>
      </c>
      <c r="H1390" s="4">
        <f>IF(OR(N(F1390)&gt;=0.5,G1390&gt;=4),3,IF(OR(N(F1390)&gt;=0.3,G1390=3),2,IF(OR(N(F1390)&gt;=0.1,G1390&gt;=1),1,0)))</f>
        <v/>
      </c>
      <c r="I1390" s="4">
        <f>CHOOSE(H1390+1,"Kein Risiko","Gering","Mittel","Hoch")</f>
        <v/>
      </c>
    </row>
    <row r="1391">
      <c r="A1391" s="4" t="n">
        <v>1387</v>
      </c>
      <c r="B1391" s="4" t="inlineStr">
        <is>
          <t>yes</t>
        </is>
      </c>
      <c r="C1391" s="4" t="inlineStr"/>
      <c r="D1391" s="4" t="inlineStr"/>
      <c r="E1391" s="13" t="n">
        <v>33</v>
      </c>
      <c r="F1391" s="12" t="n">
        <v>0.029998779296875</v>
      </c>
      <c r="G1391" s="4" t="n">
        <v>0</v>
      </c>
      <c r="H1391" s="4">
        <f>IF(OR(N(F1391)&gt;=0.5,G1391&gt;=4),3,IF(OR(N(F1391)&gt;=0.3,G1391=3),2,IF(OR(N(F1391)&gt;=0.1,G1391&gt;=1),1,0)))</f>
        <v/>
      </c>
      <c r="I1391" s="4">
        <f>CHOOSE(H1391+1,"Kein Risiko","Gering","Mittel","Hoch")</f>
        <v/>
      </c>
    </row>
    <row r="1392">
      <c r="A1392" s="4" t="n">
        <v>1388</v>
      </c>
      <c r="B1392" s="4" t="inlineStr">
        <is>
          <t>garage</t>
        </is>
      </c>
      <c r="C1392" s="4" t="inlineStr"/>
      <c r="D1392" s="4" t="inlineStr"/>
      <c r="E1392" s="13" t="n">
        <v>15.7</v>
      </c>
      <c r="F1392" s="12" t="n">
        <v>0</v>
      </c>
      <c r="G1392" s="4" t="n">
        <v>0</v>
      </c>
      <c r="H1392" s="4">
        <f>IF(OR(N(F1392)&gt;=0.5,G1392&gt;=4),3,IF(OR(N(F1392)&gt;=0.3,G1392=3),2,IF(OR(N(F1392)&gt;=0.1,G1392&gt;=1),1,0)))</f>
        <v/>
      </c>
      <c r="I1392" s="4">
        <f>CHOOSE(H1392+1,"Kein Risiko","Gering","Mittel","Hoch")</f>
        <v/>
      </c>
    </row>
    <row r="1393">
      <c r="A1393" s="4" t="n">
        <v>1389</v>
      </c>
      <c r="B1393" s="4" t="inlineStr">
        <is>
          <t>yes</t>
        </is>
      </c>
      <c r="C1393" s="4" t="inlineStr"/>
      <c r="D1393" s="4" t="inlineStr"/>
      <c r="E1393" s="13" t="n">
        <v>28.3</v>
      </c>
      <c r="F1393" s="12" t="n">
        <v>0</v>
      </c>
      <c r="G1393" s="4" t="n">
        <v>0</v>
      </c>
      <c r="H1393" s="4">
        <f>IF(OR(N(F1393)&gt;=0.5,G1393&gt;=4),3,IF(OR(N(F1393)&gt;=0.3,G1393=3),2,IF(OR(N(F1393)&gt;=0.1,G1393&gt;=1),1,0)))</f>
        <v/>
      </c>
      <c r="I1393" s="4">
        <f>CHOOSE(H1393+1,"Kein Risiko","Gering","Mittel","Hoch")</f>
        <v/>
      </c>
    </row>
    <row r="1394">
      <c r="A1394" s="4" t="n">
        <v>1390</v>
      </c>
      <c r="B1394" s="4" t="inlineStr">
        <is>
          <t>garage</t>
        </is>
      </c>
      <c r="C1394" s="4" t="inlineStr"/>
      <c r="D1394" s="4" t="inlineStr"/>
      <c r="E1394" s="13" t="n">
        <v>17.8</v>
      </c>
      <c r="F1394" s="12" t="n">
        <v>0</v>
      </c>
      <c r="G1394" s="4" t="n">
        <v>0</v>
      </c>
      <c r="H1394" s="4">
        <f>IF(OR(N(F1394)&gt;=0.5,G1394&gt;=4),3,IF(OR(N(F1394)&gt;=0.3,G1394=3),2,IF(OR(N(F1394)&gt;=0.1,G1394&gt;=1),1,0)))</f>
        <v/>
      </c>
      <c r="I1394" s="4">
        <f>CHOOSE(H1394+1,"Kein Risiko","Gering","Mittel","Hoch")</f>
        <v/>
      </c>
    </row>
    <row r="1395">
      <c r="A1395" s="4" t="n">
        <v>1391</v>
      </c>
      <c r="B1395" s="4" t="inlineStr">
        <is>
          <t>yes</t>
        </is>
      </c>
      <c r="C1395" s="4" t="inlineStr"/>
      <c r="D1395" s="4" t="inlineStr"/>
      <c r="E1395" s="13" t="n">
        <v>18.1</v>
      </c>
      <c r="F1395" s="12" t="n">
        <v>0</v>
      </c>
      <c r="G1395" s="4" t="n">
        <v>0</v>
      </c>
      <c r="H1395" s="4">
        <f>IF(OR(N(F1395)&gt;=0.5,G1395&gt;=4),3,IF(OR(N(F1395)&gt;=0.3,G1395=3),2,IF(OR(N(F1395)&gt;=0.1,G1395&gt;=1),1,0)))</f>
        <v/>
      </c>
      <c r="I1395" s="4">
        <f>CHOOSE(H1395+1,"Kein Risiko","Gering","Mittel","Hoch")</f>
        <v/>
      </c>
    </row>
    <row r="1396">
      <c r="A1396" s="4" t="n">
        <v>1392</v>
      </c>
      <c r="B1396" s="4" t="inlineStr">
        <is>
          <t>semidetached_house</t>
        </is>
      </c>
      <c r="C1396" s="4" t="inlineStr">
        <is>
          <t>Schliepersberg</t>
        </is>
      </c>
      <c r="D1396" s="4" t="inlineStr">
        <is>
          <t>25a</t>
        </is>
      </c>
      <c r="E1396" s="13" t="n">
        <v>64.5</v>
      </c>
      <c r="F1396" s="12" t="n">
        <v>0</v>
      </c>
      <c r="G1396" s="4" t="n">
        <v>0</v>
      </c>
      <c r="H1396" s="4">
        <f>IF(OR(N(F1396)&gt;=0.5,G1396&gt;=4),3,IF(OR(N(F1396)&gt;=0.3,G1396=3),2,IF(OR(N(F1396)&gt;=0.1,G1396&gt;=1),1,0)))</f>
        <v/>
      </c>
      <c r="I1396" s="4">
        <f>CHOOSE(H1396+1,"Kein Risiko","Gering","Mittel","Hoch")</f>
        <v/>
      </c>
    </row>
    <row r="1397">
      <c r="A1397" s="4" t="n">
        <v>1393</v>
      </c>
      <c r="B1397" s="4" t="inlineStr">
        <is>
          <t>garage</t>
        </is>
      </c>
      <c r="C1397" s="4" t="inlineStr"/>
      <c r="D1397" s="4" t="inlineStr"/>
      <c r="E1397" s="13" t="n">
        <v>31</v>
      </c>
      <c r="F1397" s="12" t="n">
        <v>0</v>
      </c>
      <c r="G1397" s="4" t="n">
        <v>0</v>
      </c>
      <c r="H1397" s="4">
        <f>IF(OR(N(F1397)&gt;=0.5,G1397&gt;=4),3,IF(OR(N(F1397)&gt;=0.3,G1397=3),2,IF(OR(N(F1397)&gt;=0.1,G1397&gt;=1),1,0)))</f>
        <v/>
      </c>
      <c r="I1397" s="4">
        <f>CHOOSE(H1397+1,"Kein Risiko","Gering","Mittel","Hoch")</f>
        <v/>
      </c>
    </row>
    <row r="1398">
      <c r="A1398" s="4" t="n">
        <v>1394</v>
      </c>
      <c r="B1398" s="4" t="inlineStr">
        <is>
          <t>yes</t>
        </is>
      </c>
      <c r="C1398" s="4" t="inlineStr"/>
      <c r="D1398" s="4" t="inlineStr"/>
      <c r="E1398" s="13" t="n">
        <v>32.4</v>
      </c>
      <c r="F1398" s="12" t="n">
        <v>0.05999755859375</v>
      </c>
      <c r="G1398" s="4" t="n">
        <v>0</v>
      </c>
      <c r="H1398" s="4">
        <f>IF(OR(N(F1398)&gt;=0.5,G1398&gt;=4),3,IF(OR(N(F1398)&gt;=0.3,G1398=3),2,IF(OR(N(F1398)&gt;=0.1,G1398&gt;=1),1,0)))</f>
        <v/>
      </c>
      <c r="I1398" s="4">
        <f>CHOOSE(H1398+1,"Kein Risiko","Gering","Mittel","Hoch")</f>
        <v/>
      </c>
    </row>
    <row r="1399">
      <c r="A1399" s="4" t="n">
        <v>1395</v>
      </c>
      <c r="B1399" s="4" t="inlineStr">
        <is>
          <t>semidetached_house</t>
        </is>
      </c>
      <c r="C1399" s="4" t="inlineStr">
        <is>
          <t>Schliepersberg</t>
        </is>
      </c>
      <c r="D1399" s="4" t="inlineStr">
        <is>
          <t>27a</t>
        </is>
      </c>
      <c r="E1399" s="13" t="n">
        <v>63.6</v>
      </c>
      <c r="F1399" s="12" t="n">
        <v>0.0999908447265625</v>
      </c>
      <c r="G1399" s="4" t="n">
        <v>0</v>
      </c>
      <c r="H1399" s="4">
        <f>IF(OR(N(F1399)&gt;=0.5,G1399&gt;=4),3,IF(OR(N(F1399)&gt;=0.3,G1399=3),2,IF(OR(N(F1399)&gt;=0.1,G1399&gt;=1),1,0)))</f>
        <v/>
      </c>
      <c r="I1399" s="4">
        <f>CHOOSE(H1399+1,"Kein Risiko","Gering","Mittel","Hoch")</f>
        <v/>
      </c>
    </row>
    <row r="1400">
      <c r="A1400" s="4" t="n">
        <v>1396</v>
      </c>
      <c r="B1400" s="4" t="inlineStr">
        <is>
          <t>semidetached_house</t>
        </is>
      </c>
      <c r="C1400" s="4" t="inlineStr">
        <is>
          <t>Schliepersberg</t>
        </is>
      </c>
      <c r="D1400" s="4" t="inlineStr">
        <is>
          <t>19a</t>
        </is>
      </c>
      <c r="E1400" s="13" t="n">
        <v>90.5</v>
      </c>
      <c r="F1400" s="12" t="n">
        <v>0.0200042724609375</v>
      </c>
      <c r="G1400" s="4" t="n">
        <v>0</v>
      </c>
      <c r="H1400" s="4">
        <f>IF(OR(N(F1400)&gt;=0.5,G1400&gt;=4),3,IF(OR(N(F1400)&gt;=0.3,G1400=3),2,IF(OR(N(F1400)&gt;=0.1,G1400&gt;=1),1,0)))</f>
        <v/>
      </c>
      <c r="I1400" s="4">
        <f>CHOOSE(H1400+1,"Kein Risiko","Gering","Mittel","Hoch")</f>
        <v/>
      </c>
    </row>
    <row r="1401">
      <c r="A1401" s="4" t="n">
        <v>1397</v>
      </c>
      <c r="B1401" s="4" t="inlineStr">
        <is>
          <t>yes</t>
        </is>
      </c>
      <c r="C1401" s="4" t="inlineStr"/>
      <c r="D1401" s="4" t="inlineStr"/>
      <c r="E1401" s="13" t="n">
        <v>28.8</v>
      </c>
      <c r="F1401" s="12" t="n">
        <v>0.019989013671875</v>
      </c>
      <c r="G1401" s="4" t="n">
        <v>0</v>
      </c>
      <c r="H1401" s="4">
        <f>IF(OR(N(F1401)&gt;=0.5,G1401&gt;=4),3,IF(OR(N(F1401)&gt;=0.3,G1401=3),2,IF(OR(N(F1401)&gt;=0.1,G1401&gt;=1),1,0)))</f>
        <v/>
      </c>
      <c r="I1401" s="4">
        <f>CHOOSE(H1401+1,"Kein Risiko","Gering","Mittel","Hoch")</f>
        <v/>
      </c>
    </row>
    <row r="1402">
      <c r="A1402" s="4" t="n">
        <v>1398</v>
      </c>
      <c r="B1402" s="4" t="inlineStr">
        <is>
          <t>semidetached_house</t>
        </is>
      </c>
      <c r="C1402" s="4" t="inlineStr">
        <is>
          <t>Schliepersberg</t>
        </is>
      </c>
      <c r="D1402" s="4" t="inlineStr">
        <is>
          <t>5</t>
        </is>
      </c>
      <c r="E1402" s="13" t="n">
        <v>83</v>
      </c>
      <c r="F1402" s="12" t="n">
        <v>0</v>
      </c>
      <c r="G1402" s="4" t="n">
        <v>0</v>
      </c>
      <c r="H1402" s="4">
        <f>IF(OR(N(F1402)&gt;=0.5,G1402&gt;=4),3,IF(OR(N(F1402)&gt;=0.3,G1402=3),2,IF(OR(N(F1402)&gt;=0.1,G1402&gt;=1),1,0)))</f>
        <v/>
      </c>
      <c r="I1402" s="4">
        <f>CHOOSE(H1402+1,"Kein Risiko","Gering","Mittel","Hoch")</f>
        <v/>
      </c>
    </row>
    <row r="1403">
      <c r="A1403" s="4" t="n">
        <v>1399</v>
      </c>
      <c r="B1403" s="4" t="inlineStr">
        <is>
          <t>semidetached_house</t>
        </is>
      </c>
      <c r="C1403" s="4" t="inlineStr">
        <is>
          <t>Schliepersberg</t>
        </is>
      </c>
      <c r="D1403" s="4" t="inlineStr">
        <is>
          <t>15a</t>
        </is>
      </c>
      <c r="E1403" s="13" t="n">
        <v>65.8</v>
      </c>
      <c r="F1403" s="12" t="n">
        <v>0</v>
      </c>
      <c r="G1403" s="4" t="n">
        <v>0</v>
      </c>
      <c r="H1403" s="4">
        <f>IF(OR(N(F1403)&gt;=0.5,G1403&gt;=4),3,IF(OR(N(F1403)&gt;=0.3,G1403=3),2,IF(OR(N(F1403)&gt;=0.1,G1403&gt;=1),1,0)))</f>
        <v/>
      </c>
      <c r="I1403" s="4">
        <f>CHOOSE(H1403+1,"Kein Risiko","Gering","Mittel","Hoch")</f>
        <v/>
      </c>
    </row>
    <row r="1404">
      <c r="A1404" s="4" t="n">
        <v>1400</v>
      </c>
      <c r="B1404" s="4" t="inlineStr">
        <is>
          <t>semidetached_house</t>
        </is>
      </c>
      <c r="C1404" s="4" t="inlineStr">
        <is>
          <t>Schliepersberg</t>
        </is>
      </c>
      <c r="D1404" s="4" t="inlineStr">
        <is>
          <t>23a</t>
        </is>
      </c>
      <c r="E1404" s="13" t="n">
        <v>71.40000000000001</v>
      </c>
      <c r="F1404" s="12" t="n">
        <v>0.0200042724609375</v>
      </c>
      <c r="G1404" s="4" t="n">
        <v>0</v>
      </c>
      <c r="H1404" s="4">
        <f>IF(OR(N(F1404)&gt;=0.5,G1404&gt;=4),3,IF(OR(N(F1404)&gt;=0.3,G1404=3),2,IF(OR(N(F1404)&gt;=0.1,G1404&gt;=1),1,0)))</f>
        <v/>
      </c>
      <c r="I1404" s="4">
        <f>CHOOSE(H1404+1,"Kein Risiko","Gering","Mittel","Hoch")</f>
        <v/>
      </c>
    </row>
    <row r="1405">
      <c r="A1405" s="4" t="n">
        <v>1401</v>
      </c>
      <c r="B1405" s="4" t="inlineStr">
        <is>
          <t>yes</t>
        </is>
      </c>
      <c r="C1405" s="4" t="inlineStr"/>
      <c r="D1405" s="4" t="inlineStr"/>
      <c r="E1405" s="13" t="n">
        <v>33.2</v>
      </c>
      <c r="F1405" s="12" t="n">
        <v>0.0699920654296875</v>
      </c>
      <c r="G1405" s="4" t="n">
        <v>0</v>
      </c>
      <c r="H1405" s="4">
        <f>IF(OR(N(F1405)&gt;=0.5,G1405&gt;=4),3,IF(OR(N(F1405)&gt;=0.3,G1405=3),2,IF(OR(N(F1405)&gt;=0.1,G1405&gt;=1),1,0)))</f>
        <v/>
      </c>
      <c r="I1405" s="4">
        <f>CHOOSE(H1405+1,"Kein Risiko","Gering","Mittel","Hoch")</f>
        <v/>
      </c>
    </row>
    <row r="1406">
      <c r="A1406" s="4" t="n">
        <v>1402</v>
      </c>
      <c r="B1406" s="4" t="inlineStr">
        <is>
          <t>semidetached_house</t>
        </is>
      </c>
      <c r="C1406" s="4" t="inlineStr">
        <is>
          <t>Schliepersberg</t>
        </is>
      </c>
      <c r="D1406" s="4" t="inlineStr">
        <is>
          <t>11b</t>
        </is>
      </c>
      <c r="E1406" s="13" t="n">
        <v>86.90000000000001</v>
      </c>
      <c r="F1406" s="12" t="n">
        <v>0</v>
      </c>
      <c r="G1406" s="4" t="n">
        <v>0</v>
      </c>
      <c r="H1406" s="4">
        <f>IF(OR(N(F1406)&gt;=0.5,G1406&gt;=4),3,IF(OR(N(F1406)&gt;=0.3,G1406=3),2,IF(OR(N(F1406)&gt;=0.1,G1406&gt;=1),1,0)))</f>
        <v/>
      </c>
      <c r="I1406" s="4">
        <f>CHOOSE(H1406+1,"Kein Risiko","Gering","Mittel","Hoch")</f>
        <v/>
      </c>
    </row>
    <row r="1407">
      <c r="A1407" s="4" t="n">
        <v>1403</v>
      </c>
      <c r="B1407" s="4" t="inlineStr">
        <is>
          <t>semidetached_house</t>
        </is>
      </c>
      <c r="C1407" s="4" t="inlineStr">
        <is>
          <t>Schliepersberg</t>
        </is>
      </c>
      <c r="D1407" s="4" t="inlineStr">
        <is>
          <t>4</t>
        </is>
      </c>
      <c r="E1407" s="13" t="n">
        <v>155.1</v>
      </c>
      <c r="F1407" s="12" t="n">
        <v>0</v>
      </c>
      <c r="G1407" s="4" t="n">
        <v>0</v>
      </c>
      <c r="H1407" s="4">
        <f>IF(OR(N(F1407)&gt;=0.5,G1407&gt;=4),3,IF(OR(N(F1407)&gt;=0.3,G1407=3),2,IF(OR(N(F1407)&gt;=0.1,G1407&gt;=1),1,0)))</f>
        <v/>
      </c>
      <c r="I1407" s="4">
        <f>CHOOSE(H1407+1,"Kein Risiko","Gering","Mittel","Hoch")</f>
        <v/>
      </c>
    </row>
    <row r="1408">
      <c r="A1408" s="4" t="n">
        <v>1404</v>
      </c>
      <c r="B1408" s="4" t="inlineStr">
        <is>
          <t>hut</t>
        </is>
      </c>
      <c r="C1408" s="4" t="inlineStr"/>
      <c r="D1408" s="4" t="inlineStr"/>
      <c r="E1408" s="13" t="n">
        <v>13.1</v>
      </c>
      <c r="F1408" s="12" t="n">
        <v>0</v>
      </c>
      <c r="G1408" s="4" t="n">
        <v>0</v>
      </c>
      <c r="H1408" s="4">
        <f>IF(OR(N(F1408)&gt;=0.5,G1408&gt;=4),3,IF(OR(N(F1408)&gt;=0.3,G1408=3),2,IF(OR(N(F1408)&gt;=0.1,G1408&gt;=1),1,0)))</f>
        <v/>
      </c>
      <c r="I1408" s="4">
        <f>CHOOSE(H1408+1,"Kein Risiko","Gering","Mittel","Hoch")</f>
        <v/>
      </c>
    </row>
    <row r="1409">
      <c r="A1409" s="4" t="n">
        <v>1405</v>
      </c>
      <c r="B1409" s="4" t="inlineStr">
        <is>
          <t>shed</t>
        </is>
      </c>
      <c r="C1409" s="4" t="inlineStr"/>
      <c r="D1409" s="4" t="inlineStr"/>
      <c r="E1409" s="13" t="n">
        <v>19.9</v>
      </c>
      <c r="F1409" s="12" t="n">
        <v>0</v>
      </c>
      <c r="G1409" s="4" t="n">
        <v>0</v>
      </c>
      <c r="H1409" s="4">
        <f>IF(OR(N(F1409)&gt;=0.5,G1409&gt;=4),3,IF(OR(N(F1409)&gt;=0.3,G1409=3),2,IF(OR(N(F1409)&gt;=0.1,G1409&gt;=1),1,0)))</f>
        <v/>
      </c>
      <c r="I1409" s="4">
        <f>CHOOSE(H1409+1,"Kein Risiko","Gering","Mittel","Hoch")</f>
        <v/>
      </c>
    </row>
    <row r="1410">
      <c r="A1410" s="4" t="n">
        <v>1406</v>
      </c>
      <c r="B1410" s="4" t="inlineStr">
        <is>
          <t>shed</t>
        </is>
      </c>
      <c r="C1410" s="4" t="inlineStr"/>
      <c r="D1410" s="4" t="inlineStr"/>
      <c r="E1410" s="13" t="n">
        <v>43.2</v>
      </c>
      <c r="F1410" s="12" t="n">
        <v>0</v>
      </c>
      <c r="G1410" s="4" t="n">
        <v>0</v>
      </c>
      <c r="H1410" s="4">
        <f>IF(OR(N(F1410)&gt;=0.5,G1410&gt;=4),3,IF(OR(N(F1410)&gt;=0.3,G1410=3),2,IF(OR(N(F1410)&gt;=0.1,G1410&gt;=1),1,0)))</f>
        <v/>
      </c>
      <c r="I1410" s="4">
        <f>CHOOSE(H1410+1,"Kein Risiko","Gering","Mittel","Hoch")</f>
        <v/>
      </c>
    </row>
    <row r="1411">
      <c r="A1411" s="4" t="n">
        <v>1407</v>
      </c>
      <c r="B1411" s="4" t="inlineStr">
        <is>
          <t>shed</t>
        </is>
      </c>
      <c r="C1411" s="4" t="inlineStr"/>
      <c r="D1411" s="4" t="inlineStr"/>
      <c r="E1411" s="13" t="n">
        <v>36.1</v>
      </c>
      <c r="F1411" s="12" t="n">
        <v>0</v>
      </c>
      <c r="G1411" s="4" t="n">
        <v>0</v>
      </c>
      <c r="H1411" s="4">
        <f>IF(OR(N(F1411)&gt;=0.5,G1411&gt;=4),3,IF(OR(N(F1411)&gt;=0.3,G1411=3),2,IF(OR(N(F1411)&gt;=0.1,G1411&gt;=1),1,0)))</f>
        <v/>
      </c>
      <c r="I1411" s="4">
        <f>CHOOSE(H1411+1,"Kein Risiko","Gering","Mittel","Hoch")</f>
        <v/>
      </c>
    </row>
    <row r="1412">
      <c r="A1412" s="4" t="n">
        <v>1408</v>
      </c>
      <c r="B1412" s="4" t="inlineStr">
        <is>
          <t>yes</t>
        </is>
      </c>
      <c r="C1412" s="4" t="inlineStr"/>
      <c r="D1412" s="4" t="inlineStr"/>
      <c r="E1412" s="13" t="n">
        <v>54.3</v>
      </c>
      <c r="F1412" s="12" t="n">
        <v>0</v>
      </c>
      <c r="G1412" s="4" t="n">
        <v>0</v>
      </c>
      <c r="H1412" s="4">
        <f>IF(OR(N(F1412)&gt;=0.5,G1412&gt;=4),3,IF(OR(N(F1412)&gt;=0.3,G1412=3),2,IF(OR(N(F1412)&gt;=0.1,G1412&gt;=1),1,0)))</f>
        <v/>
      </c>
      <c r="I1412" s="4">
        <f>CHOOSE(H1412+1,"Kein Risiko","Gering","Mittel","Hoch")</f>
        <v/>
      </c>
    </row>
    <row r="1413">
      <c r="A1413" s="4" t="n">
        <v>1409</v>
      </c>
      <c r="B1413" s="4" t="inlineStr">
        <is>
          <t>yes</t>
        </is>
      </c>
      <c r="C1413" s="4" t="inlineStr"/>
      <c r="D1413" s="4" t="inlineStr"/>
      <c r="E1413" s="13" t="n">
        <v>52.5</v>
      </c>
      <c r="F1413" s="12" t="n">
        <v>0.01000213623046875</v>
      </c>
      <c r="G1413" s="4" t="n">
        <v>1</v>
      </c>
      <c r="H1413" s="4">
        <f>IF(OR(N(F1413)&gt;=0.5,G1413&gt;=4),3,IF(OR(N(F1413)&gt;=0.3,G1413=3),2,IF(OR(N(F1413)&gt;=0.1,G1413&gt;=1),1,0)))</f>
        <v/>
      </c>
      <c r="I1413" s="4">
        <f>CHOOSE(H1413+1,"Kein Risiko","Gering","Mittel","Hoch")</f>
        <v/>
      </c>
    </row>
    <row r="1414">
      <c r="A1414" s="4" t="n">
        <v>1410</v>
      </c>
      <c r="B1414" s="4" t="inlineStr">
        <is>
          <t>yes</t>
        </is>
      </c>
      <c r="C1414" s="4" t="inlineStr"/>
      <c r="D1414" s="4" t="inlineStr"/>
      <c r="E1414" s="13" t="n">
        <v>46.6</v>
      </c>
      <c r="F1414" s="12" t="n">
        <v>0</v>
      </c>
      <c r="G1414" s="4" t="n">
        <v>2</v>
      </c>
      <c r="H1414" s="4">
        <f>IF(OR(N(F1414)&gt;=0.5,G1414&gt;=4),3,IF(OR(N(F1414)&gt;=0.3,G1414=3),2,IF(OR(N(F1414)&gt;=0.1,G1414&gt;=1),1,0)))</f>
        <v/>
      </c>
      <c r="I1414" s="4">
        <f>CHOOSE(H1414+1,"Kein Risiko","Gering","Mittel","Hoch")</f>
        <v/>
      </c>
    </row>
    <row r="1415">
      <c r="A1415" s="4" t="n">
        <v>1411</v>
      </c>
      <c r="B1415" s="4" t="inlineStr">
        <is>
          <t>apartments</t>
        </is>
      </c>
      <c r="C1415" s="4" t="inlineStr">
        <is>
          <t>Hinsbecker Löh</t>
        </is>
      </c>
      <c r="D1415" s="4" t="inlineStr">
        <is>
          <t>1</t>
        </is>
      </c>
      <c r="E1415" s="13" t="n">
        <v>222.4</v>
      </c>
      <c r="F1415" s="12" t="n">
        <v>0</v>
      </c>
      <c r="G1415" s="4" t="n">
        <v>3</v>
      </c>
      <c r="H1415" s="4">
        <f>IF(OR(N(F1415)&gt;=0.5,G1415&gt;=4),3,IF(OR(N(F1415)&gt;=0.3,G1415=3),2,IF(OR(N(F1415)&gt;=0.1,G1415&gt;=1),1,0)))</f>
        <v/>
      </c>
      <c r="I1415" s="4">
        <f>CHOOSE(H1415+1,"Kein Risiko","Gering","Mittel","Hoch")</f>
        <v/>
      </c>
    </row>
    <row r="1416">
      <c r="A1416" s="4" t="n">
        <v>1412</v>
      </c>
      <c r="B1416" s="4" t="inlineStr">
        <is>
          <t>apartments</t>
        </is>
      </c>
      <c r="C1416" s="4" t="inlineStr">
        <is>
          <t>Hinsbecker Löh</t>
        </is>
      </c>
      <c r="D1416" s="4" t="inlineStr">
        <is>
          <t>3</t>
        </is>
      </c>
      <c r="E1416" s="13" t="n">
        <v>131.9</v>
      </c>
      <c r="F1416" s="12" t="n">
        <v>0.5900001525878906</v>
      </c>
      <c r="G1416" s="4" t="n">
        <v>3</v>
      </c>
      <c r="H1416" s="4">
        <f>IF(OR(N(F1416)&gt;=0.5,G1416&gt;=4),3,IF(OR(N(F1416)&gt;=0.3,G1416=3),2,IF(OR(N(F1416)&gt;=0.1,G1416&gt;=1),1,0)))</f>
        <v/>
      </c>
      <c r="I1416" s="4">
        <f>CHOOSE(H1416+1,"Kein Risiko","Gering","Mittel","Hoch")</f>
        <v/>
      </c>
    </row>
    <row r="1417">
      <c r="A1417" s="4" t="n">
        <v>1413</v>
      </c>
      <c r="B1417" s="4" t="inlineStr">
        <is>
          <t>yes</t>
        </is>
      </c>
      <c r="C1417" s="4" t="inlineStr">
        <is>
          <t>Kupferdreher Straße</t>
        </is>
      </c>
      <c r="D1417" s="4" t="inlineStr">
        <is>
          <t>32</t>
        </is>
      </c>
      <c r="E1417" s="13" t="n">
        <v>117.9</v>
      </c>
      <c r="F1417" s="12" t="n">
        <v>3.619998931884766</v>
      </c>
      <c r="G1417" s="4" t="n">
        <v>0</v>
      </c>
      <c r="H1417" s="4">
        <f>IF(OR(N(F1417)&gt;=0.5,G1417&gt;=4),3,IF(OR(N(F1417)&gt;=0.3,G1417=3),2,IF(OR(N(F1417)&gt;=0.1,G1417&gt;=1),1,0)))</f>
        <v/>
      </c>
      <c r="I1417" s="4">
        <f>CHOOSE(H1417+1,"Kein Risiko","Gering","Mittel","Hoch")</f>
        <v/>
      </c>
    </row>
    <row r="1418">
      <c r="A1418" s="4" t="n">
        <v>1414</v>
      </c>
      <c r="B1418" s="4" t="inlineStr">
        <is>
          <t>yes</t>
        </is>
      </c>
      <c r="C1418" s="4" t="inlineStr">
        <is>
          <t>Kupferdreher Straße</t>
        </is>
      </c>
      <c r="D1418" s="4" t="inlineStr">
        <is>
          <t>34</t>
        </is>
      </c>
      <c r="E1418" s="13" t="n">
        <v>340.6</v>
      </c>
      <c r="F1418" s="12" t="n">
        <v>1.930000305175781</v>
      </c>
      <c r="G1418" s="4" t="n">
        <v>1</v>
      </c>
      <c r="H1418" s="4">
        <f>IF(OR(N(F1418)&gt;=0.5,G1418&gt;=4),3,IF(OR(N(F1418)&gt;=0.3,G1418=3),2,IF(OR(N(F1418)&gt;=0.1,G1418&gt;=1),1,0)))</f>
        <v/>
      </c>
      <c r="I1418" s="4">
        <f>CHOOSE(H1418+1,"Kein Risiko","Gering","Mittel","Hoch")</f>
        <v/>
      </c>
    </row>
    <row r="1419">
      <c r="A1419" s="4" t="n">
        <v>1415</v>
      </c>
      <c r="B1419" s="4" t="inlineStr">
        <is>
          <t>yes</t>
        </is>
      </c>
      <c r="C1419" s="4" t="inlineStr">
        <is>
          <t>Kupferdreher Straße</t>
        </is>
      </c>
      <c r="D1419" s="4" t="inlineStr">
        <is>
          <t>40</t>
        </is>
      </c>
      <c r="E1419" s="13" t="n">
        <v>65.59999999999999</v>
      </c>
      <c r="F1419" s="12" t="n">
        <v>0</v>
      </c>
      <c r="G1419" s="4" t="n">
        <v>0</v>
      </c>
      <c r="H1419" s="4">
        <f>IF(OR(N(F1419)&gt;=0.5,G1419&gt;=4),3,IF(OR(N(F1419)&gt;=0.3,G1419=3),2,IF(OR(N(F1419)&gt;=0.1,G1419&gt;=1),1,0)))</f>
        <v/>
      </c>
      <c r="I1419" s="4">
        <f>CHOOSE(H1419+1,"Kein Risiko","Gering","Mittel","Hoch")</f>
        <v/>
      </c>
    </row>
    <row r="1420">
      <c r="A1420" s="4" t="n">
        <v>1416</v>
      </c>
      <c r="B1420" s="4" t="inlineStr">
        <is>
          <t>yes</t>
        </is>
      </c>
      <c r="C1420" s="4" t="inlineStr">
        <is>
          <t>Kupferdreher Straße</t>
        </is>
      </c>
      <c r="D1420" s="4" t="inlineStr">
        <is>
          <t>44</t>
        </is>
      </c>
      <c r="E1420" s="13" t="n">
        <v>126.9</v>
      </c>
      <c r="F1420" s="12" t="n">
        <v>0.029998779296875</v>
      </c>
      <c r="G1420" s="4" t="n">
        <v>2</v>
      </c>
      <c r="H1420" s="4">
        <f>IF(OR(N(F1420)&gt;=0.5,G1420&gt;=4),3,IF(OR(N(F1420)&gt;=0.3,G1420=3),2,IF(OR(N(F1420)&gt;=0.1,G1420&gt;=1),1,0)))</f>
        <v/>
      </c>
      <c r="I1420" s="4">
        <f>CHOOSE(H1420+1,"Kein Risiko","Gering","Mittel","Hoch")</f>
        <v/>
      </c>
    </row>
    <row r="1421">
      <c r="A1421" s="4" t="n">
        <v>1417</v>
      </c>
      <c r="B1421" s="4" t="inlineStr">
        <is>
          <t>yes</t>
        </is>
      </c>
      <c r="C1421" s="4" t="inlineStr">
        <is>
          <t>Kupferdreher Straße</t>
        </is>
      </c>
      <c r="D1421" s="4" t="inlineStr">
        <is>
          <t>46</t>
        </is>
      </c>
      <c r="E1421" s="13" t="n">
        <v>137.7</v>
      </c>
      <c r="F1421" s="12" t="n">
        <v>0</v>
      </c>
      <c r="G1421" s="4" t="n">
        <v>0</v>
      </c>
      <c r="H1421" s="4">
        <f>IF(OR(N(F1421)&gt;=0.5,G1421&gt;=4),3,IF(OR(N(F1421)&gt;=0.3,G1421=3),2,IF(OR(N(F1421)&gt;=0.1,G1421&gt;=1),1,0)))</f>
        <v/>
      </c>
      <c r="I1421" s="4">
        <f>CHOOSE(H1421+1,"Kein Risiko","Gering","Mittel","Hoch")</f>
        <v/>
      </c>
    </row>
    <row r="1422">
      <c r="A1422" s="4" t="n">
        <v>1418</v>
      </c>
      <c r="B1422" s="4" t="inlineStr">
        <is>
          <t>yes</t>
        </is>
      </c>
      <c r="C1422" s="4" t="inlineStr">
        <is>
          <t>Kupferdreher Straße</t>
        </is>
      </c>
      <c r="D1422" s="4" t="inlineStr">
        <is>
          <t>48</t>
        </is>
      </c>
      <c r="E1422" s="13" t="n">
        <v>185.1</v>
      </c>
      <c r="F1422" s="12" t="n">
        <v>0.2899971008300781</v>
      </c>
      <c r="G1422" s="4" t="n">
        <v>0</v>
      </c>
      <c r="H1422" s="4">
        <f>IF(OR(N(F1422)&gt;=0.5,G1422&gt;=4),3,IF(OR(N(F1422)&gt;=0.3,G1422=3),2,IF(OR(N(F1422)&gt;=0.1,G1422&gt;=1),1,0)))</f>
        <v/>
      </c>
      <c r="I1422" s="4">
        <f>CHOOSE(H1422+1,"Kein Risiko","Gering","Mittel","Hoch")</f>
        <v/>
      </c>
    </row>
    <row r="1423">
      <c r="A1423" s="4" t="n">
        <v>1419</v>
      </c>
      <c r="B1423" s="4" t="inlineStr">
        <is>
          <t>apartments</t>
        </is>
      </c>
      <c r="C1423" s="4" t="inlineStr">
        <is>
          <t>Kupferdreher Straße</t>
        </is>
      </c>
      <c r="D1423" s="4" t="inlineStr">
        <is>
          <t>60</t>
        </is>
      </c>
      <c r="E1423" s="13" t="n">
        <v>143.9</v>
      </c>
      <c r="F1423" s="12" t="n">
        <v>0.7000007629394531</v>
      </c>
      <c r="G1423" s="4" t="n">
        <v>0</v>
      </c>
      <c r="H1423" s="4">
        <f>IF(OR(N(F1423)&gt;=0.5,G1423&gt;=4),3,IF(OR(N(F1423)&gt;=0.3,G1423=3),2,IF(OR(N(F1423)&gt;=0.1,G1423&gt;=1),1,0)))</f>
        <v/>
      </c>
      <c r="I1423" s="4">
        <f>CHOOSE(H1423+1,"Kein Risiko","Gering","Mittel","Hoch")</f>
        <v/>
      </c>
    </row>
    <row r="1424">
      <c r="A1424" s="4" t="n">
        <v>1420</v>
      </c>
      <c r="B1424" s="4" t="inlineStr">
        <is>
          <t>apartments</t>
        </is>
      </c>
      <c r="C1424" s="4" t="inlineStr">
        <is>
          <t>Kupferdreher Straße</t>
        </is>
      </c>
      <c r="D1424" s="4" t="inlineStr">
        <is>
          <t>62</t>
        </is>
      </c>
      <c r="E1424" s="13" t="n">
        <v>176.2</v>
      </c>
      <c r="F1424" s="12" t="n">
        <v>0.5699996948242188</v>
      </c>
      <c r="G1424" s="4" t="n">
        <v>0</v>
      </c>
      <c r="H1424" s="4">
        <f>IF(OR(N(F1424)&gt;=0.5,G1424&gt;=4),3,IF(OR(N(F1424)&gt;=0.3,G1424=3),2,IF(OR(N(F1424)&gt;=0.1,G1424&gt;=1),1,0)))</f>
        <v/>
      </c>
      <c r="I1424" s="4">
        <f>CHOOSE(H1424+1,"Kein Risiko","Gering","Mittel","Hoch")</f>
        <v/>
      </c>
    </row>
    <row r="1425">
      <c r="A1425" s="4" t="n">
        <v>1421</v>
      </c>
      <c r="B1425" s="4" t="inlineStr">
        <is>
          <t>apartments</t>
        </is>
      </c>
      <c r="C1425" s="4" t="inlineStr">
        <is>
          <t>Kupferdreher Straße</t>
        </is>
      </c>
      <c r="D1425" s="4" t="inlineStr">
        <is>
          <t>64</t>
        </is>
      </c>
      <c r="E1425" s="13" t="n">
        <v>182.4</v>
      </c>
      <c r="F1425" s="12" t="n">
        <v>0.5699996948242188</v>
      </c>
      <c r="G1425" s="4" t="n">
        <v>0</v>
      </c>
      <c r="H1425" s="4">
        <f>IF(OR(N(F1425)&gt;=0.5,G1425&gt;=4),3,IF(OR(N(F1425)&gt;=0.3,G1425=3),2,IF(OR(N(F1425)&gt;=0.1,G1425&gt;=1),1,0)))</f>
        <v/>
      </c>
      <c r="I1425" s="4">
        <f>CHOOSE(H1425+1,"Kein Risiko","Gering","Mittel","Hoch")</f>
        <v/>
      </c>
    </row>
    <row r="1426">
      <c r="A1426" s="4" t="n">
        <v>1422</v>
      </c>
      <c r="B1426" s="4" t="inlineStr">
        <is>
          <t>apartments</t>
        </is>
      </c>
      <c r="C1426" s="4" t="inlineStr">
        <is>
          <t>Kupferdreher Straße</t>
        </is>
      </c>
      <c r="D1426" s="4" t="inlineStr">
        <is>
          <t>66</t>
        </is>
      </c>
      <c r="E1426" s="13" t="n">
        <v>184.6</v>
      </c>
      <c r="F1426" s="12" t="n">
        <v>0.4000015258789062</v>
      </c>
      <c r="G1426" s="4" t="n">
        <v>0</v>
      </c>
      <c r="H1426" s="4">
        <f>IF(OR(N(F1426)&gt;=0.5,G1426&gt;=4),3,IF(OR(N(F1426)&gt;=0.3,G1426=3),2,IF(OR(N(F1426)&gt;=0.1,G1426&gt;=1),1,0)))</f>
        <v/>
      </c>
      <c r="I1426" s="4">
        <f>CHOOSE(H1426+1,"Kein Risiko","Gering","Mittel","Hoch")</f>
        <v/>
      </c>
    </row>
    <row r="1427">
      <c r="A1427" s="4" t="n">
        <v>1423</v>
      </c>
      <c r="B1427" s="4" t="inlineStr">
        <is>
          <t>apartments</t>
        </is>
      </c>
      <c r="C1427" s="4" t="inlineStr">
        <is>
          <t>Kupferdreher Straße</t>
        </is>
      </c>
      <c r="D1427" s="4" t="inlineStr">
        <is>
          <t>68</t>
        </is>
      </c>
      <c r="E1427" s="13" t="n">
        <v>182</v>
      </c>
      <c r="F1427" s="12" t="n">
        <v>0.04999923706054688</v>
      </c>
      <c r="G1427" s="4" t="n">
        <v>0</v>
      </c>
      <c r="H1427" s="4">
        <f>IF(OR(N(F1427)&gt;=0.5,G1427&gt;=4),3,IF(OR(N(F1427)&gt;=0.3,G1427=3),2,IF(OR(N(F1427)&gt;=0.1,G1427&gt;=1),1,0)))</f>
        <v/>
      </c>
      <c r="I1427" s="4">
        <f>CHOOSE(H1427+1,"Kein Risiko","Gering","Mittel","Hoch")</f>
        <v/>
      </c>
    </row>
    <row r="1428">
      <c r="A1428" s="4" t="n">
        <v>1424</v>
      </c>
      <c r="B1428" s="4" t="inlineStr">
        <is>
          <t>apartments</t>
        </is>
      </c>
      <c r="C1428" s="4" t="inlineStr">
        <is>
          <t>Kupferdreher Straße</t>
        </is>
      </c>
      <c r="D1428" s="4" t="inlineStr">
        <is>
          <t>92</t>
        </is>
      </c>
      <c r="E1428" s="13" t="n">
        <v>188.9</v>
      </c>
      <c r="F1428" s="12" t="n">
        <v>0.1800003051757812</v>
      </c>
      <c r="G1428" s="4" t="n">
        <v>0</v>
      </c>
      <c r="H1428" s="4">
        <f>IF(OR(N(F1428)&gt;=0.5,G1428&gt;=4),3,IF(OR(N(F1428)&gt;=0.3,G1428=3),2,IF(OR(N(F1428)&gt;=0.1,G1428&gt;=1),1,0)))</f>
        <v/>
      </c>
      <c r="I1428" s="4">
        <f>CHOOSE(H1428+1,"Kein Risiko","Gering","Mittel","Hoch")</f>
        <v/>
      </c>
    </row>
    <row r="1429">
      <c r="A1429" s="4" t="n">
        <v>1425</v>
      </c>
      <c r="B1429" s="4" t="inlineStr">
        <is>
          <t>apartments</t>
        </is>
      </c>
      <c r="C1429" s="4" t="inlineStr">
        <is>
          <t>Kupferdreher Straße</t>
        </is>
      </c>
      <c r="D1429" s="4" t="inlineStr">
        <is>
          <t>94</t>
        </is>
      </c>
      <c r="E1429" s="13" t="n">
        <v>189.1</v>
      </c>
      <c r="F1429" s="12" t="n">
        <v>0.2299995422363281</v>
      </c>
      <c r="G1429" s="4" t="n">
        <v>0</v>
      </c>
      <c r="H1429" s="4">
        <f>IF(OR(N(F1429)&gt;=0.5,G1429&gt;=4),3,IF(OR(N(F1429)&gt;=0.3,G1429=3),2,IF(OR(N(F1429)&gt;=0.1,G1429&gt;=1),1,0)))</f>
        <v/>
      </c>
      <c r="I1429" s="4">
        <f>CHOOSE(H1429+1,"Kein Risiko","Gering","Mittel","Hoch")</f>
        <v/>
      </c>
    </row>
    <row r="1430">
      <c r="A1430" s="4" t="n">
        <v>1426</v>
      </c>
      <c r="B1430" s="4" t="inlineStr">
        <is>
          <t>apartments</t>
        </is>
      </c>
      <c r="C1430" s="4" t="inlineStr">
        <is>
          <t>Kupferdreher Straße</t>
        </is>
      </c>
      <c r="D1430" s="4" t="inlineStr">
        <is>
          <t>96</t>
        </is>
      </c>
      <c r="E1430" s="13" t="n">
        <v>187</v>
      </c>
      <c r="F1430" s="12" t="n">
        <v>0.1800003051757812</v>
      </c>
      <c r="G1430" s="4" t="n">
        <v>0</v>
      </c>
      <c r="H1430" s="4">
        <f>IF(OR(N(F1430)&gt;=0.5,G1430&gt;=4),3,IF(OR(N(F1430)&gt;=0.3,G1430=3),2,IF(OR(N(F1430)&gt;=0.1,G1430&gt;=1),1,0)))</f>
        <v/>
      </c>
      <c r="I1430" s="4">
        <f>CHOOSE(H1430+1,"Kein Risiko","Gering","Mittel","Hoch")</f>
        <v/>
      </c>
    </row>
    <row r="1431">
      <c r="A1431" s="4" t="n">
        <v>1427</v>
      </c>
      <c r="B1431" s="4" t="inlineStr">
        <is>
          <t>apartments</t>
        </is>
      </c>
      <c r="C1431" s="4" t="inlineStr">
        <is>
          <t>Kupferdreher Straße</t>
        </is>
      </c>
      <c r="D1431" s="4" t="inlineStr">
        <is>
          <t>98</t>
        </is>
      </c>
      <c r="E1431" s="13" t="n">
        <v>189.2</v>
      </c>
      <c r="F1431" s="12" t="n">
        <v>0.1699981689453125</v>
      </c>
      <c r="G1431" s="4" t="n">
        <v>0</v>
      </c>
      <c r="H1431" s="4">
        <f>IF(OR(N(F1431)&gt;=0.5,G1431&gt;=4),3,IF(OR(N(F1431)&gt;=0.3,G1431=3),2,IF(OR(N(F1431)&gt;=0.1,G1431&gt;=1),1,0)))</f>
        <v/>
      </c>
      <c r="I1431" s="4">
        <f>CHOOSE(H1431+1,"Kein Risiko","Gering","Mittel","Hoch")</f>
        <v/>
      </c>
    </row>
    <row r="1432">
      <c r="A1432" s="4" t="n">
        <v>1428</v>
      </c>
      <c r="B1432" s="4" t="inlineStr">
        <is>
          <t>yes</t>
        </is>
      </c>
      <c r="C1432" s="4" t="inlineStr">
        <is>
          <t>Frauenstein</t>
        </is>
      </c>
      <c r="D1432" s="4" t="inlineStr">
        <is>
          <t>117</t>
        </is>
      </c>
      <c r="E1432" s="13" t="n">
        <v>105.3</v>
      </c>
      <c r="F1432" s="12" t="n">
        <v>0</v>
      </c>
      <c r="G1432" s="4" t="n">
        <v>0</v>
      </c>
      <c r="H1432" s="4">
        <f>IF(OR(N(F1432)&gt;=0.5,G1432&gt;=4),3,IF(OR(N(F1432)&gt;=0.3,G1432=3),2,IF(OR(N(F1432)&gt;=0.1,G1432&gt;=1),1,0)))</f>
        <v/>
      </c>
      <c r="I1432" s="4">
        <f>CHOOSE(H1432+1,"Kein Risiko","Gering","Mittel","Hoch")</f>
        <v/>
      </c>
    </row>
    <row r="1433">
      <c r="A1433" s="4" t="n">
        <v>1429</v>
      </c>
      <c r="B1433" s="4" t="inlineStr">
        <is>
          <t>yes</t>
        </is>
      </c>
      <c r="C1433" s="4" t="inlineStr">
        <is>
          <t>Frauenstein</t>
        </is>
      </c>
      <c r="D1433" s="4" t="inlineStr">
        <is>
          <t>117a</t>
        </is>
      </c>
      <c r="E1433" s="13" t="n">
        <v>105.3</v>
      </c>
      <c r="F1433" s="12" t="n">
        <v>0</v>
      </c>
      <c r="G1433" s="4" t="n">
        <v>0</v>
      </c>
      <c r="H1433" s="4">
        <f>IF(OR(N(F1433)&gt;=0.5,G1433&gt;=4),3,IF(OR(N(F1433)&gt;=0.3,G1433=3),2,IF(OR(N(F1433)&gt;=0.1,G1433&gt;=1),1,0)))</f>
        <v/>
      </c>
      <c r="I1433" s="4">
        <f>CHOOSE(H1433+1,"Kein Risiko","Gering","Mittel","Hoch")</f>
        <v/>
      </c>
    </row>
    <row r="1434">
      <c r="A1434" s="4" t="n">
        <v>1430</v>
      </c>
      <c r="B1434" s="4" t="inlineStr">
        <is>
          <t>yes</t>
        </is>
      </c>
      <c r="C1434" s="4" t="inlineStr">
        <is>
          <t>Frauenstein</t>
        </is>
      </c>
      <c r="D1434" s="4" t="inlineStr">
        <is>
          <t>108</t>
        </is>
      </c>
      <c r="E1434" s="13" t="n">
        <v>233</v>
      </c>
      <c r="F1434" s="12" t="n">
        <v>0</v>
      </c>
      <c r="G1434" s="4" t="n">
        <v>0</v>
      </c>
      <c r="H1434" s="4">
        <f>IF(OR(N(F1434)&gt;=0.5,G1434&gt;=4),3,IF(OR(N(F1434)&gt;=0.3,G1434=3),2,IF(OR(N(F1434)&gt;=0.1,G1434&gt;=1),1,0)))</f>
        <v/>
      </c>
      <c r="I1434" s="4">
        <f>CHOOSE(H1434+1,"Kein Risiko","Gering","Mittel","Hoch")</f>
        <v/>
      </c>
    </row>
    <row r="1435">
      <c r="A1435" s="4" t="n">
        <v>1431</v>
      </c>
      <c r="B1435" s="4" t="inlineStr">
        <is>
          <t>house</t>
        </is>
      </c>
      <c r="C1435" s="4" t="inlineStr">
        <is>
          <t>Frauenstein</t>
        </is>
      </c>
      <c r="D1435" s="4" t="inlineStr">
        <is>
          <t>110</t>
        </is>
      </c>
      <c r="E1435" s="13" t="n">
        <v>185.3</v>
      </c>
      <c r="F1435" s="12" t="n">
        <v>0.04000091552734375</v>
      </c>
      <c r="G1435" s="4" t="n">
        <v>0</v>
      </c>
      <c r="H1435" s="4">
        <f>IF(OR(N(F1435)&gt;=0.5,G1435&gt;=4),3,IF(OR(N(F1435)&gt;=0.3,G1435=3),2,IF(OR(N(F1435)&gt;=0.1,G1435&gt;=1),1,0)))</f>
        <v/>
      </c>
      <c r="I1435" s="4">
        <f>CHOOSE(H1435+1,"Kein Risiko","Gering","Mittel","Hoch")</f>
        <v/>
      </c>
    </row>
    <row r="1436">
      <c r="A1436" s="4" t="n">
        <v>1432</v>
      </c>
      <c r="B1436" s="4" t="inlineStr">
        <is>
          <t>yes</t>
        </is>
      </c>
      <c r="C1436" s="4" t="inlineStr">
        <is>
          <t>Frauenstein</t>
        </is>
      </c>
      <c r="D1436" s="4" t="inlineStr">
        <is>
          <t>130</t>
        </is>
      </c>
      <c r="E1436" s="13" t="n">
        <v>234.3</v>
      </c>
      <c r="F1436" s="12" t="n">
        <v>0.029998779296875</v>
      </c>
      <c r="G1436" s="4" t="n">
        <v>0</v>
      </c>
      <c r="H1436" s="4">
        <f>IF(OR(N(F1436)&gt;=0.5,G1436&gt;=4),3,IF(OR(N(F1436)&gt;=0.3,G1436=3),2,IF(OR(N(F1436)&gt;=0.1,G1436&gt;=1),1,0)))</f>
        <v/>
      </c>
      <c r="I1436" s="4">
        <f>CHOOSE(H1436+1,"Kein Risiko","Gering","Mittel","Hoch")</f>
        <v/>
      </c>
    </row>
    <row r="1437">
      <c r="A1437" s="4" t="n">
        <v>1433</v>
      </c>
      <c r="B1437" s="4" t="inlineStr">
        <is>
          <t>yes</t>
        </is>
      </c>
      <c r="C1437" s="4" t="inlineStr">
        <is>
          <t>Frauenstein</t>
        </is>
      </c>
      <c r="D1437" s="4" t="inlineStr">
        <is>
          <t>133</t>
        </is>
      </c>
      <c r="E1437" s="13" t="n">
        <v>172.3</v>
      </c>
      <c r="F1437" s="12" t="n">
        <v>0.029998779296875</v>
      </c>
      <c r="G1437" s="4" t="n">
        <v>0</v>
      </c>
      <c r="H1437" s="4">
        <f>IF(OR(N(F1437)&gt;=0.5,G1437&gt;=4),3,IF(OR(N(F1437)&gt;=0.3,G1437=3),2,IF(OR(N(F1437)&gt;=0.1,G1437&gt;=1),1,0)))</f>
        <v/>
      </c>
      <c r="I1437" s="4">
        <f>CHOOSE(H1437+1,"Kein Risiko","Gering","Mittel","Hoch")</f>
        <v/>
      </c>
    </row>
    <row r="1438">
      <c r="A1438" s="4" t="n">
        <v>1434</v>
      </c>
      <c r="B1438" s="4" t="inlineStr">
        <is>
          <t>garage</t>
        </is>
      </c>
      <c r="C1438" s="4" t="inlineStr"/>
      <c r="D1438" s="4" t="inlineStr"/>
      <c r="E1438" s="13" t="n">
        <v>52.3</v>
      </c>
      <c r="F1438" s="12" t="n">
        <v>0.029998779296875</v>
      </c>
      <c r="G1438" s="4" t="n">
        <v>0</v>
      </c>
      <c r="H1438" s="4">
        <f>IF(OR(N(F1438)&gt;=0.5,G1438&gt;=4),3,IF(OR(N(F1438)&gt;=0.3,G1438=3),2,IF(OR(N(F1438)&gt;=0.1,G1438&gt;=1),1,0)))</f>
        <v/>
      </c>
      <c r="I1438" s="4">
        <f>CHOOSE(H1438+1,"Kein Risiko","Gering","Mittel","Hoch")</f>
        <v/>
      </c>
    </row>
    <row r="1439">
      <c r="A1439" s="4" t="n">
        <v>1435</v>
      </c>
      <c r="B1439" s="4" t="inlineStr">
        <is>
          <t>garage</t>
        </is>
      </c>
      <c r="C1439" s="4" t="inlineStr"/>
      <c r="D1439" s="4" t="inlineStr"/>
      <c r="E1439" s="13" t="n">
        <v>56.2</v>
      </c>
      <c r="F1439" s="12" t="n">
        <v>0</v>
      </c>
      <c r="G1439" s="4" t="n">
        <v>0</v>
      </c>
      <c r="H1439" s="4">
        <f>IF(OR(N(F1439)&gt;=0.5,G1439&gt;=4),3,IF(OR(N(F1439)&gt;=0.3,G1439=3),2,IF(OR(N(F1439)&gt;=0.1,G1439&gt;=1),1,0)))</f>
        <v/>
      </c>
      <c r="I1439" s="4">
        <f>CHOOSE(H1439+1,"Kein Risiko","Gering","Mittel","Hoch")</f>
        <v/>
      </c>
    </row>
    <row r="1440">
      <c r="A1440" s="4" t="n">
        <v>1436</v>
      </c>
      <c r="B1440" s="4" t="inlineStr">
        <is>
          <t>yes</t>
        </is>
      </c>
      <c r="C1440" s="4" t="inlineStr">
        <is>
          <t>Hellersberg</t>
        </is>
      </c>
      <c r="D1440" s="4" t="inlineStr">
        <is>
          <t>1</t>
        </is>
      </c>
      <c r="E1440" s="13" t="n">
        <v>81.7</v>
      </c>
      <c r="F1440" s="12" t="n">
        <v>0</v>
      </c>
      <c r="G1440" s="4" t="n">
        <v>0</v>
      </c>
      <c r="H1440" s="4">
        <f>IF(OR(N(F1440)&gt;=0.5,G1440&gt;=4),3,IF(OR(N(F1440)&gt;=0.3,G1440=3),2,IF(OR(N(F1440)&gt;=0.1,G1440&gt;=1),1,0)))</f>
        <v/>
      </c>
      <c r="I1440" s="4">
        <f>CHOOSE(H1440+1,"Kein Risiko","Gering","Mittel","Hoch")</f>
        <v/>
      </c>
    </row>
    <row r="1441">
      <c r="A1441" s="4" t="n">
        <v>1437</v>
      </c>
      <c r="B1441" s="4" t="inlineStr">
        <is>
          <t>house</t>
        </is>
      </c>
      <c r="C1441" s="4" t="inlineStr">
        <is>
          <t>Hellersberg</t>
        </is>
      </c>
      <c r="D1441" s="4" t="inlineStr">
        <is>
          <t>7</t>
        </is>
      </c>
      <c r="E1441" s="13" t="n">
        <v>86.59999999999999</v>
      </c>
      <c r="F1441" s="12" t="n"/>
      <c r="G1441" s="4" t="n">
        <v>0</v>
      </c>
      <c r="H1441" s="4">
        <f>IF(OR(N(F1441)&gt;=0.5,G1441&gt;=4),3,IF(OR(N(F1441)&gt;=0.3,G1441=3),2,IF(OR(N(F1441)&gt;=0.1,G1441&gt;=1),1,0)))</f>
        <v/>
      </c>
      <c r="I1441" s="4">
        <f>CHOOSE(H1441+1,"Kein Risiko","Gering","Mittel","Hoch")</f>
        <v/>
      </c>
    </row>
    <row r="1442">
      <c r="A1442" s="4" t="n">
        <v>1438</v>
      </c>
      <c r="B1442" s="4" t="inlineStr">
        <is>
          <t>yes</t>
        </is>
      </c>
      <c r="C1442" s="4" t="inlineStr">
        <is>
          <t>Hellersberg</t>
        </is>
      </c>
      <c r="D1442" s="4" t="inlineStr">
        <is>
          <t>3</t>
        </is>
      </c>
      <c r="E1442" s="13" t="n">
        <v>85</v>
      </c>
      <c r="F1442" s="12" t="n">
        <v>0.0099945068359375</v>
      </c>
      <c r="G1442" s="4" t="n">
        <v>0</v>
      </c>
      <c r="H1442" s="4">
        <f>IF(OR(N(F1442)&gt;=0.5,G1442&gt;=4),3,IF(OR(N(F1442)&gt;=0.3,G1442=3),2,IF(OR(N(F1442)&gt;=0.1,G1442&gt;=1),1,0)))</f>
        <v/>
      </c>
      <c r="I1442" s="4">
        <f>CHOOSE(H1442+1,"Kein Risiko","Gering","Mittel","Hoch")</f>
        <v/>
      </c>
    </row>
    <row r="1443">
      <c r="A1443" s="4" t="n">
        <v>1439</v>
      </c>
      <c r="B1443" s="4" t="inlineStr">
        <is>
          <t>house</t>
        </is>
      </c>
      <c r="C1443" s="4" t="inlineStr">
        <is>
          <t>Hellersberg</t>
        </is>
      </c>
      <c r="D1443" s="4" t="inlineStr">
        <is>
          <t>9</t>
        </is>
      </c>
      <c r="E1443" s="13" t="n">
        <v>76</v>
      </c>
      <c r="F1443" s="12" t="n"/>
      <c r="G1443" s="4" t="n">
        <v>0</v>
      </c>
      <c r="H1443" s="4">
        <f>IF(OR(N(F1443)&gt;=0.5,G1443&gt;=4),3,IF(OR(N(F1443)&gt;=0.3,G1443=3),2,IF(OR(N(F1443)&gt;=0.1,G1443&gt;=1),1,0)))</f>
        <v/>
      </c>
      <c r="I1443" s="4">
        <f>CHOOSE(H1443+1,"Kein Risiko","Gering","Mittel","Hoch")</f>
        <v/>
      </c>
    </row>
    <row r="1444">
      <c r="A1444" s="4" t="n">
        <v>1440</v>
      </c>
      <c r="B1444" s="4" t="inlineStr">
        <is>
          <t>house</t>
        </is>
      </c>
      <c r="C1444" s="4" t="inlineStr">
        <is>
          <t>Hellersberg</t>
        </is>
      </c>
      <c r="D1444" s="4" t="inlineStr">
        <is>
          <t>5</t>
        </is>
      </c>
      <c r="E1444" s="13" t="n">
        <v>86.40000000000001</v>
      </c>
      <c r="F1444" s="12" t="n"/>
      <c r="G1444" s="4" t="n">
        <v>0</v>
      </c>
      <c r="H1444" s="4">
        <f>IF(OR(N(F1444)&gt;=0.5,G1444&gt;=4),3,IF(OR(N(F1444)&gt;=0.3,G1444=3),2,IF(OR(N(F1444)&gt;=0.1,G1444&gt;=1),1,0)))</f>
        <v/>
      </c>
      <c r="I1444" s="4">
        <f>CHOOSE(H1444+1,"Kein Risiko","Gering","Mittel","Hoch")</f>
        <v/>
      </c>
    </row>
    <row r="1445">
      <c r="A1445" s="4" t="n">
        <v>1441</v>
      </c>
      <c r="B1445" s="4" t="inlineStr">
        <is>
          <t>house</t>
        </is>
      </c>
      <c r="C1445" s="4" t="inlineStr">
        <is>
          <t>Hellersberg</t>
        </is>
      </c>
      <c r="D1445" s="4" t="inlineStr">
        <is>
          <t>11</t>
        </is>
      </c>
      <c r="E1445" s="13" t="n">
        <v>74.09999999999999</v>
      </c>
      <c r="F1445" s="12" t="n"/>
      <c r="G1445" s="4" t="n">
        <v>0</v>
      </c>
      <c r="H1445" s="4">
        <f>IF(OR(N(F1445)&gt;=0.5,G1445&gt;=4),3,IF(OR(N(F1445)&gt;=0.3,G1445=3),2,IF(OR(N(F1445)&gt;=0.1,G1445&gt;=1),1,0)))</f>
        <v/>
      </c>
      <c r="I1445" s="4">
        <f>CHOOSE(H1445+1,"Kein Risiko","Gering","Mittel","Hoch")</f>
        <v/>
      </c>
    </row>
    <row r="1446">
      <c r="A1446" s="4" t="n">
        <v>1442</v>
      </c>
      <c r="B1446" s="4" t="inlineStr">
        <is>
          <t>garage</t>
        </is>
      </c>
      <c r="C1446" s="4" t="inlineStr"/>
      <c r="D1446" s="4" t="inlineStr"/>
      <c r="E1446" s="13" t="n">
        <v>14.4</v>
      </c>
      <c r="F1446" s="12" t="n"/>
      <c r="G1446" s="4" t="n">
        <v>0</v>
      </c>
      <c r="H1446" s="4">
        <f>IF(OR(N(F1446)&gt;=0.5,G1446&gt;=4),3,IF(OR(N(F1446)&gt;=0.3,G1446=3),2,IF(OR(N(F1446)&gt;=0.1,G1446&gt;=1),1,0)))</f>
        <v/>
      </c>
      <c r="I1446" s="4">
        <f>CHOOSE(H1446+1,"Kein Risiko","Gering","Mittel","Hoch")</f>
        <v/>
      </c>
    </row>
    <row r="1447">
      <c r="A1447" s="4" t="n">
        <v>1443</v>
      </c>
      <c r="B1447" s="4" t="inlineStr">
        <is>
          <t>garage</t>
        </is>
      </c>
      <c r="C1447" s="4" t="inlineStr"/>
      <c r="D1447" s="4" t="inlineStr"/>
      <c r="E1447" s="13" t="n">
        <v>38.5</v>
      </c>
      <c r="F1447" s="12" t="n"/>
      <c r="G1447" s="4" t="n">
        <v>0</v>
      </c>
      <c r="H1447" s="4">
        <f>IF(OR(N(F1447)&gt;=0.5,G1447&gt;=4),3,IF(OR(N(F1447)&gt;=0.3,G1447=3),2,IF(OR(N(F1447)&gt;=0.1,G1447&gt;=1),1,0)))</f>
        <v/>
      </c>
      <c r="I1447" s="4">
        <f>CHOOSE(H1447+1,"Kein Risiko","Gering","Mittel","Hoch")</f>
        <v/>
      </c>
    </row>
    <row r="1448">
      <c r="A1448" s="4" t="n">
        <v>1444</v>
      </c>
      <c r="B1448" s="4" t="inlineStr">
        <is>
          <t>yes</t>
        </is>
      </c>
      <c r="C1448" s="4" t="inlineStr">
        <is>
          <t>Am Dolmen</t>
        </is>
      </c>
      <c r="D1448" s="4" t="inlineStr">
        <is>
          <t>1a</t>
        </is>
      </c>
      <c r="E1448" s="13" t="n">
        <v>44.8</v>
      </c>
      <c r="F1448" s="12" t="n">
        <v>0</v>
      </c>
      <c r="G1448" s="4" t="n">
        <v>0</v>
      </c>
      <c r="H1448" s="4">
        <f>IF(OR(N(F1448)&gt;=0.5,G1448&gt;=4),3,IF(OR(N(F1448)&gt;=0.3,G1448=3),2,IF(OR(N(F1448)&gt;=0.1,G1448&gt;=1),1,0)))</f>
        <v/>
      </c>
      <c r="I1448" s="4">
        <f>CHOOSE(H1448+1,"Kein Risiko","Gering","Mittel","Hoch")</f>
        <v/>
      </c>
    </row>
    <row r="1449">
      <c r="A1449" s="4" t="n">
        <v>1445</v>
      </c>
      <c r="B1449" s="4" t="inlineStr">
        <is>
          <t>yes</t>
        </is>
      </c>
      <c r="C1449" s="4" t="inlineStr">
        <is>
          <t>Dilldorfer Allee</t>
        </is>
      </c>
      <c r="D1449" s="4" t="inlineStr">
        <is>
          <t>1a</t>
        </is>
      </c>
      <c r="E1449" s="13" t="n">
        <v>44.9</v>
      </c>
      <c r="F1449" s="12" t="n">
        <v>0</v>
      </c>
      <c r="G1449" s="4" t="n">
        <v>0</v>
      </c>
      <c r="H1449" s="4">
        <f>IF(OR(N(F1449)&gt;=0.5,G1449&gt;=4),3,IF(OR(N(F1449)&gt;=0.3,G1449=3),2,IF(OR(N(F1449)&gt;=0.1,G1449&gt;=1),1,0)))</f>
        <v/>
      </c>
      <c r="I1449" s="4">
        <f>CHOOSE(H1449+1,"Kein Risiko","Gering","Mittel","Hoch")</f>
        <v/>
      </c>
    </row>
    <row r="1450">
      <c r="A1450" s="4" t="n">
        <v>1446</v>
      </c>
      <c r="B1450" s="4" t="inlineStr">
        <is>
          <t>yes</t>
        </is>
      </c>
      <c r="C1450" s="4" t="inlineStr">
        <is>
          <t>Am Dolmen</t>
        </is>
      </c>
      <c r="D1450" s="4" t="inlineStr">
        <is>
          <t>1b</t>
        </is>
      </c>
      <c r="E1450" s="13" t="n">
        <v>44.7</v>
      </c>
      <c r="F1450" s="12" t="n">
        <v>0</v>
      </c>
      <c r="G1450" s="4" t="n">
        <v>0</v>
      </c>
      <c r="H1450" s="4">
        <f>IF(OR(N(F1450)&gt;=0.5,G1450&gt;=4),3,IF(OR(N(F1450)&gt;=0.3,G1450=3),2,IF(OR(N(F1450)&gt;=0.1,G1450&gt;=1),1,0)))</f>
        <v/>
      </c>
      <c r="I1450" s="4">
        <f>CHOOSE(H1450+1,"Kein Risiko","Gering","Mittel","Hoch")</f>
        <v/>
      </c>
    </row>
    <row r="1451">
      <c r="A1451" s="4" t="n">
        <v>1447</v>
      </c>
      <c r="B1451" s="4" t="inlineStr">
        <is>
          <t>yes</t>
        </is>
      </c>
      <c r="C1451" s="4" t="inlineStr">
        <is>
          <t>Dilldorfer Allee</t>
        </is>
      </c>
      <c r="D1451" s="4" t="inlineStr">
        <is>
          <t>1b</t>
        </is>
      </c>
      <c r="E1451" s="13" t="n">
        <v>45</v>
      </c>
      <c r="F1451" s="12" t="n">
        <v>0.029998779296875</v>
      </c>
      <c r="G1451" s="4" t="n">
        <v>0</v>
      </c>
      <c r="H1451" s="4">
        <f>IF(OR(N(F1451)&gt;=0.5,G1451&gt;=4),3,IF(OR(N(F1451)&gt;=0.3,G1451=3),2,IF(OR(N(F1451)&gt;=0.1,G1451&gt;=1),1,0)))</f>
        <v/>
      </c>
      <c r="I1451" s="4">
        <f>CHOOSE(H1451+1,"Kein Risiko","Gering","Mittel","Hoch")</f>
        <v/>
      </c>
    </row>
    <row r="1452">
      <c r="A1452" s="4" t="n">
        <v>1448</v>
      </c>
      <c r="B1452" s="4" t="inlineStr">
        <is>
          <t>yes</t>
        </is>
      </c>
      <c r="C1452" s="4" t="inlineStr">
        <is>
          <t>Am Dolmen</t>
        </is>
      </c>
      <c r="D1452" s="4" t="inlineStr">
        <is>
          <t>1c</t>
        </is>
      </c>
      <c r="E1452" s="13" t="n">
        <v>45.1</v>
      </c>
      <c r="F1452" s="12" t="n">
        <v>0</v>
      </c>
      <c r="G1452" s="4" t="n">
        <v>0</v>
      </c>
      <c r="H1452" s="4">
        <f>IF(OR(N(F1452)&gt;=0.5,G1452&gt;=4),3,IF(OR(N(F1452)&gt;=0.3,G1452=3),2,IF(OR(N(F1452)&gt;=0.1,G1452&gt;=1),1,0)))</f>
        <v/>
      </c>
      <c r="I1452" s="4">
        <f>CHOOSE(H1452+1,"Kein Risiko","Gering","Mittel","Hoch")</f>
        <v/>
      </c>
    </row>
    <row r="1453">
      <c r="A1453" s="4" t="n">
        <v>1449</v>
      </c>
      <c r="B1453" s="4" t="inlineStr">
        <is>
          <t>yes</t>
        </is>
      </c>
      <c r="C1453" s="4" t="inlineStr">
        <is>
          <t>Dilldorfer Allee</t>
        </is>
      </c>
      <c r="D1453" s="4" t="inlineStr">
        <is>
          <t>1c</t>
        </is>
      </c>
      <c r="E1453" s="13" t="n">
        <v>44.8</v>
      </c>
      <c r="F1453" s="12" t="n"/>
      <c r="G1453" s="4" t="n">
        <v>0</v>
      </c>
      <c r="H1453" s="4">
        <f>IF(OR(N(F1453)&gt;=0.5,G1453&gt;=4),3,IF(OR(N(F1453)&gt;=0.3,G1453=3),2,IF(OR(N(F1453)&gt;=0.1,G1453&gt;=1),1,0)))</f>
        <v/>
      </c>
      <c r="I1453" s="4">
        <f>CHOOSE(H1453+1,"Kein Risiko","Gering","Mittel","Hoch")</f>
        <v/>
      </c>
    </row>
    <row r="1454">
      <c r="A1454" s="4" t="n">
        <v>1450</v>
      </c>
      <c r="B1454" s="4" t="inlineStr">
        <is>
          <t>yes</t>
        </is>
      </c>
      <c r="C1454" s="4" t="inlineStr">
        <is>
          <t>Am Dolmen</t>
        </is>
      </c>
      <c r="D1454" s="4" t="inlineStr">
        <is>
          <t>11</t>
        </is>
      </c>
      <c r="E1454" s="13" t="n">
        <v>72.7</v>
      </c>
      <c r="F1454" s="12" t="n"/>
      <c r="G1454" s="4" t="n">
        <v>0</v>
      </c>
      <c r="H1454" s="4">
        <f>IF(OR(N(F1454)&gt;=0.5,G1454&gt;=4),3,IF(OR(N(F1454)&gt;=0.3,G1454=3),2,IF(OR(N(F1454)&gt;=0.1,G1454&gt;=1),1,0)))</f>
        <v/>
      </c>
      <c r="I1454" s="4">
        <f>CHOOSE(H1454+1,"Kein Risiko","Gering","Mittel","Hoch")</f>
        <v/>
      </c>
    </row>
    <row r="1455">
      <c r="A1455" s="4" t="n">
        <v>1451</v>
      </c>
      <c r="B1455" s="4" t="inlineStr">
        <is>
          <t>yes</t>
        </is>
      </c>
      <c r="C1455" s="4" t="inlineStr">
        <is>
          <t>Ruhrwinkel</t>
        </is>
      </c>
      <c r="D1455" s="4" t="inlineStr">
        <is>
          <t>16</t>
        </is>
      </c>
      <c r="E1455" s="13" t="n">
        <v>78</v>
      </c>
      <c r="F1455" s="12" t="n"/>
      <c r="G1455" s="4" t="n">
        <v>0</v>
      </c>
      <c r="H1455" s="4">
        <f>IF(OR(N(F1455)&gt;=0.5,G1455&gt;=4),3,IF(OR(N(F1455)&gt;=0.3,G1455=3),2,IF(OR(N(F1455)&gt;=0.1,G1455&gt;=1),1,0)))</f>
        <v/>
      </c>
      <c r="I1455" s="4">
        <f>CHOOSE(H1455+1,"Kein Risiko","Gering","Mittel","Hoch")</f>
        <v/>
      </c>
    </row>
    <row r="1456">
      <c r="A1456" s="4" t="n">
        <v>1452</v>
      </c>
      <c r="B1456" s="4" t="inlineStr">
        <is>
          <t>yes</t>
        </is>
      </c>
      <c r="C1456" s="4" t="inlineStr">
        <is>
          <t>Ruhrwinkel</t>
        </is>
      </c>
      <c r="D1456" s="4" t="inlineStr">
        <is>
          <t>20</t>
        </is>
      </c>
      <c r="E1456" s="13" t="n">
        <v>78</v>
      </c>
      <c r="F1456" s="12" t="n"/>
      <c r="G1456" s="4" t="n">
        <v>0</v>
      </c>
      <c r="H1456" s="4">
        <f>IF(OR(N(F1456)&gt;=0.5,G1456&gt;=4),3,IF(OR(N(F1456)&gt;=0.3,G1456=3),2,IF(OR(N(F1456)&gt;=0.1,G1456&gt;=1),1,0)))</f>
        <v/>
      </c>
      <c r="I1456" s="4">
        <f>CHOOSE(H1456+1,"Kein Risiko","Gering","Mittel","Hoch")</f>
        <v/>
      </c>
    </row>
    <row r="1457">
      <c r="A1457" s="4" t="n">
        <v>1453</v>
      </c>
      <c r="B1457" s="4" t="inlineStr">
        <is>
          <t>yes</t>
        </is>
      </c>
      <c r="C1457" s="4" t="inlineStr">
        <is>
          <t>Ruhrwinkel</t>
        </is>
      </c>
      <c r="D1457" s="4" t="inlineStr">
        <is>
          <t>18</t>
        </is>
      </c>
      <c r="E1457" s="13" t="n">
        <v>78</v>
      </c>
      <c r="F1457" s="12" t="n"/>
      <c r="G1457" s="4" t="n">
        <v>0</v>
      </c>
      <c r="H1457" s="4">
        <f>IF(OR(N(F1457)&gt;=0.5,G1457&gt;=4),3,IF(OR(N(F1457)&gt;=0.3,G1457=3),2,IF(OR(N(F1457)&gt;=0.1,G1457&gt;=1),1,0)))</f>
        <v/>
      </c>
      <c r="I1457" s="4">
        <f>CHOOSE(H1457+1,"Kein Risiko","Gering","Mittel","Hoch")</f>
        <v/>
      </c>
    </row>
    <row r="1458">
      <c r="A1458" s="4" t="n">
        <v>1454</v>
      </c>
      <c r="B1458" s="4" t="inlineStr">
        <is>
          <t>yes</t>
        </is>
      </c>
      <c r="C1458" s="4" t="inlineStr">
        <is>
          <t>Ruhrwinkel</t>
        </is>
      </c>
      <c r="D1458" s="4" t="inlineStr">
        <is>
          <t>22</t>
        </is>
      </c>
      <c r="E1458" s="13" t="n">
        <v>78.09999999999999</v>
      </c>
      <c r="F1458" s="12" t="n"/>
      <c r="G1458" s="4" t="n">
        <v>0</v>
      </c>
      <c r="H1458" s="4">
        <f>IF(OR(N(F1458)&gt;=0.5,G1458&gt;=4),3,IF(OR(N(F1458)&gt;=0.3,G1458=3),2,IF(OR(N(F1458)&gt;=0.1,G1458&gt;=1),1,0)))</f>
        <v/>
      </c>
      <c r="I1458" s="4">
        <f>CHOOSE(H1458+1,"Kein Risiko","Gering","Mittel","Hoch")</f>
        <v/>
      </c>
    </row>
    <row r="1459">
      <c r="A1459" s="4" t="n">
        <v>1455</v>
      </c>
      <c r="B1459" s="4" t="inlineStr">
        <is>
          <t>yes</t>
        </is>
      </c>
      <c r="C1459" s="4" t="inlineStr">
        <is>
          <t>Ruhrwinkel</t>
        </is>
      </c>
      <c r="D1459" s="4" t="inlineStr">
        <is>
          <t>21</t>
        </is>
      </c>
      <c r="E1459" s="13" t="n">
        <v>70.40000000000001</v>
      </c>
      <c r="F1459" s="12" t="n"/>
      <c r="G1459" s="4" t="n">
        <v>0</v>
      </c>
      <c r="H1459" s="4">
        <f>IF(OR(N(F1459)&gt;=0.5,G1459&gt;=4),3,IF(OR(N(F1459)&gt;=0.3,G1459=3),2,IF(OR(N(F1459)&gt;=0.1,G1459&gt;=1),1,0)))</f>
        <v/>
      </c>
      <c r="I1459" s="4">
        <f>CHOOSE(H1459+1,"Kein Risiko","Gering","Mittel","Hoch")</f>
        <v/>
      </c>
    </row>
    <row r="1460">
      <c r="A1460" s="4" t="n">
        <v>1456</v>
      </c>
      <c r="B1460" s="4" t="inlineStr">
        <is>
          <t>yes</t>
        </is>
      </c>
      <c r="C1460" s="4" t="inlineStr">
        <is>
          <t>Ruhrwinkel</t>
        </is>
      </c>
      <c r="D1460" s="4" t="inlineStr">
        <is>
          <t>23</t>
        </is>
      </c>
      <c r="E1460" s="13" t="n">
        <v>70.5</v>
      </c>
      <c r="F1460" s="12" t="n"/>
      <c r="G1460" s="4" t="n">
        <v>0</v>
      </c>
      <c r="H1460" s="4">
        <f>IF(OR(N(F1460)&gt;=0.5,G1460&gt;=4),3,IF(OR(N(F1460)&gt;=0.3,G1460=3),2,IF(OR(N(F1460)&gt;=0.1,G1460&gt;=1),1,0)))</f>
        <v/>
      </c>
      <c r="I1460" s="4">
        <f>CHOOSE(H1460+1,"Kein Risiko","Gering","Mittel","Hoch")</f>
        <v/>
      </c>
    </row>
    <row r="1461">
      <c r="A1461" s="4" t="n">
        <v>1457</v>
      </c>
      <c r="B1461" s="4" t="inlineStr">
        <is>
          <t>yes</t>
        </is>
      </c>
      <c r="C1461" s="4" t="inlineStr">
        <is>
          <t>Ruhrwinkel</t>
        </is>
      </c>
      <c r="D1461" s="4" t="inlineStr">
        <is>
          <t>25</t>
        </is>
      </c>
      <c r="E1461" s="13" t="n">
        <v>70.3</v>
      </c>
      <c r="F1461" s="12" t="n"/>
      <c r="G1461" s="4" t="n">
        <v>0</v>
      </c>
      <c r="H1461" s="4">
        <f>IF(OR(N(F1461)&gt;=0.5,G1461&gt;=4),3,IF(OR(N(F1461)&gt;=0.3,G1461=3),2,IF(OR(N(F1461)&gt;=0.1,G1461&gt;=1),1,0)))</f>
        <v/>
      </c>
      <c r="I1461" s="4">
        <f>CHOOSE(H1461+1,"Kein Risiko","Gering","Mittel","Hoch")</f>
        <v/>
      </c>
    </row>
    <row r="1462">
      <c r="A1462" s="4" t="n">
        <v>1458</v>
      </c>
      <c r="B1462" s="4" t="inlineStr">
        <is>
          <t>yes</t>
        </is>
      </c>
      <c r="C1462" s="4" t="inlineStr">
        <is>
          <t>Ruhrwinkel</t>
        </is>
      </c>
      <c r="D1462" s="4" t="inlineStr">
        <is>
          <t>27</t>
        </is>
      </c>
      <c r="E1462" s="13" t="n">
        <v>70.09999999999999</v>
      </c>
      <c r="F1462" s="12" t="n"/>
      <c r="G1462" s="4" t="n">
        <v>0</v>
      </c>
      <c r="H1462" s="4">
        <f>IF(OR(N(F1462)&gt;=0.5,G1462&gt;=4),3,IF(OR(N(F1462)&gt;=0.3,G1462=3),2,IF(OR(N(F1462)&gt;=0.1,G1462&gt;=1),1,0)))</f>
        <v/>
      </c>
      <c r="I1462" s="4">
        <f>CHOOSE(H1462+1,"Kein Risiko","Gering","Mittel","Hoch")</f>
        <v/>
      </c>
    </row>
    <row r="1463">
      <c r="A1463" s="4" t="n">
        <v>1459</v>
      </c>
      <c r="B1463" s="4" t="inlineStr">
        <is>
          <t>yes</t>
        </is>
      </c>
      <c r="C1463" s="4" t="inlineStr">
        <is>
          <t>Dilldorfer Allee</t>
        </is>
      </c>
      <c r="D1463" s="4" t="inlineStr">
        <is>
          <t>3a</t>
        </is>
      </c>
      <c r="E1463" s="13" t="n">
        <v>52.1</v>
      </c>
      <c r="F1463" s="12" t="n">
        <v>0.01000213623046875</v>
      </c>
      <c r="G1463" s="4" t="n">
        <v>0</v>
      </c>
      <c r="H1463" s="4">
        <f>IF(OR(N(F1463)&gt;=0.5,G1463&gt;=4),3,IF(OR(N(F1463)&gt;=0.3,G1463=3),2,IF(OR(N(F1463)&gt;=0.1,G1463&gt;=1),1,0)))</f>
        <v/>
      </c>
      <c r="I1463" s="4">
        <f>CHOOSE(H1463+1,"Kein Risiko","Gering","Mittel","Hoch")</f>
        <v/>
      </c>
    </row>
    <row r="1464">
      <c r="A1464" s="4" t="n">
        <v>1460</v>
      </c>
      <c r="B1464" s="4" t="inlineStr">
        <is>
          <t>yes</t>
        </is>
      </c>
      <c r="C1464" s="4" t="inlineStr">
        <is>
          <t>Dilldorfer Allee</t>
        </is>
      </c>
      <c r="D1464" s="4" t="inlineStr">
        <is>
          <t>3b</t>
        </is>
      </c>
      <c r="E1464" s="13" t="n">
        <v>50.9</v>
      </c>
      <c r="F1464" s="12" t="n">
        <v>0.01000213623046875</v>
      </c>
      <c r="G1464" s="4" t="n">
        <v>0</v>
      </c>
      <c r="H1464" s="4">
        <f>IF(OR(N(F1464)&gt;=0.5,G1464&gt;=4),3,IF(OR(N(F1464)&gt;=0.3,G1464=3),2,IF(OR(N(F1464)&gt;=0.1,G1464&gt;=1),1,0)))</f>
        <v/>
      </c>
      <c r="I1464" s="4">
        <f>CHOOSE(H1464+1,"Kein Risiko","Gering","Mittel","Hoch")</f>
        <v/>
      </c>
    </row>
    <row r="1465">
      <c r="A1465" s="4" t="n">
        <v>1461</v>
      </c>
      <c r="B1465" s="4" t="inlineStr">
        <is>
          <t>yes</t>
        </is>
      </c>
      <c r="C1465" s="4" t="inlineStr">
        <is>
          <t>Dilldorfer Allee</t>
        </is>
      </c>
      <c r="D1465" s="4" t="inlineStr">
        <is>
          <t>3c</t>
        </is>
      </c>
      <c r="E1465" s="13" t="n">
        <v>52.2</v>
      </c>
      <c r="F1465" s="12" t="n">
        <v>0.0099945068359375</v>
      </c>
      <c r="G1465" s="4" t="n">
        <v>0</v>
      </c>
      <c r="H1465" s="4">
        <f>IF(OR(N(F1465)&gt;=0.5,G1465&gt;=4),3,IF(OR(N(F1465)&gt;=0.3,G1465=3),2,IF(OR(N(F1465)&gt;=0.1,G1465&gt;=1),1,0)))</f>
        <v/>
      </c>
      <c r="I1465" s="4">
        <f>CHOOSE(H1465+1,"Kein Risiko","Gering","Mittel","Hoch")</f>
        <v/>
      </c>
    </row>
    <row r="1466">
      <c r="A1466" s="4" t="n">
        <v>1462</v>
      </c>
      <c r="B1466" s="4" t="inlineStr">
        <is>
          <t>yes</t>
        </is>
      </c>
      <c r="C1466" s="4" t="inlineStr">
        <is>
          <t>Dilldorfer Allee</t>
        </is>
      </c>
      <c r="D1466" s="4" t="inlineStr">
        <is>
          <t>5a</t>
        </is>
      </c>
      <c r="E1466" s="13" t="n">
        <v>51.8</v>
      </c>
      <c r="F1466" s="12" t="n">
        <v>0.04000091552734375</v>
      </c>
      <c r="G1466" s="4" t="n">
        <v>0</v>
      </c>
      <c r="H1466" s="4">
        <f>IF(OR(N(F1466)&gt;=0.5,G1466&gt;=4),3,IF(OR(N(F1466)&gt;=0.3,G1466=3),2,IF(OR(N(F1466)&gt;=0.1,G1466&gt;=1),1,0)))</f>
        <v/>
      </c>
      <c r="I1466" s="4">
        <f>CHOOSE(H1466+1,"Kein Risiko","Gering","Mittel","Hoch")</f>
        <v/>
      </c>
    </row>
    <row r="1467">
      <c r="A1467" s="4" t="n">
        <v>1463</v>
      </c>
      <c r="B1467" s="4" t="inlineStr">
        <is>
          <t>yes</t>
        </is>
      </c>
      <c r="C1467" s="4" t="inlineStr">
        <is>
          <t>Dilldorfer Allee</t>
        </is>
      </c>
      <c r="D1467" s="4" t="inlineStr">
        <is>
          <t>5b</t>
        </is>
      </c>
      <c r="E1467" s="13" t="n">
        <v>50.9</v>
      </c>
      <c r="F1467" s="12" t="n">
        <v>0</v>
      </c>
      <c r="G1467" s="4" t="n">
        <v>0</v>
      </c>
      <c r="H1467" s="4">
        <f>IF(OR(N(F1467)&gt;=0.5,G1467&gt;=4),3,IF(OR(N(F1467)&gt;=0.3,G1467=3),2,IF(OR(N(F1467)&gt;=0.1,G1467&gt;=1),1,0)))</f>
        <v/>
      </c>
      <c r="I1467" s="4">
        <f>CHOOSE(H1467+1,"Kein Risiko","Gering","Mittel","Hoch")</f>
        <v/>
      </c>
    </row>
    <row r="1468">
      <c r="A1468" s="4" t="n">
        <v>1464</v>
      </c>
      <c r="B1468" s="4" t="inlineStr">
        <is>
          <t>yes</t>
        </is>
      </c>
      <c r="C1468" s="4" t="inlineStr">
        <is>
          <t>Dilldorfer Allee</t>
        </is>
      </c>
      <c r="D1468" s="4" t="inlineStr">
        <is>
          <t>5c</t>
        </is>
      </c>
      <c r="E1468" s="13" t="n">
        <v>51.1</v>
      </c>
      <c r="F1468" s="12" t="n">
        <v>0</v>
      </c>
      <c r="G1468" s="4" t="n">
        <v>0</v>
      </c>
      <c r="H1468" s="4">
        <f>IF(OR(N(F1468)&gt;=0.5,G1468&gt;=4),3,IF(OR(N(F1468)&gt;=0.3,G1468=3),2,IF(OR(N(F1468)&gt;=0.1,G1468&gt;=1),1,0)))</f>
        <v/>
      </c>
      <c r="I1468" s="4">
        <f>CHOOSE(H1468+1,"Kein Risiko","Gering","Mittel","Hoch")</f>
        <v/>
      </c>
    </row>
    <row r="1469">
      <c r="A1469" s="4" t="n">
        <v>1465</v>
      </c>
      <c r="B1469" s="4" t="inlineStr">
        <is>
          <t>yes</t>
        </is>
      </c>
      <c r="C1469" s="4" t="inlineStr">
        <is>
          <t>Dilldorfer Allee</t>
        </is>
      </c>
      <c r="D1469" s="4" t="inlineStr">
        <is>
          <t>7a</t>
        </is>
      </c>
      <c r="E1469" s="13" t="n">
        <v>52.8</v>
      </c>
      <c r="F1469" s="12" t="n">
        <v>0</v>
      </c>
      <c r="G1469" s="4" t="n">
        <v>0</v>
      </c>
      <c r="H1469" s="4">
        <f>IF(OR(N(F1469)&gt;=0.5,G1469&gt;=4),3,IF(OR(N(F1469)&gt;=0.3,G1469=3),2,IF(OR(N(F1469)&gt;=0.1,G1469&gt;=1),1,0)))</f>
        <v/>
      </c>
      <c r="I1469" s="4">
        <f>CHOOSE(H1469+1,"Kein Risiko","Gering","Mittel","Hoch")</f>
        <v/>
      </c>
    </row>
    <row r="1470">
      <c r="A1470" s="4" t="n">
        <v>1466</v>
      </c>
      <c r="B1470" s="4" t="inlineStr">
        <is>
          <t>yes</t>
        </is>
      </c>
      <c r="C1470" s="4" t="inlineStr">
        <is>
          <t>Dilldorfer Allee</t>
        </is>
      </c>
      <c r="D1470" s="4" t="inlineStr">
        <is>
          <t>7b</t>
        </is>
      </c>
      <c r="E1470" s="13" t="n">
        <v>47.6</v>
      </c>
      <c r="F1470" s="12" t="n">
        <v>0</v>
      </c>
      <c r="G1470" s="4" t="n">
        <v>0</v>
      </c>
      <c r="H1470" s="4">
        <f>IF(OR(N(F1470)&gt;=0.5,G1470&gt;=4),3,IF(OR(N(F1470)&gt;=0.3,G1470=3),2,IF(OR(N(F1470)&gt;=0.1,G1470&gt;=1),1,0)))</f>
        <v/>
      </c>
      <c r="I1470" s="4">
        <f>CHOOSE(H1470+1,"Kein Risiko","Gering","Mittel","Hoch")</f>
        <v/>
      </c>
    </row>
    <row r="1471">
      <c r="A1471" s="4" t="n">
        <v>1467</v>
      </c>
      <c r="B1471" s="4" t="inlineStr">
        <is>
          <t>yes</t>
        </is>
      </c>
      <c r="C1471" s="4" t="inlineStr">
        <is>
          <t>Dilldorfer Allee</t>
        </is>
      </c>
      <c r="D1471" s="4" t="inlineStr">
        <is>
          <t>7c</t>
        </is>
      </c>
      <c r="E1471" s="13" t="n">
        <v>53</v>
      </c>
      <c r="F1471" s="12" t="n">
        <v>0</v>
      </c>
      <c r="G1471" s="4" t="n">
        <v>0</v>
      </c>
      <c r="H1471" s="4">
        <f>IF(OR(N(F1471)&gt;=0.5,G1471&gt;=4),3,IF(OR(N(F1471)&gt;=0.3,G1471=3),2,IF(OR(N(F1471)&gt;=0.1,G1471&gt;=1),1,0)))</f>
        <v/>
      </c>
      <c r="I1471" s="4">
        <f>CHOOSE(H1471+1,"Kein Risiko","Gering","Mittel","Hoch")</f>
        <v/>
      </c>
    </row>
    <row r="1472">
      <c r="A1472" s="4" t="n">
        <v>1468</v>
      </c>
      <c r="B1472" s="4" t="inlineStr">
        <is>
          <t>yes</t>
        </is>
      </c>
      <c r="C1472" s="4" t="inlineStr">
        <is>
          <t>Am Wieselbach</t>
        </is>
      </c>
      <c r="D1472" s="4" t="inlineStr">
        <is>
          <t>7</t>
        </is>
      </c>
      <c r="E1472" s="13" t="n">
        <v>247.2</v>
      </c>
      <c r="F1472" s="12" t="n"/>
      <c r="G1472" s="4" t="n">
        <v>0</v>
      </c>
      <c r="H1472" s="4">
        <f>IF(OR(N(F1472)&gt;=0.5,G1472&gt;=4),3,IF(OR(N(F1472)&gt;=0.3,G1472=3),2,IF(OR(N(F1472)&gt;=0.1,G1472&gt;=1),1,0)))</f>
        <v/>
      </c>
      <c r="I1472" s="4">
        <f>CHOOSE(H1472+1,"Kein Risiko","Gering","Mittel","Hoch")</f>
        <v/>
      </c>
    </row>
    <row r="1473">
      <c r="A1473" s="4" t="n">
        <v>1469</v>
      </c>
      <c r="B1473" s="4" t="inlineStr">
        <is>
          <t>yes</t>
        </is>
      </c>
      <c r="C1473" s="4" t="inlineStr">
        <is>
          <t>Am Dolmen</t>
        </is>
      </c>
      <c r="D1473" s="4" t="inlineStr">
        <is>
          <t>9</t>
        </is>
      </c>
      <c r="E1473" s="13" t="n">
        <v>72.7</v>
      </c>
      <c r="F1473" s="12" t="n"/>
      <c r="G1473" s="4" t="n">
        <v>0</v>
      </c>
      <c r="H1473" s="4">
        <f>IF(OR(N(F1473)&gt;=0.5,G1473&gt;=4),3,IF(OR(N(F1473)&gt;=0.3,G1473=3),2,IF(OR(N(F1473)&gt;=0.1,G1473&gt;=1),1,0)))</f>
        <v/>
      </c>
      <c r="I1473" s="4">
        <f>CHOOSE(H1473+1,"Kein Risiko","Gering","Mittel","Hoch")</f>
        <v/>
      </c>
    </row>
    <row r="1474">
      <c r="A1474" s="4" t="n">
        <v>1470</v>
      </c>
      <c r="B1474" s="4" t="inlineStr">
        <is>
          <t>yes</t>
        </is>
      </c>
      <c r="C1474" s="4" t="inlineStr">
        <is>
          <t>Am Wieselbach</t>
        </is>
      </c>
      <c r="D1474" s="4" t="inlineStr">
        <is>
          <t>9</t>
        </is>
      </c>
      <c r="E1474" s="13" t="n">
        <v>175.5</v>
      </c>
      <c r="F1474" s="12" t="n"/>
      <c r="G1474" s="4" t="n">
        <v>0</v>
      </c>
      <c r="H1474" s="4">
        <f>IF(OR(N(F1474)&gt;=0.5,G1474&gt;=4),3,IF(OR(N(F1474)&gt;=0.3,G1474=3),2,IF(OR(N(F1474)&gt;=0.1,G1474&gt;=1),1,0)))</f>
        <v/>
      </c>
      <c r="I1474" s="4">
        <f>CHOOSE(H1474+1,"Kein Risiko","Gering","Mittel","Hoch")</f>
        <v/>
      </c>
    </row>
    <row r="1475">
      <c r="A1475" s="4" t="n">
        <v>1471</v>
      </c>
      <c r="B1475" s="4" t="inlineStr">
        <is>
          <t>residential</t>
        </is>
      </c>
      <c r="C1475" s="4" t="inlineStr">
        <is>
          <t>Heidbergweg</t>
        </is>
      </c>
      <c r="D1475" s="4" t="inlineStr">
        <is>
          <t>16e</t>
        </is>
      </c>
      <c r="E1475" s="13" t="n">
        <v>133.4</v>
      </c>
      <c r="F1475" s="12" t="n">
        <v>0</v>
      </c>
      <c r="G1475" s="4" t="n">
        <v>0</v>
      </c>
      <c r="H1475" s="4">
        <f>IF(OR(N(F1475)&gt;=0.5,G1475&gt;=4),3,IF(OR(N(F1475)&gt;=0.3,G1475=3),2,IF(OR(N(F1475)&gt;=0.1,G1475&gt;=1),1,0)))</f>
        <v/>
      </c>
      <c r="I1475" s="4">
        <f>CHOOSE(H1475+1,"Kein Risiko","Gering","Mittel","Hoch")</f>
        <v/>
      </c>
    </row>
    <row r="1476">
      <c r="A1476" s="4" t="n">
        <v>1472</v>
      </c>
      <c r="B1476" s="4" t="inlineStr">
        <is>
          <t>service</t>
        </is>
      </c>
      <c r="C1476" s="4" t="inlineStr"/>
      <c r="D1476" s="4" t="inlineStr"/>
      <c r="E1476" s="13" t="n">
        <v>45.7</v>
      </c>
      <c r="F1476" s="12" t="n">
        <v>0</v>
      </c>
      <c r="G1476" s="4" t="n">
        <v>1</v>
      </c>
      <c r="H1476" s="4">
        <f>IF(OR(N(F1476)&gt;=0.5,G1476&gt;=4),3,IF(OR(N(F1476)&gt;=0.3,G1476=3),2,IF(OR(N(F1476)&gt;=0.1,G1476&gt;=1),1,0)))</f>
        <v/>
      </c>
      <c r="I1476" s="4">
        <f>CHOOSE(H1476+1,"Kein Risiko","Gering","Mittel","Hoch")</f>
        <v/>
      </c>
    </row>
    <row r="1477">
      <c r="A1477" s="4" t="n">
        <v>1473</v>
      </c>
      <c r="B1477" s="4" t="inlineStr">
        <is>
          <t>residential</t>
        </is>
      </c>
      <c r="C1477" s="4" t="inlineStr"/>
      <c r="D1477" s="4" t="inlineStr"/>
      <c r="E1477" s="13" t="n">
        <v>160.5</v>
      </c>
      <c r="F1477" s="12" t="n">
        <v>0.1899948120117188</v>
      </c>
      <c r="G1477" s="4" t="n">
        <v>1</v>
      </c>
      <c r="H1477" s="4">
        <f>IF(OR(N(F1477)&gt;=0.5,G1477&gt;=4),3,IF(OR(N(F1477)&gt;=0.3,G1477=3),2,IF(OR(N(F1477)&gt;=0.1,G1477&gt;=1),1,0)))</f>
        <v/>
      </c>
      <c r="I1477" s="4">
        <f>CHOOSE(H1477+1,"Kein Risiko","Gering","Mittel","Hoch")</f>
        <v/>
      </c>
    </row>
    <row r="1478">
      <c r="A1478" s="4" t="n">
        <v>1474</v>
      </c>
      <c r="B1478" s="4" t="inlineStr">
        <is>
          <t>residential</t>
        </is>
      </c>
      <c r="C1478" s="4" t="inlineStr"/>
      <c r="D1478" s="4" t="inlineStr"/>
      <c r="E1478" s="13" t="n">
        <v>160.6</v>
      </c>
      <c r="F1478" s="12" t="n">
        <v>0.5200042724609375</v>
      </c>
      <c r="G1478" s="4" t="n">
        <v>0</v>
      </c>
      <c r="H1478" s="4">
        <f>IF(OR(N(F1478)&gt;=0.5,G1478&gt;=4),3,IF(OR(N(F1478)&gt;=0.3,G1478=3),2,IF(OR(N(F1478)&gt;=0.1,G1478&gt;=1),1,0)))</f>
        <v/>
      </c>
      <c r="I1478" s="4">
        <f>CHOOSE(H1478+1,"Kein Risiko","Gering","Mittel","Hoch")</f>
        <v/>
      </c>
    </row>
    <row r="1479">
      <c r="A1479" s="4" t="n">
        <v>1475</v>
      </c>
      <c r="B1479" s="4" t="inlineStr">
        <is>
          <t>yes</t>
        </is>
      </c>
      <c r="C1479" s="4" t="inlineStr">
        <is>
          <t>Heidbergweg</t>
        </is>
      </c>
      <c r="D1479" s="4" t="inlineStr">
        <is>
          <t>31</t>
        </is>
      </c>
      <c r="E1479" s="13" t="n">
        <v>784.6</v>
      </c>
      <c r="F1479" s="12" t="n">
        <v>0.75</v>
      </c>
      <c r="G1479" s="4" t="n">
        <v>1</v>
      </c>
      <c r="H1479" s="4">
        <f>IF(OR(N(F1479)&gt;=0.5,G1479&gt;=4),3,IF(OR(N(F1479)&gt;=0.3,G1479=3),2,IF(OR(N(F1479)&gt;=0.1,G1479&gt;=1),1,0)))</f>
        <v/>
      </c>
      <c r="I1479" s="4">
        <f>CHOOSE(H1479+1,"Kein Risiko","Gering","Mittel","Hoch")</f>
        <v/>
      </c>
    </row>
    <row r="1480">
      <c r="A1480" s="4" t="n">
        <v>1476</v>
      </c>
      <c r="B1480" s="4" t="inlineStr">
        <is>
          <t>yes</t>
        </is>
      </c>
      <c r="C1480" s="4" t="inlineStr">
        <is>
          <t>Am Seebogen</t>
        </is>
      </c>
      <c r="D1480" s="4" t="inlineStr">
        <is>
          <t>1</t>
        </is>
      </c>
      <c r="E1480" s="13" t="n">
        <v>67.59999999999999</v>
      </c>
      <c r="F1480" s="12" t="n">
        <v>0.009998321533203125</v>
      </c>
      <c r="G1480" s="4" t="n">
        <v>0</v>
      </c>
      <c r="H1480" s="4">
        <f>IF(OR(N(F1480)&gt;=0.5,G1480&gt;=4),3,IF(OR(N(F1480)&gt;=0.3,G1480=3),2,IF(OR(N(F1480)&gt;=0.1,G1480&gt;=1),1,0)))</f>
        <v/>
      </c>
      <c r="I1480" s="4">
        <f>CHOOSE(H1480+1,"Kein Risiko","Gering","Mittel","Hoch")</f>
        <v/>
      </c>
    </row>
    <row r="1481">
      <c r="A1481" s="4" t="n">
        <v>1477</v>
      </c>
      <c r="B1481" s="4" t="inlineStr">
        <is>
          <t>yes</t>
        </is>
      </c>
      <c r="C1481" s="4" t="inlineStr">
        <is>
          <t>Am Seebogen</t>
        </is>
      </c>
      <c r="D1481" s="4" t="inlineStr">
        <is>
          <t>60</t>
        </is>
      </c>
      <c r="E1481" s="13" t="n">
        <v>326.6</v>
      </c>
      <c r="F1481" s="12" t="n">
        <v>1.169998168945312</v>
      </c>
      <c r="G1481" s="4" t="n">
        <v>0</v>
      </c>
      <c r="H1481" s="4">
        <f>IF(OR(N(F1481)&gt;=0.5,G1481&gt;=4),3,IF(OR(N(F1481)&gt;=0.3,G1481=3),2,IF(OR(N(F1481)&gt;=0.1,G1481&gt;=1),1,0)))</f>
        <v/>
      </c>
      <c r="I1481" s="4">
        <f>CHOOSE(H1481+1,"Kein Risiko","Gering","Mittel","Hoch")</f>
        <v/>
      </c>
    </row>
    <row r="1482">
      <c r="A1482" s="4" t="n">
        <v>1478</v>
      </c>
      <c r="B1482" s="4" t="inlineStr">
        <is>
          <t>semidetached_house</t>
        </is>
      </c>
      <c r="C1482" s="4" t="inlineStr">
        <is>
          <t>Am Seebogen</t>
        </is>
      </c>
      <c r="D1482" s="4" t="inlineStr">
        <is>
          <t>53</t>
        </is>
      </c>
      <c r="E1482" s="13" t="n">
        <v>66.40000000000001</v>
      </c>
      <c r="F1482" s="12" t="n">
        <v>0.009998321533203125</v>
      </c>
      <c r="G1482" s="4" t="n">
        <v>0</v>
      </c>
      <c r="H1482" s="4">
        <f>IF(OR(N(F1482)&gt;=0.5,G1482&gt;=4),3,IF(OR(N(F1482)&gt;=0.3,G1482=3),2,IF(OR(N(F1482)&gt;=0.1,G1482&gt;=1),1,0)))</f>
        <v/>
      </c>
      <c r="I1482" s="4">
        <f>CHOOSE(H1482+1,"Kein Risiko","Gering","Mittel","Hoch")</f>
        <v/>
      </c>
    </row>
    <row r="1483">
      <c r="A1483" s="4" t="n">
        <v>1479</v>
      </c>
      <c r="B1483" s="4" t="inlineStr">
        <is>
          <t>detached</t>
        </is>
      </c>
      <c r="C1483" s="4" t="inlineStr">
        <is>
          <t>Am Seebogen</t>
        </is>
      </c>
      <c r="D1483" s="4" t="inlineStr">
        <is>
          <t>24</t>
        </is>
      </c>
      <c r="E1483" s="13" t="n">
        <v>291.8</v>
      </c>
      <c r="F1483" s="12" t="n">
        <v>0.8199996948242188</v>
      </c>
      <c r="G1483" s="4" t="n">
        <v>0</v>
      </c>
      <c r="H1483" s="4">
        <f>IF(OR(N(F1483)&gt;=0.5,G1483&gt;=4),3,IF(OR(N(F1483)&gt;=0.3,G1483=3),2,IF(OR(N(F1483)&gt;=0.1,G1483&gt;=1),1,0)))</f>
        <v/>
      </c>
      <c r="I1483" s="4">
        <f>CHOOSE(H1483+1,"Kein Risiko","Gering","Mittel","Hoch")</f>
        <v/>
      </c>
    </row>
    <row r="1484">
      <c r="A1484" s="4" t="n">
        <v>1480</v>
      </c>
      <c r="B1484" s="4" t="inlineStr">
        <is>
          <t>semidetached_house</t>
        </is>
      </c>
      <c r="C1484" s="4" t="inlineStr">
        <is>
          <t>Am Seebogen</t>
        </is>
      </c>
      <c r="D1484" s="4" t="inlineStr">
        <is>
          <t>37</t>
        </is>
      </c>
      <c r="E1484" s="13" t="n">
        <v>66.3</v>
      </c>
      <c r="F1484" s="12" t="n">
        <v>0</v>
      </c>
      <c r="G1484" s="4" t="n">
        <v>0</v>
      </c>
      <c r="H1484" s="4">
        <f>IF(OR(N(F1484)&gt;=0.5,G1484&gt;=4),3,IF(OR(N(F1484)&gt;=0.3,G1484=3),2,IF(OR(N(F1484)&gt;=0.1,G1484&gt;=1),1,0)))</f>
        <v/>
      </c>
      <c r="I1484" s="4">
        <f>CHOOSE(H1484+1,"Kein Risiko","Gering","Mittel","Hoch")</f>
        <v/>
      </c>
    </row>
    <row r="1485">
      <c r="A1485" s="4" t="n">
        <v>1481</v>
      </c>
      <c r="B1485" s="4" t="inlineStr">
        <is>
          <t>yes</t>
        </is>
      </c>
      <c r="C1485" s="4" t="inlineStr">
        <is>
          <t>Am Seebogen</t>
        </is>
      </c>
      <c r="D1485" s="4" t="inlineStr">
        <is>
          <t>19</t>
        </is>
      </c>
      <c r="E1485" s="13" t="n">
        <v>64.3</v>
      </c>
      <c r="F1485" s="12" t="n">
        <v>0</v>
      </c>
      <c r="G1485" s="4" t="n">
        <v>0</v>
      </c>
      <c r="H1485" s="4">
        <f>IF(OR(N(F1485)&gt;=0.5,G1485&gt;=4),3,IF(OR(N(F1485)&gt;=0.3,G1485=3),2,IF(OR(N(F1485)&gt;=0.1,G1485&gt;=1),1,0)))</f>
        <v/>
      </c>
      <c r="I1485" s="4">
        <f>CHOOSE(H1485+1,"Kein Risiko","Gering","Mittel","Hoch")</f>
        <v/>
      </c>
    </row>
    <row r="1486">
      <c r="A1486" s="4" t="n">
        <v>1482</v>
      </c>
      <c r="B1486" s="4" t="inlineStr">
        <is>
          <t>yes</t>
        </is>
      </c>
      <c r="C1486" s="4" t="inlineStr">
        <is>
          <t>Am Seebogen</t>
        </is>
      </c>
      <c r="D1486" s="4" t="inlineStr">
        <is>
          <t>7</t>
        </is>
      </c>
      <c r="E1486" s="13" t="n">
        <v>66.09999999999999</v>
      </c>
      <c r="F1486" s="12" t="n">
        <v>0</v>
      </c>
      <c r="G1486" s="4" t="n">
        <v>0</v>
      </c>
      <c r="H1486" s="4">
        <f>IF(OR(N(F1486)&gt;=0.5,G1486&gt;=4),3,IF(OR(N(F1486)&gt;=0.3,G1486=3),2,IF(OR(N(F1486)&gt;=0.1,G1486&gt;=1),1,0)))</f>
        <v/>
      </c>
      <c r="I1486" s="4">
        <f>CHOOSE(H1486+1,"Kein Risiko","Gering","Mittel","Hoch")</f>
        <v/>
      </c>
    </row>
    <row r="1487">
      <c r="A1487" s="4" t="n">
        <v>1483</v>
      </c>
      <c r="B1487" s="4" t="inlineStr">
        <is>
          <t>yes</t>
        </is>
      </c>
      <c r="C1487" s="4" t="inlineStr">
        <is>
          <t>Am Seebogen</t>
        </is>
      </c>
      <c r="D1487" s="4" t="inlineStr">
        <is>
          <t>23</t>
        </is>
      </c>
      <c r="E1487" s="13" t="n">
        <v>64.5</v>
      </c>
      <c r="F1487" s="12" t="n">
        <v>0</v>
      </c>
      <c r="G1487" s="4" t="n">
        <v>0</v>
      </c>
      <c r="H1487" s="4">
        <f>IF(OR(N(F1487)&gt;=0.5,G1487&gt;=4),3,IF(OR(N(F1487)&gt;=0.3,G1487=3),2,IF(OR(N(F1487)&gt;=0.1,G1487&gt;=1),1,0)))</f>
        <v/>
      </c>
      <c r="I1487" s="4">
        <f>CHOOSE(H1487+1,"Kein Risiko","Gering","Mittel","Hoch")</f>
        <v/>
      </c>
    </row>
    <row r="1488">
      <c r="A1488" s="4" t="n">
        <v>1484</v>
      </c>
      <c r="B1488" s="4" t="inlineStr">
        <is>
          <t>yes</t>
        </is>
      </c>
      <c r="C1488" s="4" t="inlineStr">
        <is>
          <t>Am Seebogen</t>
        </is>
      </c>
      <c r="D1488" s="4" t="inlineStr">
        <is>
          <t>11</t>
        </is>
      </c>
      <c r="E1488" s="13" t="n">
        <v>65.8</v>
      </c>
      <c r="F1488" s="12" t="n">
        <v>0</v>
      </c>
      <c r="G1488" s="4" t="n">
        <v>0</v>
      </c>
      <c r="H1488" s="4">
        <f>IF(OR(N(F1488)&gt;=0.5,G1488&gt;=4),3,IF(OR(N(F1488)&gt;=0.3,G1488=3),2,IF(OR(N(F1488)&gt;=0.1,G1488&gt;=1),1,0)))</f>
        <v/>
      </c>
      <c r="I1488" s="4">
        <f>CHOOSE(H1488+1,"Kein Risiko","Gering","Mittel","Hoch")</f>
        <v/>
      </c>
    </row>
    <row r="1489">
      <c r="A1489" s="4" t="n">
        <v>1485</v>
      </c>
      <c r="B1489" s="4" t="inlineStr">
        <is>
          <t>detached</t>
        </is>
      </c>
      <c r="C1489" s="4" t="inlineStr">
        <is>
          <t>Am Seebogen</t>
        </is>
      </c>
      <c r="D1489" s="4" t="inlineStr">
        <is>
          <t>18</t>
        </is>
      </c>
      <c r="E1489" s="13" t="n">
        <v>272.5</v>
      </c>
      <c r="F1489" s="12" t="n">
        <v>0.06999969482421875</v>
      </c>
      <c r="G1489" s="4" t="n">
        <v>0</v>
      </c>
      <c r="H1489" s="4">
        <f>IF(OR(N(F1489)&gt;=0.5,G1489&gt;=4),3,IF(OR(N(F1489)&gt;=0.3,G1489=3),2,IF(OR(N(F1489)&gt;=0.1,G1489&gt;=1),1,0)))</f>
        <v/>
      </c>
      <c r="I1489" s="4">
        <f>CHOOSE(H1489+1,"Kein Risiko","Gering","Mittel","Hoch")</f>
        <v/>
      </c>
    </row>
    <row r="1490">
      <c r="A1490" s="4" t="n">
        <v>1486</v>
      </c>
      <c r="B1490" s="4" t="inlineStr">
        <is>
          <t>yes</t>
        </is>
      </c>
      <c r="C1490" s="4" t="inlineStr">
        <is>
          <t>Am Seebogen</t>
        </is>
      </c>
      <c r="D1490" s="4" t="inlineStr">
        <is>
          <t>21</t>
        </is>
      </c>
      <c r="E1490" s="13" t="n">
        <v>64.59999999999999</v>
      </c>
      <c r="F1490" s="12" t="n">
        <v>0</v>
      </c>
      <c r="G1490" s="4" t="n">
        <v>0</v>
      </c>
      <c r="H1490" s="4">
        <f>IF(OR(N(F1490)&gt;=0.5,G1490&gt;=4),3,IF(OR(N(F1490)&gt;=0.3,G1490=3),2,IF(OR(N(F1490)&gt;=0.1,G1490&gt;=1),1,0)))</f>
        <v/>
      </c>
      <c r="I1490" s="4">
        <f>CHOOSE(H1490+1,"Kein Risiko","Gering","Mittel","Hoch")</f>
        <v/>
      </c>
    </row>
    <row r="1491">
      <c r="A1491" s="4" t="n">
        <v>1487</v>
      </c>
      <c r="B1491" s="4" t="inlineStr">
        <is>
          <t>yes</t>
        </is>
      </c>
      <c r="C1491" s="4" t="inlineStr">
        <is>
          <t>Am Seebogen</t>
        </is>
      </c>
      <c r="D1491" s="4" t="inlineStr">
        <is>
          <t>9</t>
        </is>
      </c>
      <c r="E1491" s="13" t="n">
        <v>65.90000000000001</v>
      </c>
      <c r="F1491" s="12" t="n">
        <v>0</v>
      </c>
      <c r="G1491" s="4" t="n">
        <v>0</v>
      </c>
      <c r="H1491" s="4">
        <f>IF(OR(N(F1491)&gt;=0.5,G1491&gt;=4),3,IF(OR(N(F1491)&gt;=0.3,G1491=3),2,IF(OR(N(F1491)&gt;=0.1,G1491&gt;=1),1,0)))</f>
        <v/>
      </c>
      <c r="I1491" s="4">
        <f>CHOOSE(H1491+1,"Kein Risiko","Gering","Mittel","Hoch")</f>
        <v/>
      </c>
    </row>
    <row r="1492">
      <c r="A1492" s="4" t="n">
        <v>1488</v>
      </c>
      <c r="B1492" s="4" t="inlineStr">
        <is>
          <t>semidetached_house</t>
        </is>
      </c>
      <c r="C1492" s="4" t="inlineStr">
        <is>
          <t>Am Seebogen</t>
        </is>
      </c>
      <c r="D1492" s="4" t="inlineStr">
        <is>
          <t>41</t>
        </is>
      </c>
      <c r="E1492" s="13" t="n">
        <v>66.3</v>
      </c>
      <c r="F1492" s="12" t="n">
        <v>0.02000045776367188</v>
      </c>
      <c r="G1492" s="4" t="n">
        <v>0</v>
      </c>
      <c r="H1492" s="4">
        <f>IF(OR(N(F1492)&gt;=0.5,G1492&gt;=4),3,IF(OR(N(F1492)&gt;=0.3,G1492=3),2,IF(OR(N(F1492)&gt;=0.1,G1492&gt;=1),1,0)))</f>
        <v/>
      </c>
      <c r="I1492" s="4">
        <f>CHOOSE(H1492+1,"Kein Risiko","Gering","Mittel","Hoch")</f>
        <v/>
      </c>
    </row>
    <row r="1493">
      <c r="A1493" s="4" t="n">
        <v>1489</v>
      </c>
      <c r="B1493" s="4" t="inlineStr">
        <is>
          <t>yes</t>
        </is>
      </c>
      <c r="C1493" s="4" t="inlineStr">
        <is>
          <t>Am Seebogen</t>
        </is>
      </c>
      <c r="D1493" s="4" t="inlineStr">
        <is>
          <t>25</t>
        </is>
      </c>
      <c r="E1493" s="13" t="n">
        <v>66.3</v>
      </c>
      <c r="F1493" s="12" t="n">
        <v>0</v>
      </c>
      <c r="G1493" s="4" t="n">
        <v>0</v>
      </c>
      <c r="H1493" s="4">
        <f>IF(OR(N(F1493)&gt;=0.5,G1493&gt;=4),3,IF(OR(N(F1493)&gt;=0.3,G1493=3),2,IF(OR(N(F1493)&gt;=0.1,G1493&gt;=1),1,0)))</f>
        <v/>
      </c>
      <c r="I1493" s="4">
        <f>CHOOSE(H1493+1,"Kein Risiko","Gering","Mittel","Hoch")</f>
        <v/>
      </c>
    </row>
    <row r="1494">
      <c r="A1494" s="4" t="n">
        <v>1490</v>
      </c>
      <c r="B1494" s="4" t="inlineStr">
        <is>
          <t>semidetached_house</t>
        </is>
      </c>
      <c r="C1494" s="4" t="inlineStr">
        <is>
          <t>Am Seebogen</t>
        </is>
      </c>
      <c r="D1494" s="4" t="inlineStr">
        <is>
          <t>49</t>
        </is>
      </c>
      <c r="E1494" s="13" t="n">
        <v>66.40000000000001</v>
      </c>
      <c r="F1494" s="12" t="n">
        <v>0.02000045776367188</v>
      </c>
      <c r="G1494" s="4" t="n">
        <v>0</v>
      </c>
      <c r="H1494" s="4">
        <f>IF(OR(N(F1494)&gt;=0.5,G1494&gt;=4),3,IF(OR(N(F1494)&gt;=0.3,G1494=3),2,IF(OR(N(F1494)&gt;=0.1,G1494&gt;=1),1,0)))</f>
        <v/>
      </c>
      <c r="I1494" s="4">
        <f>CHOOSE(H1494+1,"Kein Risiko","Gering","Mittel","Hoch")</f>
        <v/>
      </c>
    </row>
    <row r="1495">
      <c r="A1495" s="4" t="n">
        <v>1491</v>
      </c>
      <c r="B1495" s="4" t="inlineStr">
        <is>
          <t>yes</t>
        </is>
      </c>
      <c r="C1495" s="4" t="inlineStr">
        <is>
          <t>Am Seebogen</t>
        </is>
      </c>
      <c r="D1495" s="4" t="inlineStr">
        <is>
          <t>13</t>
        </is>
      </c>
      <c r="E1495" s="13" t="n">
        <v>67.90000000000001</v>
      </c>
      <c r="F1495" s="12" t="n">
        <v>0.04000091552734375</v>
      </c>
      <c r="G1495" s="4" t="n">
        <v>0</v>
      </c>
      <c r="H1495" s="4">
        <f>IF(OR(N(F1495)&gt;=0.5,G1495&gt;=4),3,IF(OR(N(F1495)&gt;=0.3,G1495=3),2,IF(OR(N(F1495)&gt;=0.1,G1495&gt;=1),1,0)))</f>
        <v/>
      </c>
      <c r="I1495" s="4">
        <f>CHOOSE(H1495+1,"Kein Risiko","Gering","Mittel","Hoch")</f>
        <v/>
      </c>
    </row>
    <row r="1496">
      <c r="A1496" s="4" t="n">
        <v>1492</v>
      </c>
      <c r="B1496" s="4" t="inlineStr">
        <is>
          <t>yes</t>
        </is>
      </c>
      <c r="C1496" s="4" t="inlineStr">
        <is>
          <t>Am Seebogen</t>
        </is>
      </c>
      <c r="D1496" s="4" t="inlineStr">
        <is>
          <t>31</t>
        </is>
      </c>
      <c r="E1496" s="13" t="n">
        <v>64.5</v>
      </c>
      <c r="F1496" s="12" t="n">
        <v>0</v>
      </c>
      <c r="G1496" s="4" t="n">
        <v>0</v>
      </c>
      <c r="H1496" s="4">
        <f>IF(OR(N(F1496)&gt;=0.5,G1496&gt;=4),3,IF(OR(N(F1496)&gt;=0.3,G1496=3),2,IF(OR(N(F1496)&gt;=0.1,G1496&gt;=1),1,0)))</f>
        <v/>
      </c>
      <c r="I1496" s="4">
        <f>CHOOSE(H1496+1,"Kein Risiko","Gering","Mittel","Hoch")</f>
        <v/>
      </c>
    </row>
    <row r="1497">
      <c r="A1497" s="4" t="n">
        <v>1493</v>
      </c>
      <c r="B1497" s="4" t="inlineStr">
        <is>
          <t>yes</t>
        </is>
      </c>
      <c r="C1497" s="4" t="inlineStr">
        <is>
          <t>Am Seebogen</t>
        </is>
      </c>
      <c r="D1497" s="4" t="inlineStr">
        <is>
          <t>27</t>
        </is>
      </c>
      <c r="E1497" s="13" t="n">
        <v>66.40000000000001</v>
      </c>
      <c r="F1497" s="12" t="n">
        <v>0</v>
      </c>
      <c r="G1497" s="4" t="n">
        <v>2</v>
      </c>
      <c r="H1497" s="4">
        <f>IF(OR(N(F1497)&gt;=0.5,G1497&gt;=4),3,IF(OR(N(F1497)&gt;=0.3,G1497=3),2,IF(OR(N(F1497)&gt;=0.1,G1497&gt;=1),1,0)))</f>
        <v/>
      </c>
      <c r="I1497" s="4">
        <f>CHOOSE(H1497+1,"Kein Risiko","Gering","Mittel","Hoch")</f>
        <v/>
      </c>
    </row>
    <row r="1498">
      <c r="A1498" s="4" t="n">
        <v>1494</v>
      </c>
      <c r="B1498" s="4" t="inlineStr">
        <is>
          <t>semidetached_house</t>
        </is>
      </c>
      <c r="C1498" s="4" t="inlineStr">
        <is>
          <t>Am Seebogen</t>
        </is>
      </c>
      <c r="D1498" s="4" t="inlineStr">
        <is>
          <t>45</t>
        </is>
      </c>
      <c r="E1498" s="13" t="n">
        <v>66.3</v>
      </c>
      <c r="F1498" s="12" t="n">
        <v>0.02000045776367188</v>
      </c>
      <c r="G1498" s="4" t="n">
        <v>0</v>
      </c>
      <c r="H1498" s="4">
        <f>IF(OR(N(F1498)&gt;=0.5,G1498&gt;=4),3,IF(OR(N(F1498)&gt;=0.3,G1498=3),2,IF(OR(N(F1498)&gt;=0.1,G1498&gt;=1),1,0)))</f>
        <v/>
      </c>
      <c r="I1498" s="4">
        <f>CHOOSE(H1498+1,"Kein Risiko","Gering","Mittel","Hoch")</f>
        <v/>
      </c>
    </row>
    <row r="1499">
      <c r="A1499" s="4" t="n">
        <v>1495</v>
      </c>
      <c r="B1499" s="4" t="inlineStr">
        <is>
          <t>yes</t>
        </is>
      </c>
      <c r="C1499" s="4" t="inlineStr">
        <is>
          <t>Am Seebogen</t>
        </is>
      </c>
      <c r="D1499" s="4" t="inlineStr">
        <is>
          <t>62</t>
        </is>
      </c>
      <c r="E1499" s="13" t="n">
        <v>304.4</v>
      </c>
      <c r="F1499" s="12" t="n">
        <v>0.09000015258789062</v>
      </c>
      <c r="G1499" s="4" t="n">
        <v>2</v>
      </c>
      <c r="H1499" s="4">
        <f>IF(OR(N(F1499)&gt;=0.5,G1499&gt;=4),3,IF(OR(N(F1499)&gt;=0.3,G1499=3),2,IF(OR(N(F1499)&gt;=0.1,G1499&gt;=1),1,0)))</f>
        <v/>
      </c>
      <c r="I1499" s="4">
        <f>CHOOSE(H1499+1,"Kein Risiko","Gering","Mittel","Hoch")</f>
        <v/>
      </c>
    </row>
    <row r="1500">
      <c r="A1500" s="4" t="n">
        <v>1496</v>
      </c>
      <c r="B1500" s="4" t="inlineStr">
        <is>
          <t>semidetached_house</t>
        </is>
      </c>
      <c r="C1500" s="4" t="inlineStr">
        <is>
          <t>Am Seebogen</t>
        </is>
      </c>
      <c r="D1500" s="4" t="inlineStr">
        <is>
          <t>57</t>
        </is>
      </c>
      <c r="E1500" s="13" t="n">
        <v>66.3</v>
      </c>
      <c r="F1500" s="12" t="n">
        <v>0</v>
      </c>
      <c r="G1500" s="4" t="n">
        <v>0</v>
      </c>
      <c r="H1500" s="4">
        <f>IF(OR(N(F1500)&gt;=0.5,G1500&gt;=4),3,IF(OR(N(F1500)&gt;=0.3,G1500=3),2,IF(OR(N(F1500)&gt;=0.1,G1500&gt;=1),1,0)))</f>
        <v/>
      </c>
      <c r="I1500" s="4">
        <f>CHOOSE(H1500+1,"Kein Risiko","Gering","Mittel","Hoch")</f>
        <v/>
      </c>
    </row>
    <row r="1501">
      <c r="A1501" s="4" t="n">
        <v>1497</v>
      </c>
      <c r="B1501" s="4" t="inlineStr">
        <is>
          <t>yes</t>
        </is>
      </c>
      <c r="C1501" s="4" t="inlineStr">
        <is>
          <t>Am Seebogen</t>
        </is>
      </c>
      <c r="D1501" s="4" t="inlineStr">
        <is>
          <t>33</t>
        </is>
      </c>
      <c r="E1501" s="13" t="n">
        <v>66.5</v>
      </c>
      <c r="F1501" s="12" t="n">
        <v>0</v>
      </c>
      <c r="G1501" s="4" t="n">
        <v>0</v>
      </c>
      <c r="H1501" s="4">
        <f>IF(OR(N(F1501)&gt;=0.5,G1501&gt;=4),3,IF(OR(N(F1501)&gt;=0.3,G1501=3),2,IF(OR(N(F1501)&gt;=0.1,G1501&gt;=1),1,0)))</f>
        <v/>
      </c>
      <c r="I1501" s="4">
        <f>CHOOSE(H1501+1,"Kein Risiko","Gering","Mittel","Hoch")</f>
        <v/>
      </c>
    </row>
    <row r="1502">
      <c r="A1502" s="4" t="n">
        <v>1498</v>
      </c>
      <c r="B1502" s="4" t="inlineStr">
        <is>
          <t>yes</t>
        </is>
      </c>
      <c r="C1502" s="4" t="inlineStr">
        <is>
          <t>Am Seebogen</t>
        </is>
      </c>
      <c r="D1502" s="4" t="inlineStr">
        <is>
          <t>29</t>
        </is>
      </c>
      <c r="E1502" s="13" t="n">
        <v>64.3</v>
      </c>
      <c r="F1502" s="12" t="n">
        <v>0</v>
      </c>
      <c r="G1502" s="4" t="n">
        <v>0</v>
      </c>
      <c r="H1502" s="4">
        <f>IF(OR(N(F1502)&gt;=0.5,G1502&gt;=4),3,IF(OR(N(F1502)&gt;=0.3,G1502=3),2,IF(OR(N(F1502)&gt;=0.1,G1502&gt;=1),1,0)))</f>
        <v/>
      </c>
      <c r="I1502" s="4">
        <f>CHOOSE(H1502+1,"Kein Risiko","Gering","Mittel","Hoch")</f>
        <v/>
      </c>
    </row>
    <row r="1503">
      <c r="A1503" s="4" t="n">
        <v>1499</v>
      </c>
      <c r="B1503" s="4" t="inlineStr">
        <is>
          <t>detached</t>
        </is>
      </c>
      <c r="C1503" s="4" t="inlineStr">
        <is>
          <t>Am Seebogen</t>
        </is>
      </c>
      <c r="D1503" s="4" t="inlineStr">
        <is>
          <t>16</t>
        </is>
      </c>
      <c r="E1503" s="13" t="n">
        <v>274.3</v>
      </c>
      <c r="F1503" s="12" t="n">
        <v>0.04000091552734375</v>
      </c>
      <c r="G1503" s="4" t="n">
        <v>0</v>
      </c>
      <c r="H1503" s="4">
        <f>IF(OR(N(F1503)&gt;=0.5,G1503&gt;=4),3,IF(OR(N(F1503)&gt;=0.3,G1503=3),2,IF(OR(N(F1503)&gt;=0.1,G1503&gt;=1),1,0)))</f>
        <v/>
      </c>
      <c r="I1503" s="4">
        <f>CHOOSE(H1503+1,"Kein Risiko","Gering","Mittel","Hoch")</f>
        <v/>
      </c>
    </row>
    <row r="1504">
      <c r="A1504" s="4" t="n">
        <v>1500</v>
      </c>
      <c r="B1504" s="4" t="inlineStr">
        <is>
          <t>yes</t>
        </is>
      </c>
      <c r="C1504" s="4" t="inlineStr">
        <is>
          <t>Am Seebogen</t>
        </is>
      </c>
      <c r="D1504" s="4" t="inlineStr">
        <is>
          <t>15</t>
        </is>
      </c>
      <c r="E1504" s="13" t="n">
        <v>66.09999999999999</v>
      </c>
      <c r="F1504" s="12" t="n">
        <v>0</v>
      </c>
      <c r="G1504" s="4" t="n">
        <v>0</v>
      </c>
      <c r="H1504" s="4">
        <f>IF(OR(N(F1504)&gt;=0.5,G1504&gt;=4),3,IF(OR(N(F1504)&gt;=0.3,G1504=3),2,IF(OR(N(F1504)&gt;=0.1,G1504&gt;=1),1,0)))</f>
        <v/>
      </c>
      <c r="I1504" s="4">
        <f>CHOOSE(H1504+1,"Kein Risiko","Gering","Mittel","Hoch")</f>
        <v/>
      </c>
    </row>
    <row r="1505">
      <c r="A1505" s="4" t="n">
        <v>1501</v>
      </c>
      <c r="B1505" s="4" t="inlineStr">
        <is>
          <t>yes</t>
        </is>
      </c>
      <c r="C1505" s="4" t="inlineStr">
        <is>
          <t>Am Seebogen</t>
        </is>
      </c>
      <c r="D1505" s="4" t="inlineStr">
        <is>
          <t>3</t>
        </is>
      </c>
      <c r="E1505" s="13" t="n">
        <v>65.8</v>
      </c>
      <c r="F1505" s="12" t="n">
        <v>0</v>
      </c>
      <c r="G1505" s="4" t="n">
        <v>0</v>
      </c>
      <c r="H1505" s="4">
        <f>IF(OR(N(F1505)&gt;=0.5,G1505&gt;=4),3,IF(OR(N(F1505)&gt;=0.3,G1505=3),2,IF(OR(N(F1505)&gt;=0.1,G1505&gt;=1),1,0)))</f>
        <v/>
      </c>
      <c r="I1505" s="4">
        <f>CHOOSE(H1505+1,"Kein Risiko","Gering","Mittel","Hoch")</f>
        <v/>
      </c>
    </row>
    <row r="1506">
      <c r="A1506" s="4" t="n">
        <v>1502</v>
      </c>
      <c r="B1506" s="4" t="inlineStr">
        <is>
          <t>yes</t>
        </is>
      </c>
      <c r="C1506" s="4" t="inlineStr">
        <is>
          <t>Am Seebogen</t>
        </is>
      </c>
      <c r="D1506" s="4" t="inlineStr">
        <is>
          <t>17</t>
        </is>
      </c>
      <c r="E1506" s="13" t="n">
        <v>64.5</v>
      </c>
      <c r="F1506" s="12" t="n">
        <v>0</v>
      </c>
      <c r="G1506" s="4" t="n">
        <v>0</v>
      </c>
      <c r="H1506" s="4">
        <f>IF(OR(N(F1506)&gt;=0.5,G1506&gt;=4),3,IF(OR(N(F1506)&gt;=0.3,G1506=3),2,IF(OR(N(F1506)&gt;=0.1,G1506&gt;=1),1,0)))</f>
        <v/>
      </c>
      <c r="I1506" s="4">
        <f>CHOOSE(H1506+1,"Kein Risiko","Gering","Mittel","Hoch")</f>
        <v/>
      </c>
    </row>
    <row r="1507">
      <c r="A1507" s="4" t="n">
        <v>1503</v>
      </c>
      <c r="B1507" s="4" t="inlineStr">
        <is>
          <t>yes</t>
        </is>
      </c>
      <c r="C1507" s="4" t="inlineStr">
        <is>
          <t>Am Seebogen</t>
        </is>
      </c>
      <c r="D1507" s="4" t="inlineStr">
        <is>
          <t>5</t>
        </is>
      </c>
      <c r="E1507" s="13" t="n">
        <v>65.8</v>
      </c>
      <c r="F1507" s="12" t="n">
        <v>0</v>
      </c>
      <c r="G1507" s="4" t="n">
        <v>0</v>
      </c>
      <c r="H1507" s="4">
        <f>IF(OR(N(F1507)&gt;=0.5,G1507&gt;=4),3,IF(OR(N(F1507)&gt;=0.3,G1507=3),2,IF(OR(N(F1507)&gt;=0.1,G1507&gt;=1),1,0)))</f>
        <v/>
      </c>
      <c r="I1507" s="4">
        <f>CHOOSE(H1507+1,"Kein Risiko","Gering","Mittel","Hoch")</f>
        <v/>
      </c>
    </row>
    <row r="1508">
      <c r="A1508" s="4" t="n">
        <v>1504</v>
      </c>
      <c r="B1508" s="4" t="inlineStr">
        <is>
          <t>house</t>
        </is>
      </c>
      <c r="C1508" s="4" t="inlineStr">
        <is>
          <t>Am Seebogen</t>
        </is>
      </c>
      <c r="D1508" s="4" t="inlineStr">
        <is>
          <t>26</t>
        </is>
      </c>
      <c r="E1508" s="13" t="n">
        <v>91.5</v>
      </c>
      <c r="F1508" s="12" t="n">
        <v>0.03000259399414062</v>
      </c>
      <c r="G1508" s="4" t="n">
        <v>0</v>
      </c>
      <c r="H1508" s="4">
        <f>IF(OR(N(F1508)&gt;=0.5,G1508&gt;=4),3,IF(OR(N(F1508)&gt;=0.3,G1508=3),2,IF(OR(N(F1508)&gt;=0.1,G1508&gt;=1),1,0)))</f>
        <v/>
      </c>
      <c r="I1508" s="4">
        <f>CHOOSE(H1508+1,"Kein Risiko","Gering","Mittel","Hoch")</f>
        <v/>
      </c>
    </row>
    <row r="1509">
      <c r="A1509" s="4" t="n">
        <v>1505</v>
      </c>
      <c r="B1509" s="4" t="inlineStr">
        <is>
          <t>house</t>
        </is>
      </c>
      <c r="C1509" s="4" t="inlineStr">
        <is>
          <t>Am Seebogen</t>
        </is>
      </c>
      <c r="D1509" s="4" t="inlineStr">
        <is>
          <t>42</t>
        </is>
      </c>
      <c r="E1509" s="13" t="n">
        <v>71.40000000000001</v>
      </c>
      <c r="F1509" s="12" t="n">
        <v>0.01000213623046875</v>
      </c>
      <c r="G1509" s="4" t="n">
        <v>0</v>
      </c>
      <c r="H1509" s="4">
        <f>IF(OR(N(F1509)&gt;=0.5,G1509&gt;=4),3,IF(OR(N(F1509)&gt;=0.3,G1509=3),2,IF(OR(N(F1509)&gt;=0.1,G1509&gt;=1),1,0)))</f>
        <v/>
      </c>
      <c r="I1509" s="4">
        <f>CHOOSE(H1509+1,"Kein Risiko","Gering","Mittel","Hoch")</f>
        <v/>
      </c>
    </row>
    <row r="1510">
      <c r="A1510" s="4" t="n">
        <v>1506</v>
      </c>
      <c r="B1510" s="4" t="inlineStr">
        <is>
          <t>house</t>
        </is>
      </c>
      <c r="C1510" s="4" t="inlineStr">
        <is>
          <t>Am Seebogen</t>
        </is>
      </c>
      <c r="D1510" s="4" t="inlineStr">
        <is>
          <t>36</t>
        </is>
      </c>
      <c r="E1510" s="13" t="n">
        <v>80.5</v>
      </c>
      <c r="F1510" s="12" t="n">
        <v>0.05999755859375</v>
      </c>
      <c r="G1510" s="4" t="n">
        <v>0</v>
      </c>
      <c r="H1510" s="4">
        <f>IF(OR(N(F1510)&gt;=0.5,G1510&gt;=4),3,IF(OR(N(F1510)&gt;=0.3,G1510=3),2,IF(OR(N(F1510)&gt;=0.1,G1510&gt;=1),1,0)))</f>
        <v/>
      </c>
      <c r="I1510" s="4">
        <f>CHOOSE(H1510+1,"Kein Risiko","Gering","Mittel","Hoch")</f>
        <v/>
      </c>
    </row>
    <row r="1511">
      <c r="A1511" s="4" t="n">
        <v>1507</v>
      </c>
      <c r="B1511" s="4" t="inlineStr">
        <is>
          <t>house</t>
        </is>
      </c>
      <c r="C1511" s="4" t="inlineStr">
        <is>
          <t>Am Seebogen</t>
        </is>
      </c>
      <c r="D1511" s="4" t="inlineStr">
        <is>
          <t>30</t>
        </is>
      </c>
      <c r="E1511" s="13" t="n">
        <v>75.90000000000001</v>
      </c>
      <c r="F1511" s="12" t="n">
        <v>0.009998321533203125</v>
      </c>
      <c r="G1511" s="4" t="n">
        <v>0</v>
      </c>
      <c r="H1511" s="4">
        <f>IF(OR(N(F1511)&gt;=0.5,G1511&gt;=4),3,IF(OR(N(F1511)&gt;=0.3,G1511=3),2,IF(OR(N(F1511)&gt;=0.1,G1511&gt;=1),1,0)))</f>
        <v/>
      </c>
      <c r="I1511" s="4">
        <f>CHOOSE(H1511+1,"Kein Risiko","Gering","Mittel","Hoch")</f>
        <v/>
      </c>
    </row>
    <row r="1512">
      <c r="A1512" s="4" t="n">
        <v>1508</v>
      </c>
      <c r="B1512" s="4" t="inlineStr">
        <is>
          <t>house</t>
        </is>
      </c>
      <c r="C1512" s="4" t="inlineStr">
        <is>
          <t>Am Seebogen</t>
        </is>
      </c>
      <c r="D1512" s="4" t="inlineStr">
        <is>
          <t>38</t>
        </is>
      </c>
      <c r="E1512" s="13" t="n">
        <v>90.3</v>
      </c>
      <c r="F1512" s="12" t="n">
        <v>0.01000213623046875</v>
      </c>
      <c r="G1512" s="4" t="n">
        <v>0</v>
      </c>
      <c r="H1512" s="4">
        <f>IF(OR(N(F1512)&gt;=0.5,G1512&gt;=4),3,IF(OR(N(F1512)&gt;=0.3,G1512=3),2,IF(OR(N(F1512)&gt;=0.1,G1512&gt;=1),1,0)))</f>
        <v/>
      </c>
      <c r="I1512" s="4">
        <f>CHOOSE(H1512+1,"Kein Risiko","Gering","Mittel","Hoch")</f>
        <v/>
      </c>
    </row>
    <row r="1513">
      <c r="A1513" s="4" t="n">
        <v>1509</v>
      </c>
      <c r="B1513" s="4" t="inlineStr">
        <is>
          <t>house</t>
        </is>
      </c>
      <c r="C1513" s="4" t="inlineStr">
        <is>
          <t>Am Seebogen</t>
        </is>
      </c>
      <c r="D1513" s="4" t="inlineStr">
        <is>
          <t>32</t>
        </is>
      </c>
      <c r="E1513" s="13" t="n">
        <v>75.5</v>
      </c>
      <c r="F1513" s="12" t="n">
        <v>0.01000213623046875</v>
      </c>
      <c r="G1513" s="4" t="n">
        <v>0</v>
      </c>
      <c r="H1513" s="4">
        <f>IF(OR(N(F1513)&gt;=0.5,G1513&gt;=4),3,IF(OR(N(F1513)&gt;=0.3,G1513=3),2,IF(OR(N(F1513)&gt;=0.1,G1513&gt;=1),1,0)))</f>
        <v/>
      </c>
      <c r="I1513" s="4">
        <f>CHOOSE(H1513+1,"Kein Risiko","Gering","Mittel","Hoch")</f>
        <v/>
      </c>
    </row>
    <row r="1514">
      <c r="A1514" s="4" t="n">
        <v>1510</v>
      </c>
      <c r="B1514" s="4" t="inlineStr">
        <is>
          <t>house</t>
        </is>
      </c>
      <c r="C1514" s="4" t="inlineStr">
        <is>
          <t>Am Seebogen</t>
        </is>
      </c>
      <c r="D1514" s="4" t="inlineStr">
        <is>
          <t>48</t>
        </is>
      </c>
      <c r="E1514" s="13" t="n">
        <v>71.40000000000001</v>
      </c>
      <c r="F1514" s="12" t="n">
        <v>0.01999664306640625</v>
      </c>
      <c r="G1514" s="4" t="n">
        <v>0</v>
      </c>
      <c r="H1514" s="4">
        <f>IF(OR(N(F1514)&gt;=0.5,G1514&gt;=4),3,IF(OR(N(F1514)&gt;=0.3,G1514=3),2,IF(OR(N(F1514)&gt;=0.1,G1514&gt;=1),1,0)))</f>
        <v/>
      </c>
      <c r="I1514" s="4">
        <f>CHOOSE(H1514+1,"Kein Risiko","Gering","Mittel","Hoch")</f>
        <v/>
      </c>
    </row>
    <row r="1515">
      <c r="A1515" s="4" t="n">
        <v>1511</v>
      </c>
      <c r="B1515" s="4" t="inlineStr">
        <is>
          <t>house</t>
        </is>
      </c>
      <c r="C1515" s="4" t="inlineStr">
        <is>
          <t>Am Seebogen</t>
        </is>
      </c>
      <c r="D1515" s="4" t="inlineStr">
        <is>
          <t>58</t>
        </is>
      </c>
      <c r="E1515" s="13" t="n">
        <v>71.3</v>
      </c>
      <c r="F1515" s="12" t="n">
        <v>0.06000137329101562</v>
      </c>
      <c r="G1515" s="4" t="n">
        <v>0</v>
      </c>
      <c r="H1515" s="4">
        <f>IF(OR(N(F1515)&gt;=0.5,G1515&gt;=4),3,IF(OR(N(F1515)&gt;=0.3,G1515=3),2,IF(OR(N(F1515)&gt;=0.1,G1515&gt;=1),1,0)))</f>
        <v/>
      </c>
      <c r="I1515" s="4">
        <f>CHOOSE(H1515+1,"Kein Risiko","Gering","Mittel","Hoch")</f>
        <v/>
      </c>
    </row>
    <row r="1516">
      <c r="A1516" s="4" t="n">
        <v>1512</v>
      </c>
      <c r="B1516" s="4" t="inlineStr">
        <is>
          <t>house</t>
        </is>
      </c>
      <c r="C1516" s="4" t="inlineStr">
        <is>
          <t>Am Seebogen</t>
        </is>
      </c>
      <c r="D1516" s="4" t="inlineStr">
        <is>
          <t>34</t>
        </is>
      </c>
      <c r="E1516" s="13" t="n">
        <v>80.8</v>
      </c>
      <c r="F1516" s="12" t="n">
        <v>0</v>
      </c>
      <c r="G1516" s="4" t="n">
        <v>0</v>
      </c>
      <c r="H1516" s="4">
        <f>IF(OR(N(F1516)&gt;=0.5,G1516&gt;=4),3,IF(OR(N(F1516)&gt;=0.3,G1516=3),2,IF(OR(N(F1516)&gt;=0.1,G1516&gt;=1),1,0)))</f>
        <v/>
      </c>
      <c r="I1516" s="4">
        <f>CHOOSE(H1516+1,"Kein Risiko","Gering","Mittel","Hoch")</f>
        <v/>
      </c>
    </row>
    <row r="1517">
      <c r="A1517" s="4" t="n">
        <v>1513</v>
      </c>
      <c r="B1517" s="4" t="inlineStr">
        <is>
          <t>house</t>
        </is>
      </c>
      <c r="C1517" s="4" t="inlineStr">
        <is>
          <t>Am Seebogen</t>
        </is>
      </c>
      <c r="D1517" s="4" t="inlineStr">
        <is>
          <t>46</t>
        </is>
      </c>
      <c r="E1517" s="13" t="n">
        <v>71.5</v>
      </c>
      <c r="F1517" s="12" t="n">
        <v>0.009998321533203125</v>
      </c>
      <c r="G1517" s="4" t="n">
        <v>0</v>
      </c>
      <c r="H1517" s="4">
        <f>IF(OR(N(F1517)&gt;=0.5,G1517&gt;=4),3,IF(OR(N(F1517)&gt;=0.3,G1517=3),2,IF(OR(N(F1517)&gt;=0.1,G1517&gt;=1),1,0)))</f>
        <v/>
      </c>
      <c r="I1517" s="4">
        <f>CHOOSE(H1517+1,"Kein Risiko","Gering","Mittel","Hoch")</f>
        <v/>
      </c>
    </row>
    <row r="1518">
      <c r="A1518" s="4" t="n">
        <v>1514</v>
      </c>
      <c r="B1518" s="4" t="inlineStr">
        <is>
          <t>house</t>
        </is>
      </c>
      <c r="C1518" s="4" t="inlineStr">
        <is>
          <t>Am Seebogen</t>
        </is>
      </c>
      <c r="D1518" s="4" t="inlineStr">
        <is>
          <t>56</t>
        </is>
      </c>
      <c r="E1518" s="13" t="n">
        <v>71.5</v>
      </c>
      <c r="F1518" s="12" t="n">
        <v>0.02000045776367188</v>
      </c>
      <c r="G1518" s="4" t="n">
        <v>0</v>
      </c>
      <c r="H1518" s="4">
        <f>IF(OR(N(F1518)&gt;=0.5,G1518&gt;=4),3,IF(OR(N(F1518)&gt;=0.3,G1518=3),2,IF(OR(N(F1518)&gt;=0.1,G1518&gt;=1),1,0)))</f>
        <v/>
      </c>
      <c r="I1518" s="4">
        <f>CHOOSE(H1518+1,"Kein Risiko","Gering","Mittel","Hoch")</f>
        <v/>
      </c>
    </row>
    <row r="1519">
      <c r="A1519" s="4" t="n">
        <v>1515</v>
      </c>
      <c r="B1519" s="4" t="inlineStr">
        <is>
          <t>house</t>
        </is>
      </c>
      <c r="C1519" s="4" t="inlineStr">
        <is>
          <t>Am Seebogen</t>
        </is>
      </c>
      <c r="D1519" s="4" t="inlineStr">
        <is>
          <t>54</t>
        </is>
      </c>
      <c r="E1519" s="13" t="n">
        <v>71.40000000000001</v>
      </c>
      <c r="F1519" s="12" t="n">
        <v>0.009998321533203125</v>
      </c>
      <c r="G1519" s="4" t="n">
        <v>0</v>
      </c>
      <c r="H1519" s="4">
        <f>IF(OR(N(F1519)&gt;=0.5,G1519&gt;=4),3,IF(OR(N(F1519)&gt;=0.3,G1519=3),2,IF(OR(N(F1519)&gt;=0.1,G1519&gt;=1),1,0)))</f>
        <v/>
      </c>
      <c r="I1519" s="4">
        <f>CHOOSE(H1519+1,"Kein Risiko","Gering","Mittel","Hoch")</f>
        <v/>
      </c>
    </row>
    <row r="1520">
      <c r="A1520" s="4" t="n">
        <v>1516</v>
      </c>
      <c r="B1520" s="4" t="inlineStr">
        <is>
          <t>house</t>
        </is>
      </c>
      <c r="C1520" s="4" t="inlineStr">
        <is>
          <t>Am Seebogen</t>
        </is>
      </c>
      <c r="D1520" s="4" t="inlineStr">
        <is>
          <t>52</t>
        </is>
      </c>
      <c r="E1520" s="13" t="n">
        <v>71.40000000000001</v>
      </c>
      <c r="F1520" s="12" t="n">
        <v>0.01000213623046875</v>
      </c>
      <c r="G1520" s="4" t="n">
        <v>0</v>
      </c>
      <c r="H1520" s="4">
        <f>IF(OR(N(F1520)&gt;=0.5,G1520&gt;=4),3,IF(OR(N(F1520)&gt;=0.3,G1520=3),2,IF(OR(N(F1520)&gt;=0.1,G1520&gt;=1),1,0)))</f>
        <v/>
      </c>
      <c r="I1520" s="4">
        <f>CHOOSE(H1520+1,"Kein Risiko","Gering","Mittel","Hoch")</f>
        <v/>
      </c>
    </row>
    <row r="1521">
      <c r="A1521" s="4" t="n">
        <v>1517</v>
      </c>
      <c r="B1521" s="4" t="inlineStr">
        <is>
          <t>house</t>
        </is>
      </c>
      <c r="C1521" s="4" t="inlineStr">
        <is>
          <t>Am Seebogen</t>
        </is>
      </c>
      <c r="D1521" s="4" t="inlineStr">
        <is>
          <t>50</t>
        </is>
      </c>
      <c r="E1521" s="13" t="n">
        <v>71.59999999999999</v>
      </c>
      <c r="F1521" s="12" t="n">
        <v>0.01999664306640625</v>
      </c>
      <c r="G1521" s="4" t="n">
        <v>0</v>
      </c>
      <c r="H1521" s="4">
        <f>IF(OR(N(F1521)&gt;=0.5,G1521&gt;=4),3,IF(OR(N(F1521)&gt;=0.3,G1521=3),2,IF(OR(N(F1521)&gt;=0.1,G1521&gt;=1),1,0)))</f>
        <v/>
      </c>
      <c r="I1521" s="4">
        <f>CHOOSE(H1521+1,"Kein Risiko","Gering","Mittel","Hoch")</f>
        <v/>
      </c>
    </row>
    <row r="1522">
      <c r="A1522" s="4" t="n">
        <v>1518</v>
      </c>
      <c r="B1522" s="4" t="inlineStr">
        <is>
          <t>house</t>
        </is>
      </c>
      <c r="C1522" s="4" t="inlineStr">
        <is>
          <t>Am Seebogen</t>
        </is>
      </c>
      <c r="D1522" s="4" t="inlineStr">
        <is>
          <t>44</t>
        </is>
      </c>
      <c r="E1522" s="13" t="n">
        <v>71.40000000000001</v>
      </c>
      <c r="F1522" s="12" t="n">
        <v>0.01000213623046875</v>
      </c>
      <c r="G1522" s="4" t="n">
        <v>0</v>
      </c>
      <c r="H1522" s="4">
        <f>IF(OR(N(F1522)&gt;=0.5,G1522&gt;=4),3,IF(OR(N(F1522)&gt;=0.3,G1522=3),2,IF(OR(N(F1522)&gt;=0.1,G1522&gt;=1),1,0)))</f>
        <v/>
      </c>
      <c r="I1522" s="4">
        <f>CHOOSE(H1522+1,"Kein Risiko","Gering","Mittel","Hoch")</f>
        <v/>
      </c>
    </row>
    <row r="1523">
      <c r="A1523" s="4" t="n">
        <v>1519</v>
      </c>
      <c r="B1523" s="4" t="inlineStr">
        <is>
          <t>house</t>
        </is>
      </c>
      <c r="C1523" s="4" t="inlineStr">
        <is>
          <t>Am Seebogen</t>
        </is>
      </c>
      <c r="D1523" s="4" t="inlineStr">
        <is>
          <t>40</t>
        </is>
      </c>
      <c r="E1523" s="13" t="n">
        <v>89.40000000000001</v>
      </c>
      <c r="F1523" s="12" t="n">
        <v>0.029998779296875</v>
      </c>
      <c r="G1523" s="4" t="n">
        <v>0</v>
      </c>
      <c r="H1523" s="4">
        <f>IF(OR(N(F1523)&gt;=0.5,G1523&gt;=4),3,IF(OR(N(F1523)&gt;=0.3,G1523=3),2,IF(OR(N(F1523)&gt;=0.1,G1523&gt;=1),1,0)))</f>
        <v/>
      </c>
      <c r="I1523" s="4">
        <f>CHOOSE(H1523+1,"Kein Risiko","Gering","Mittel","Hoch")</f>
        <v/>
      </c>
    </row>
    <row r="1524">
      <c r="A1524" s="4" t="n">
        <v>1520</v>
      </c>
      <c r="B1524" s="4" t="inlineStr">
        <is>
          <t>house</t>
        </is>
      </c>
      <c r="C1524" s="4" t="inlineStr">
        <is>
          <t>Am Seebogen</t>
        </is>
      </c>
      <c r="D1524" s="4" t="inlineStr">
        <is>
          <t>28</t>
        </is>
      </c>
      <c r="E1524" s="13" t="n">
        <v>75.90000000000001</v>
      </c>
      <c r="F1524" s="12" t="n">
        <v>0.01000213623046875</v>
      </c>
      <c r="G1524" s="4" t="n">
        <v>0</v>
      </c>
      <c r="H1524" s="4">
        <f>IF(OR(N(F1524)&gt;=0.5,G1524&gt;=4),3,IF(OR(N(F1524)&gt;=0.3,G1524=3),2,IF(OR(N(F1524)&gt;=0.1,G1524&gt;=1),1,0)))</f>
        <v/>
      </c>
      <c r="I1524" s="4">
        <f>CHOOSE(H1524+1,"Kein Risiko","Gering","Mittel","Hoch")</f>
        <v/>
      </c>
    </row>
    <row r="1525">
      <c r="A1525" s="4" t="n">
        <v>1521</v>
      </c>
      <c r="B1525" s="4" t="inlineStr">
        <is>
          <t>yes</t>
        </is>
      </c>
      <c r="C1525" s="4" t="inlineStr"/>
      <c r="D1525" s="4" t="inlineStr"/>
      <c r="E1525" s="13" t="n">
        <v>84.09999999999999</v>
      </c>
      <c r="F1525" s="12" t="n"/>
      <c r="G1525" s="4" t="n">
        <v>0</v>
      </c>
      <c r="H1525" s="4">
        <f>IF(OR(N(F1525)&gt;=0.5,G1525&gt;=4),3,IF(OR(N(F1525)&gt;=0.3,G1525=3),2,IF(OR(N(F1525)&gt;=0.1,G1525&gt;=1),1,0)))</f>
        <v/>
      </c>
      <c r="I1525" s="4">
        <f>CHOOSE(H1525+1,"Kein Risiko","Gering","Mittel","Hoch")</f>
        <v/>
      </c>
    </row>
    <row r="1526">
      <c r="A1526" s="4" t="n">
        <v>1522</v>
      </c>
      <c r="B1526" s="4" t="inlineStr">
        <is>
          <t>yes</t>
        </is>
      </c>
      <c r="C1526" s="4" t="inlineStr">
        <is>
          <t>Dixbäume</t>
        </is>
      </c>
      <c r="D1526" s="4" t="inlineStr">
        <is>
          <t>5a</t>
        </is>
      </c>
      <c r="E1526" s="13" t="n">
        <v>67.8</v>
      </c>
      <c r="F1526" s="12" t="n">
        <v>0</v>
      </c>
      <c r="G1526" s="4" t="n">
        <v>0</v>
      </c>
      <c r="H1526" s="4">
        <f>IF(OR(N(F1526)&gt;=0.5,G1526&gt;=4),3,IF(OR(N(F1526)&gt;=0.3,G1526=3),2,IF(OR(N(F1526)&gt;=0.1,G1526&gt;=1),1,0)))</f>
        <v/>
      </c>
      <c r="I1526" s="4">
        <f>CHOOSE(H1526+1,"Kein Risiko","Gering","Mittel","Hoch")</f>
        <v/>
      </c>
    </row>
    <row r="1527">
      <c r="A1527" s="4" t="n">
        <v>1523</v>
      </c>
      <c r="B1527" s="4" t="inlineStr">
        <is>
          <t>residential</t>
        </is>
      </c>
      <c r="C1527" s="4" t="inlineStr">
        <is>
          <t>Dixbäume</t>
        </is>
      </c>
      <c r="D1527" s="4" t="inlineStr">
        <is>
          <t>5c</t>
        </is>
      </c>
      <c r="E1527" s="13" t="n">
        <v>197.2</v>
      </c>
      <c r="F1527" s="12" t="n">
        <v>0</v>
      </c>
      <c r="G1527" s="4" t="n">
        <v>2</v>
      </c>
      <c r="H1527" s="4">
        <f>IF(OR(N(F1527)&gt;=0.5,G1527&gt;=4),3,IF(OR(N(F1527)&gt;=0.3,G1527=3),2,IF(OR(N(F1527)&gt;=0.1,G1527&gt;=1),1,0)))</f>
        <v/>
      </c>
      <c r="I1527" s="4">
        <f>CHOOSE(H1527+1,"Kein Risiko","Gering","Mittel","Hoch")</f>
        <v/>
      </c>
    </row>
    <row r="1528">
      <c r="A1528" s="4" t="n">
        <v>1524</v>
      </c>
      <c r="B1528" s="4" t="inlineStr">
        <is>
          <t>semidetached_house</t>
        </is>
      </c>
      <c r="C1528" s="4" t="inlineStr">
        <is>
          <t>Phönixberg</t>
        </is>
      </c>
      <c r="D1528" s="4" t="inlineStr">
        <is>
          <t>1c</t>
        </is>
      </c>
      <c r="E1528" s="13" t="n">
        <v>75.90000000000001</v>
      </c>
      <c r="F1528" s="12" t="n">
        <v>0.0099945068359375</v>
      </c>
      <c r="G1528" s="4" t="n">
        <v>0</v>
      </c>
      <c r="H1528" s="4">
        <f>IF(OR(N(F1528)&gt;=0.5,G1528&gt;=4),3,IF(OR(N(F1528)&gt;=0.3,G1528=3),2,IF(OR(N(F1528)&gt;=0.1,G1528&gt;=1),1,0)))</f>
        <v/>
      </c>
      <c r="I1528" s="4">
        <f>CHOOSE(H1528+1,"Kein Risiko","Gering","Mittel","Hoch")</f>
        <v/>
      </c>
    </row>
    <row r="1529">
      <c r="A1529" s="4" t="n">
        <v>1525</v>
      </c>
      <c r="B1529" s="4" t="inlineStr">
        <is>
          <t>semidetached_house</t>
        </is>
      </c>
      <c r="C1529" s="4" t="inlineStr">
        <is>
          <t>Phönixberg</t>
        </is>
      </c>
      <c r="D1529" s="4" t="inlineStr">
        <is>
          <t>1e</t>
        </is>
      </c>
      <c r="E1529" s="13" t="n">
        <v>72.7</v>
      </c>
      <c r="F1529" s="12" t="n">
        <v>0</v>
      </c>
      <c r="G1529" s="4" t="n">
        <v>0</v>
      </c>
      <c r="H1529" s="4">
        <f>IF(OR(N(F1529)&gt;=0.5,G1529&gt;=4),3,IF(OR(N(F1529)&gt;=0.3,G1529=3),2,IF(OR(N(F1529)&gt;=0.1,G1529&gt;=1),1,0)))</f>
        <v/>
      </c>
      <c r="I1529" s="4">
        <f>CHOOSE(H1529+1,"Kein Risiko","Gering","Mittel","Hoch")</f>
        <v/>
      </c>
    </row>
    <row r="1530">
      <c r="A1530" s="4" t="n">
        <v>1526</v>
      </c>
      <c r="B1530" s="4" t="inlineStr">
        <is>
          <t>residential</t>
        </is>
      </c>
      <c r="C1530" s="4" t="inlineStr">
        <is>
          <t>Provesthöhe</t>
        </is>
      </c>
      <c r="D1530" s="4" t="inlineStr">
        <is>
          <t>22</t>
        </is>
      </c>
      <c r="E1530" s="13" t="n">
        <v>99.09999999999999</v>
      </c>
      <c r="F1530" s="12" t="n">
        <v>0</v>
      </c>
      <c r="G1530" s="4" t="n">
        <v>1</v>
      </c>
      <c r="H1530" s="4">
        <f>IF(OR(N(F1530)&gt;=0.5,G1530&gt;=4),3,IF(OR(N(F1530)&gt;=0.3,G1530=3),2,IF(OR(N(F1530)&gt;=0.1,G1530&gt;=1),1,0)))</f>
        <v/>
      </c>
      <c r="I1530" s="4">
        <f>CHOOSE(H1530+1,"Kein Risiko","Gering","Mittel","Hoch")</f>
        <v/>
      </c>
    </row>
    <row r="1531">
      <c r="A1531" s="4" t="n">
        <v>1527</v>
      </c>
      <c r="B1531" s="4" t="inlineStr">
        <is>
          <t>residential</t>
        </is>
      </c>
      <c r="C1531" s="4" t="inlineStr">
        <is>
          <t>Provesthöhe</t>
        </is>
      </c>
      <c r="D1531" s="4" t="inlineStr">
        <is>
          <t>20</t>
        </is>
      </c>
      <c r="E1531" s="13" t="n">
        <v>167.3</v>
      </c>
      <c r="F1531" s="12" t="n">
        <v>0</v>
      </c>
      <c r="G1531" s="4" t="n">
        <v>0</v>
      </c>
      <c r="H1531" s="4">
        <f>IF(OR(N(F1531)&gt;=0.5,G1531&gt;=4),3,IF(OR(N(F1531)&gt;=0.3,G1531=3),2,IF(OR(N(F1531)&gt;=0.1,G1531&gt;=1),1,0)))</f>
        <v/>
      </c>
      <c r="I1531" s="4">
        <f>CHOOSE(H1531+1,"Kein Risiko","Gering","Mittel","Hoch")</f>
        <v/>
      </c>
    </row>
    <row r="1532">
      <c r="A1532" s="4" t="n">
        <v>1528</v>
      </c>
      <c r="B1532" s="4" t="inlineStr">
        <is>
          <t>residential</t>
        </is>
      </c>
      <c r="C1532" s="4" t="inlineStr">
        <is>
          <t>Provesthöhe</t>
        </is>
      </c>
      <c r="D1532" s="4" t="inlineStr">
        <is>
          <t>18</t>
        </is>
      </c>
      <c r="E1532" s="13" t="n">
        <v>121.2</v>
      </c>
      <c r="F1532" s="12" t="n">
        <v>0</v>
      </c>
      <c r="G1532" s="4" t="n">
        <v>0</v>
      </c>
      <c r="H1532" s="4">
        <f>IF(OR(N(F1532)&gt;=0.5,G1532&gt;=4),3,IF(OR(N(F1532)&gt;=0.3,G1532=3),2,IF(OR(N(F1532)&gt;=0.1,G1532&gt;=1),1,0)))</f>
        <v/>
      </c>
      <c r="I1532" s="4">
        <f>CHOOSE(H1532+1,"Kein Risiko","Gering","Mittel","Hoch")</f>
        <v/>
      </c>
    </row>
    <row r="1533">
      <c r="A1533" s="4" t="n">
        <v>1529</v>
      </c>
      <c r="B1533" s="4" t="inlineStr">
        <is>
          <t>residential</t>
        </is>
      </c>
      <c r="C1533" s="4" t="inlineStr">
        <is>
          <t>Provesthöhe</t>
        </is>
      </c>
      <c r="D1533" s="4" t="inlineStr">
        <is>
          <t>16</t>
        </is>
      </c>
      <c r="E1533" s="13" t="n">
        <v>212.6</v>
      </c>
      <c r="F1533" s="12" t="n">
        <v>0.01000213623046875</v>
      </c>
      <c r="G1533" s="4" t="n">
        <v>0</v>
      </c>
      <c r="H1533" s="4">
        <f>IF(OR(N(F1533)&gt;=0.5,G1533&gt;=4),3,IF(OR(N(F1533)&gt;=0.3,G1533=3),2,IF(OR(N(F1533)&gt;=0.1,G1533&gt;=1),1,0)))</f>
        <v/>
      </c>
      <c r="I1533" s="4">
        <f>CHOOSE(H1533+1,"Kein Risiko","Gering","Mittel","Hoch")</f>
        <v/>
      </c>
    </row>
    <row r="1534">
      <c r="A1534" s="4" t="n">
        <v>1530</v>
      </c>
      <c r="B1534" s="4" t="inlineStr">
        <is>
          <t>apartments</t>
        </is>
      </c>
      <c r="C1534" s="4" t="inlineStr">
        <is>
          <t>Kupferdreher Straße</t>
        </is>
      </c>
      <c r="D1534" s="4" t="inlineStr">
        <is>
          <t>99</t>
        </is>
      </c>
      <c r="E1534" s="13" t="n">
        <v>164.2</v>
      </c>
      <c r="F1534" s="12" t="n">
        <v>0.09000015258789062</v>
      </c>
      <c r="G1534" s="4" t="n">
        <v>3</v>
      </c>
      <c r="H1534" s="4">
        <f>IF(OR(N(F1534)&gt;=0.5,G1534&gt;=4),3,IF(OR(N(F1534)&gt;=0.3,G1534=3),2,IF(OR(N(F1534)&gt;=0.1,G1534&gt;=1),1,0)))</f>
        <v/>
      </c>
      <c r="I1534" s="4">
        <f>CHOOSE(H1534+1,"Kein Risiko","Gering","Mittel","Hoch")</f>
        <v/>
      </c>
    </row>
    <row r="1535">
      <c r="A1535" s="4" t="n">
        <v>1531</v>
      </c>
      <c r="B1535" s="4" t="inlineStr">
        <is>
          <t>retail</t>
        </is>
      </c>
      <c r="C1535" s="4" t="inlineStr">
        <is>
          <t>Kupferdreher Straße</t>
        </is>
      </c>
      <c r="D1535" s="4" t="inlineStr">
        <is>
          <t>127</t>
        </is>
      </c>
      <c r="E1535" s="13" t="n">
        <v>1486</v>
      </c>
      <c r="F1535" s="12" t="n">
        <v>1.200000762939453</v>
      </c>
      <c r="G1535" s="4" t="n">
        <v>2</v>
      </c>
      <c r="H1535" s="4">
        <f>IF(OR(N(F1535)&gt;=0.5,G1535&gt;=4),3,IF(OR(N(F1535)&gt;=0.3,G1535=3),2,IF(OR(N(F1535)&gt;=0.1,G1535&gt;=1),1,0)))</f>
        <v/>
      </c>
      <c r="I1535" s="4">
        <f>CHOOSE(H1535+1,"Kein Risiko","Gering","Mittel","Hoch")</f>
        <v/>
      </c>
    </row>
    <row r="1536">
      <c r="A1536" s="4" t="n">
        <v>1532</v>
      </c>
      <c r="B1536" s="4" t="inlineStr">
        <is>
          <t>apartments</t>
        </is>
      </c>
      <c r="C1536" s="4" t="inlineStr">
        <is>
          <t>Kupferdreher Straße</t>
        </is>
      </c>
      <c r="D1536" s="4" t="inlineStr">
        <is>
          <t>147</t>
        </is>
      </c>
      <c r="E1536" s="13" t="n">
        <v>126.5</v>
      </c>
      <c r="F1536" s="12" t="n">
        <v>0.04999923706054688</v>
      </c>
      <c r="G1536" s="4" t="n">
        <v>1</v>
      </c>
      <c r="H1536" s="4">
        <f>IF(OR(N(F1536)&gt;=0.5,G1536&gt;=4),3,IF(OR(N(F1536)&gt;=0.3,G1536=3),2,IF(OR(N(F1536)&gt;=0.1,G1536&gt;=1),1,0)))</f>
        <v/>
      </c>
      <c r="I1536" s="4">
        <f>CHOOSE(H1536+1,"Kein Risiko","Gering","Mittel","Hoch")</f>
        <v/>
      </c>
    </row>
    <row r="1537">
      <c r="A1537" s="4" t="n">
        <v>1533</v>
      </c>
      <c r="B1537" s="4" t="inlineStr">
        <is>
          <t>apartments</t>
        </is>
      </c>
      <c r="C1537" s="4" t="inlineStr">
        <is>
          <t>Kupferdreher Straße</t>
        </is>
      </c>
      <c r="D1537" s="4" t="inlineStr">
        <is>
          <t>148</t>
        </is>
      </c>
      <c r="E1537" s="13" t="n">
        <v>92</v>
      </c>
      <c r="F1537" s="12" t="n">
        <v>0</v>
      </c>
      <c r="G1537" s="4" t="n">
        <v>0</v>
      </c>
      <c r="H1537" s="4">
        <f>IF(OR(N(F1537)&gt;=0.5,G1537&gt;=4),3,IF(OR(N(F1537)&gt;=0.3,G1537=3),2,IF(OR(N(F1537)&gt;=0.1,G1537&gt;=1),1,0)))</f>
        <v/>
      </c>
      <c r="I1537" s="4">
        <f>CHOOSE(H1537+1,"Kein Risiko","Gering","Mittel","Hoch")</f>
        <v/>
      </c>
    </row>
    <row r="1538">
      <c r="A1538" s="4" t="n">
        <v>1534</v>
      </c>
      <c r="B1538" s="4" t="inlineStr">
        <is>
          <t>apartments</t>
        </is>
      </c>
      <c r="C1538" s="4" t="inlineStr">
        <is>
          <t>Kupferdreher Straße</t>
        </is>
      </c>
      <c r="D1538" s="4" t="inlineStr">
        <is>
          <t>148a</t>
        </is>
      </c>
      <c r="E1538" s="13" t="n">
        <v>92</v>
      </c>
      <c r="F1538" s="12" t="n">
        <v>0</v>
      </c>
      <c r="G1538" s="4" t="n">
        <v>0</v>
      </c>
      <c r="H1538" s="4">
        <f>IF(OR(N(F1538)&gt;=0.5,G1538&gt;=4),3,IF(OR(N(F1538)&gt;=0.3,G1538=3),2,IF(OR(N(F1538)&gt;=0.1,G1538&gt;=1),1,0)))</f>
        <v/>
      </c>
      <c r="I1538" s="4">
        <f>CHOOSE(H1538+1,"Kein Risiko","Gering","Mittel","Hoch")</f>
        <v/>
      </c>
    </row>
    <row r="1539">
      <c r="A1539" s="4" t="n">
        <v>1535</v>
      </c>
      <c r="B1539" s="4" t="inlineStr">
        <is>
          <t>apartments</t>
        </is>
      </c>
      <c r="C1539" s="4" t="inlineStr">
        <is>
          <t>Kupferdreher Straße</t>
        </is>
      </c>
      <c r="D1539" s="4" t="inlineStr">
        <is>
          <t>149</t>
        </is>
      </c>
      <c r="E1539" s="13" t="n">
        <v>126.7</v>
      </c>
      <c r="F1539" s="12" t="n">
        <v>0.09999847412109375</v>
      </c>
      <c r="G1539" s="4" t="n">
        <v>1</v>
      </c>
      <c r="H1539" s="4">
        <f>IF(OR(N(F1539)&gt;=0.5,G1539&gt;=4),3,IF(OR(N(F1539)&gt;=0.3,G1539=3),2,IF(OR(N(F1539)&gt;=0.1,G1539&gt;=1),1,0)))</f>
        <v/>
      </c>
      <c r="I1539" s="4">
        <f>CHOOSE(H1539+1,"Kein Risiko","Gering","Mittel","Hoch")</f>
        <v/>
      </c>
    </row>
    <row r="1540">
      <c r="A1540" s="4" t="n">
        <v>1536</v>
      </c>
      <c r="B1540" s="4" t="inlineStr">
        <is>
          <t>yes</t>
        </is>
      </c>
      <c r="C1540" s="4" t="inlineStr">
        <is>
          <t>Kupferdreher Straße</t>
        </is>
      </c>
      <c r="D1540" s="4" t="inlineStr">
        <is>
          <t>159a</t>
        </is>
      </c>
      <c r="E1540" s="13" t="n">
        <v>73.7</v>
      </c>
      <c r="F1540" s="12" t="n">
        <v>0.5800018310546875</v>
      </c>
      <c r="G1540" s="4" t="n">
        <v>0</v>
      </c>
      <c r="H1540" s="4">
        <f>IF(OR(N(F1540)&gt;=0.5,G1540&gt;=4),3,IF(OR(N(F1540)&gt;=0.3,G1540=3),2,IF(OR(N(F1540)&gt;=0.1,G1540&gt;=1),1,0)))</f>
        <v/>
      </c>
      <c r="I1540" s="4">
        <f>CHOOSE(H1540+1,"Kein Risiko","Gering","Mittel","Hoch")</f>
        <v/>
      </c>
    </row>
    <row r="1541">
      <c r="A1541" s="4" t="n">
        <v>1537</v>
      </c>
      <c r="B1541" s="4" t="inlineStr">
        <is>
          <t>yes</t>
        </is>
      </c>
      <c r="C1541" s="4" t="inlineStr">
        <is>
          <t>Kupferdreher Straße</t>
        </is>
      </c>
      <c r="D1541" s="4" t="inlineStr">
        <is>
          <t>159b</t>
        </is>
      </c>
      <c r="E1541" s="13" t="n">
        <v>73.7</v>
      </c>
      <c r="F1541" s="12" t="n">
        <v>0.06000137329101562</v>
      </c>
      <c r="G1541" s="4" t="n">
        <v>0</v>
      </c>
      <c r="H1541" s="4">
        <f>IF(OR(N(F1541)&gt;=0.5,G1541&gt;=4),3,IF(OR(N(F1541)&gt;=0.3,G1541=3),2,IF(OR(N(F1541)&gt;=0.1,G1541&gt;=1),1,0)))</f>
        <v/>
      </c>
      <c r="I1541" s="4">
        <f>CHOOSE(H1541+1,"Kein Risiko","Gering","Mittel","Hoch")</f>
        <v/>
      </c>
    </row>
    <row r="1542">
      <c r="A1542" s="4" t="n">
        <v>1538</v>
      </c>
      <c r="B1542" s="4" t="inlineStr">
        <is>
          <t>yes</t>
        </is>
      </c>
      <c r="C1542" s="4" t="inlineStr">
        <is>
          <t>Am Dolmen</t>
        </is>
      </c>
      <c r="D1542" s="4" t="inlineStr">
        <is>
          <t>3</t>
        </is>
      </c>
      <c r="E1542" s="13" t="n">
        <v>69.40000000000001</v>
      </c>
      <c r="F1542" s="12" t="n">
        <v>0</v>
      </c>
      <c r="G1542" s="4" t="n">
        <v>0</v>
      </c>
      <c r="H1542" s="4">
        <f>IF(OR(N(F1542)&gt;=0.5,G1542&gt;=4),3,IF(OR(N(F1542)&gt;=0.3,G1542=3),2,IF(OR(N(F1542)&gt;=0.1,G1542&gt;=1),1,0)))</f>
        <v/>
      </c>
      <c r="I1542" s="4">
        <f>CHOOSE(H1542+1,"Kein Risiko","Gering","Mittel","Hoch")</f>
        <v/>
      </c>
    </row>
    <row r="1543">
      <c r="A1543" s="4" t="n">
        <v>1539</v>
      </c>
      <c r="B1543" s="4" t="inlineStr">
        <is>
          <t>yes</t>
        </is>
      </c>
      <c r="C1543" s="4" t="inlineStr">
        <is>
          <t>Am Dolmen</t>
        </is>
      </c>
      <c r="D1543" s="4" t="inlineStr">
        <is>
          <t>5</t>
        </is>
      </c>
      <c r="E1543" s="13" t="n">
        <v>71.5</v>
      </c>
      <c r="F1543" s="12" t="n">
        <v>0</v>
      </c>
      <c r="G1543" s="4" t="n">
        <v>0</v>
      </c>
      <c r="H1543" s="4">
        <f>IF(OR(N(F1543)&gt;=0.5,G1543&gt;=4),3,IF(OR(N(F1543)&gt;=0.3,G1543=3),2,IF(OR(N(F1543)&gt;=0.1,G1543&gt;=1),1,0)))</f>
        <v/>
      </c>
      <c r="I1543" s="4">
        <f>CHOOSE(H1543+1,"Kein Risiko","Gering","Mittel","Hoch")</f>
        <v/>
      </c>
    </row>
    <row r="1544">
      <c r="A1544" s="4" t="n">
        <v>1540</v>
      </c>
      <c r="B1544" s="4" t="inlineStr">
        <is>
          <t>yes</t>
        </is>
      </c>
      <c r="C1544" s="4" t="inlineStr">
        <is>
          <t>Am Dolmen</t>
        </is>
      </c>
      <c r="D1544" s="4" t="inlineStr">
        <is>
          <t>7</t>
        </is>
      </c>
      <c r="E1544" s="13" t="n">
        <v>69.09999999999999</v>
      </c>
      <c r="F1544" s="12" t="n">
        <v>0</v>
      </c>
      <c r="G1544" s="4" t="n">
        <v>0</v>
      </c>
      <c r="H1544" s="4">
        <f>IF(OR(N(F1544)&gt;=0.5,G1544&gt;=4),3,IF(OR(N(F1544)&gt;=0.3,G1544=3),2,IF(OR(N(F1544)&gt;=0.1,G1544&gt;=1),1,0)))</f>
        <v/>
      </c>
      <c r="I1544" s="4">
        <f>CHOOSE(H1544+1,"Kein Risiko","Gering","Mittel","Hoch")</f>
        <v/>
      </c>
    </row>
    <row r="1545">
      <c r="A1545" s="4" t="n">
        <v>1541</v>
      </c>
      <c r="B1545" s="4" t="inlineStr">
        <is>
          <t>garages</t>
        </is>
      </c>
      <c r="C1545" s="4" t="inlineStr"/>
      <c r="D1545" s="4" t="inlineStr"/>
      <c r="E1545" s="13" t="n">
        <v>164.9</v>
      </c>
      <c r="F1545" s="12" t="n">
        <v>0</v>
      </c>
      <c r="G1545" s="4" t="n">
        <v>0</v>
      </c>
      <c r="H1545" s="4">
        <f>IF(OR(N(F1545)&gt;=0.5,G1545&gt;=4),3,IF(OR(N(F1545)&gt;=0.3,G1545=3),2,IF(OR(N(F1545)&gt;=0.1,G1545&gt;=1),1,0)))</f>
        <v/>
      </c>
      <c r="I1545" s="4">
        <f>CHOOSE(H1545+1,"Kein Risiko","Gering","Mittel","Hoch")</f>
        <v/>
      </c>
    </row>
    <row r="1546">
      <c r="A1546" s="4" t="n">
        <v>1542</v>
      </c>
      <c r="B1546" s="4" t="inlineStr">
        <is>
          <t>garages</t>
        </is>
      </c>
      <c r="C1546" s="4" t="inlineStr"/>
      <c r="D1546" s="4" t="inlineStr"/>
      <c r="E1546" s="13" t="n">
        <v>89.40000000000001</v>
      </c>
      <c r="F1546" s="12" t="n">
        <v>0</v>
      </c>
      <c r="G1546" s="4" t="n">
        <v>0</v>
      </c>
      <c r="H1546" s="4">
        <f>IF(OR(N(F1546)&gt;=0.5,G1546&gt;=4),3,IF(OR(N(F1546)&gt;=0.3,G1546=3),2,IF(OR(N(F1546)&gt;=0.1,G1546&gt;=1),1,0)))</f>
        <v/>
      </c>
      <c r="I1546" s="4">
        <f>CHOOSE(H1546+1,"Kein Risiko","Gering","Mittel","Hoch")</f>
        <v/>
      </c>
    </row>
    <row r="1547">
      <c r="A1547" s="4" t="n">
        <v>1543</v>
      </c>
      <c r="B1547" s="4" t="inlineStr">
        <is>
          <t>yes</t>
        </is>
      </c>
      <c r="C1547" s="4" t="inlineStr">
        <is>
          <t>Rathgeberhof</t>
        </is>
      </c>
      <c r="D1547" s="4" t="inlineStr">
        <is>
          <t>1</t>
        </is>
      </c>
      <c r="E1547" s="13" t="n">
        <v>78.7</v>
      </c>
      <c r="F1547" s="12" t="n">
        <v>0</v>
      </c>
      <c r="G1547" s="4" t="n">
        <v>0</v>
      </c>
      <c r="H1547" s="4">
        <f>IF(OR(N(F1547)&gt;=0.5,G1547&gt;=4),3,IF(OR(N(F1547)&gt;=0.3,G1547=3),2,IF(OR(N(F1547)&gt;=0.1,G1547&gt;=1),1,0)))</f>
        <v/>
      </c>
      <c r="I1547" s="4">
        <f>CHOOSE(H1547+1,"Kein Risiko","Gering","Mittel","Hoch")</f>
        <v/>
      </c>
    </row>
    <row r="1548">
      <c r="A1548" s="4" t="n">
        <v>1544</v>
      </c>
      <c r="B1548" s="4" t="inlineStr">
        <is>
          <t>apartments</t>
        </is>
      </c>
      <c r="C1548" s="4" t="inlineStr">
        <is>
          <t>Ruhrlandbogen</t>
        </is>
      </c>
      <c r="D1548" s="4" t="inlineStr">
        <is>
          <t>1</t>
        </is>
      </c>
      <c r="E1548" s="13" t="n">
        <v>232.3</v>
      </c>
      <c r="F1548" s="12" t="n">
        <v>0.01999664306640625</v>
      </c>
      <c r="G1548" s="4" t="n">
        <v>0</v>
      </c>
      <c r="H1548" s="4">
        <f>IF(OR(N(F1548)&gt;=0.5,G1548&gt;=4),3,IF(OR(N(F1548)&gt;=0.3,G1548=3),2,IF(OR(N(F1548)&gt;=0.1,G1548&gt;=1),1,0)))</f>
        <v/>
      </c>
      <c r="I1548" s="4">
        <f>CHOOSE(H1548+1,"Kein Risiko","Gering","Mittel","Hoch")</f>
        <v/>
      </c>
    </row>
    <row r="1549">
      <c r="A1549" s="4" t="n">
        <v>1545</v>
      </c>
      <c r="B1549" s="4" t="inlineStr">
        <is>
          <t>house</t>
        </is>
      </c>
      <c r="C1549" s="4" t="inlineStr">
        <is>
          <t>Tholshof</t>
        </is>
      </c>
      <c r="D1549" s="4" t="inlineStr">
        <is>
          <t>1</t>
        </is>
      </c>
      <c r="E1549" s="13" t="n">
        <v>71.09999999999999</v>
      </c>
      <c r="F1549" s="12" t="n">
        <v>0.029998779296875</v>
      </c>
      <c r="G1549" s="4" t="n">
        <v>1</v>
      </c>
      <c r="H1549" s="4">
        <f>IF(OR(N(F1549)&gt;=0.5,G1549&gt;=4),3,IF(OR(N(F1549)&gt;=0.3,G1549=3),2,IF(OR(N(F1549)&gt;=0.1,G1549&gt;=1),1,0)))</f>
        <v/>
      </c>
      <c r="I1549" s="4">
        <f>CHOOSE(H1549+1,"Kein Risiko","Gering","Mittel","Hoch")</f>
        <v/>
      </c>
    </row>
    <row r="1550">
      <c r="A1550" s="4" t="n">
        <v>1546</v>
      </c>
      <c r="B1550" s="4" t="inlineStr">
        <is>
          <t>apartments</t>
        </is>
      </c>
      <c r="C1550" s="4" t="inlineStr">
        <is>
          <t>Deilbachtal</t>
        </is>
      </c>
      <c r="D1550" s="4" t="inlineStr">
        <is>
          <t>10</t>
        </is>
      </c>
      <c r="E1550" s="13" t="n">
        <v>207.7</v>
      </c>
      <c r="F1550" s="12" t="n">
        <v>0</v>
      </c>
      <c r="G1550" s="4" t="n">
        <v>1</v>
      </c>
      <c r="H1550" s="4">
        <f>IF(OR(N(F1550)&gt;=0.5,G1550&gt;=4),3,IF(OR(N(F1550)&gt;=0.3,G1550=3),2,IF(OR(N(F1550)&gt;=0.1,G1550&gt;=1),1,0)))</f>
        <v/>
      </c>
      <c r="I1550" s="4">
        <f>CHOOSE(H1550+1,"Kein Risiko","Gering","Mittel","Hoch")</f>
        <v/>
      </c>
    </row>
    <row r="1551">
      <c r="A1551" s="4" t="n">
        <v>1547</v>
      </c>
      <c r="B1551" s="4" t="inlineStr">
        <is>
          <t>semidetached_house</t>
        </is>
      </c>
      <c r="C1551" s="4" t="inlineStr">
        <is>
          <t>Phönixberg</t>
        </is>
      </c>
      <c r="D1551" s="4" t="inlineStr">
        <is>
          <t>10</t>
        </is>
      </c>
      <c r="E1551" s="13" t="n">
        <v>77.90000000000001</v>
      </c>
      <c r="F1551" s="12" t="n">
        <v>0</v>
      </c>
      <c r="G1551" s="4" t="n">
        <v>0</v>
      </c>
      <c r="H1551" s="4">
        <f>IF(OR(N(F1551)&gt;=0.5,G1551&gt;=4),3,IF(OR(N(F1551)&gt;=0.3,G1551=3),2,IF(OR(N(F1551)&gt;=0.1,G1551&gt;=1),1,0)))</f>
        <v/>
      </c>
      <c r="I1551" s="4">
        <f>CHOOSE(H1551+1,"Kein Risiko","Gering","Mittel","Hoch")</f>
        <v/>
      </c>
    </row>
    <row r="1552">
      <c r="A1552" s="4" t="n">
        <v>1548</v>
      </c>
      <c r="B1552" s="4" t="inlineStr">
        <is>
          <t>house</t>
        </is>
      </c>
      <c r="C1552" s="4" t="inlineStr">
        <is>
          <t>Priembergweg</t>
        </is>
      </c>
      <c r="D1552" s="4" t="inlineStr">
        <is>
          <t>10</t>
        </is>
      </c>
      <c r="E1552" s="13" t="n">
        <v>142.9</v>
      </c>
      <c r="F1552" s="12" t="n">
        <v>0</v>
      </c>
      <c r="G1552" s="4" t="n">
        <v>0</v>
      </c>
      <c r="H1552" s="4">
        <f>IF(OR(N(F1552)&gt;=0.5,G1552&gt;=4),3,IF(OR(N(F1552)&gt;=0.3,G1552=3),2,IF(OR(N(F1552)&gt;=0.1,G1552&gt;=1),1,0)))</f>
        <v/>
      </c>
      <c r="I1552" s="4">
        <f>CHOOSE(H1552+1,"Kein Risiko","Gering","Mittel","Hoch")</f>
        <v/>
      </c>
    </row>
    <row r="1553">
      <c r="A1553" s="4" t="n">
        <v>1549</v>
      </c>
      <c r="B1553" s="4" t="inlineStr">
        <is>
          <t>apartments</t>
        </is>
      </c>
      <c r="C1553" s="4" t="inlineStr">
        <is>
          <t>Ruhrlandbogen</t>
        </is>
      </c>
      <c r="D1553" s="4" t="inlineStr">
        <is>
          <t>10</t>
        </is>
      </c>
      <c r="E1553" s="13" t="n">
        <v>210.6</v>
      </c>
      <c r="F1553" s="12" t="n">
        <v>0.07999420166015625</v>
      </c>
      <c r="G1553" s="4" t="n">
        <v>0</v>
      </c>
      <c r="H1553" s="4">
        <f>IF(OR(N(F1553)&gt;=0.5,G1553&gt;=4),3,IF(OR(N(F1553)&gt;=0.3,G1553=3),2,IF(OR(N(F1553)&gt;=0.1,G1553&gt;=1),1,0)))</f>
        <v/>
      </c>
      <c r="I1553" s="4">
        <f>CHOOSE(H1553+1,"Kein Risiko","Gering","Mittel","Hoch")</f>
        <v/>
      </c>
    </row>
    <row r="1554">
      <c r="A1554" s="4" t="n">
        <v>1550</v>
      </c>
      <c r="B1554" s="4" t="inlineStr">
        <is>
          <t>house</t>
        </is>
      </c>
      <c r="C1554" s="4" t="inlineStr">
        <is>
          <t>Tholshof</t>
        </is>
      </c>
      <c r="D1554" s="4" t="inlineStr">
        <is>
          <t>10</t>
        </is>
      </c>
      <c r="E1554" s="13" t="n">
        <v>73.2</v>
      </c>
      <c r="F1554" s="12" t="n">
        <v>0.05999755859375</v>
      </c>
      <c r="G1554" s="4" t="n">
        <v>0</v>
      </c>
      <c r="H1554" s="4">
        <f>IF(OR(N(F1554)&gt;=0.5,G1554&gt;=4),3,IF(OR(N(F1554)&gt;=0.3,G1554=3),2,IF(OR(N(F1554)&gt;=0.1,G1554&gt;=1),1,0)))</f>
        <v/>
      </c>
      <c r="I1554" s="4">
        <f>CHOOSE(H1554+1,"Kein Risiko","Gering","Mittel","Hoch")</f>
        <v/>
      </c>
    </row>
    <row r="1555">
      <c r="A1555" s="4" t="n">
        <v>1551</v>
      </c>
      <c r="B1555" s="4" t="inlineStr">
        <is>
          <t>yes</t>
        </is>
      </c>
      <c r="C1555" s="4" t="inlineStr">
        <is>
          <t>Frauenstein</t>
        </is>
      </c>
      <c r="D1555" s="4" t="inlineStr">
        <is>
          <t>11</t>
        </is>
      </c>
      <c r="E1555" s="13" t="n">
        <v>61.3</v>
      </c>
      <c r="F1555" s="12" t="n">
        <v>0</v>
      </c>
      <c r="G1555" s="4" t="n">
        <v>1</v>
      </c>
      <c r="H1555" s="4">
        <f>IF(OR(N(F1555)&gt;=0.5,G1555&gt;=4),3,IF(OR(N(F1555)&gt;=0.3,G1555=3),2,IF(OR(N(F1555)&gt;=0.1,G1555&gt;=1),1,0)))</f>
        <v/>
      </c>
      <c r="I1555" s="4">
        <f>CHOOSE(H1555+1,"Kein Risiko","Gering","Mittel","Hoch")</f>
        <v/>
      </c>
    </row>
    <row r="1556">
      <c r="A1556" s="4" t="n">
        <v>1552</v>
      </c>
      <c r="B1556" s="4" t="inlineStr">
        <is>
          <t>semidetached_house</t>
        </is>
      </c>
      <c r="C1556" s="4" t="inlineStr">
        <is>
          <t>Phönixberg</t>
        </is>
      </c>
      <c r="D1556" s="4" t="inlineStr">
        <is>
          <t>11</t>
        </is>
      </c>
      <c r="E1556" s="13" t="n">
        <v>100.4</v>
      </c>
      <c r="F1556" s="12" t="n">
        <v>0.01999664306640625</v>
      </c>
      <c r="G1556" s="4" t="n">
        <v>0</v>
      </c>
      <c r="H1556" s="4">
        <f>IF(OR(N(F1556)&gt;=0.5,G1556&gt;=4),3,IF(OR(N(F1556)&gt;=0.3,G1556=3),2,IF(OR(N(F1556)&gt;=0.1,G1556&gt;=1),1,0)))</f>
        <v/>
      </c>
      <c r="I1556" s="4">
        <f>CHOOSE(H1556+1,"Kein Risiko","Gering","Mittel","Hoch")</f>
        <v/>
      </c>
    </row>
    <row r="1557">
      <c r="A1557" s="4" t="n">
        <v>1553</v>
      </c>
      <c r="B1557" s="4" t="inlineStr">
        <is>
          <t>semidetached_house</t>
        </is>
      </c>
      <c r="C1557" s="4" t="inlineStr">
        <is>
          <t>Ruhrlandbogen</t>
        </is>
      </c>
      <c r="D1557" s="4" t="inlineStr">
        <is>
          <t>11</t>
        </is>
      </c>
      <c r="E1557" s="13" t="n">
        <v>72</v>
      </c>
      <c r="F1557" s="12" t="n">
        <v>0</v>
      </c>
      <c r="G1557" s="4" t="n">
        <v>0</v>
      </c>
      <c r="H1557" s="4">
        <f>IF(OR(N(F1557)&gt;=0.5,G1557&gt;=4),3,IF(OR(N(F1557)&gt;=0.3,G1557=3),2,IF(OR(N(F1557)&gt;=0.1,G1557&gt;=1),1,0)))</f>
        <v/>
      </c>
      <c r="I1557" s="4">
        <f>CHOOSE(H1557+1,"Kein Risiko","Gering","Mittel","Hoch")</f>
        <v/>
      </c>
    </row>
    <row r="1558">
      <c r="A1558" s="4" t="n">
        <v>1554</v>
      </c>
      <c r="B1558" s="4" t="inlineStr">
        <is>
          <t>house</t>
        </is>
      </c>
      <c r="C1558" s="4" t="inlineStr">
        <is>
          <t>Tholshof</t>
        </is>
      </c>
      <c r="D1558" s="4" t="inlineStr">
        <is>
          <t>11</t>
        </is>
      </c>
      <c r="E1558" s="13" t="n">
        <v>71.8</v>
      </c>
      <c r="F1558" s="12" t="n">
        <v>0.04000091552734375</v>
      </c>
      <c r="G1558" s="4" t="n">
        <v>0</v>
      </c>
      <c r="H1558" s="4">
        <f>IF(OR(N(F1558)&gt;=0.5,G1558&gt;=4),3,IF(OR(N(F1558)&gt;=0.3,G1558=3),2,IF(OR(N(F1558)&gt;=0.1,G1558&gt;=1),1,0)))</f>
        <v/>
      </c>
      <c r="I1558" s="4">
        <f>CHOOSE(H1558+1,"Kein Risiko","Gering","Mittel","Hoch")</f>
        <v/>
      </c>
    </row>
    <row r="1559">
      <c r="A1559" s="4" t="n">
        <v>1555</v>
      </c>
      <c r="B1559" s="4" t="inlineStr">
        <is>
          <t>yes</t>
        </is>
      </c>
      <c r="C1559" s="4" t="inlineStr">
        <is>
          <t>Frauenstein</t>
        </is>
      </c>
      <c r="D1559" s="4" t="inlineStr">
        <is>
          <t>112a</t>
        </is>
      </c>
      <c r="E1559" s="13" t="n">
        <v>70</v>
      </c>
      <c r="F1559" s="12" t="n">
        <v>0</v>
      </c>
      <c r="G1559" s="4" t="n">
        <v>0</v>
      </c>
      <c r="H1559" s="4">
        <f>IF(OR(N(F1559)&gt;=0.5,G1559&gt;=4),3,IF(OR(N(F1559)&gt;=0.3,G1559=3),2,IF(OR(N(F1559)&gt;=0.1,G1559&gt;=1),1,0)))</f>
        <v/>
      </c>
      <c r="I1559" s="4">
        <f>CHOOSE(H1559+1,"Kein Risiko","Gering","Mittel","Hoch")</f>
        <v/>
      </c>
    </row>
    <row r="1560">
      <c r="A1560" s="4" t="n">
        <v>1556</v>
      </c>
      <c r="B1560" s="4" t="inlineStr">
        <is>
          <t>yes</t>
        </is>
      </c>
      <c r="C1560" s="4" t="inlineStr">
        <is>
          <t>Frauenstein</t>
        </is>
      </c>
      <c r="D1560" s="4" t="inlineStr">
        <is>
          <t>114b</t>
        </is>
      </c>
      <c r="E1560" s="13" t="n">
        <v>79.7</v>
      </c>
      <c r="F1560" s="12" t="n">
        <v>0</v>
      </c>
      <c r="G1560" s="4" t="n">
        <v>0</v>
      </c>
      <c r="H1560" s="4">
        <f>IF(OR(N(F1560)&gt;=0.5,G1560&gt;=4),3,IF(OR(N(F1560)&gt;=0.3,G1560=3),2,IF(OR(N(F1560)&gt;=0.1,G1560&gt;=1),1,0)))</f>
        <v/>
      </c>
      <c r="I1560" s="4">
        <f>CHOOSE(H1560+1,"Kein Risiko","Gering","Mittel","Hoch")</f>
        <v/>
      </c>
    </row>
    <row r="1561">
      <c r="A1561" s="4" t="n">
        <v>1557</v>
      </c>
      <c r="B1561" s="4" t="inlineStr">
        <is>
          <t>yes</t>
        </is>
      </c>
      <c r="C1561" s="4" t="inlineStr">
        <is>
          <t>Frauenstein</t>
        </is>
      </c>
      <c r="D1561" s="4" t="inlineStr">
        <is>
          <t>115</t>
        </is>
      </c>
      <c r="E1561" s="13" t="n">
        <v>193.9</v>
      </c>
      <c r="F1561" s="12" t="n">
        <v>0.029998779296875</v>
      </c>
      <c r="G1561" s="4" t="n">
        <v>0</v>
      </c>
      <c r="H1561" s="4">
        <f>IF(OR(N(F1561)&gt;=0.5,G1561&gt;=4),3,IF(OR(N(F1561)&gt;=0.3,G1561=3),2,IF(OR(N(F1561)&gt;=0.1,G1561&gt;=1),1,0)))</f>
        <v/>
      </c>
      <c r="I1561" s="4">
        <f>CHOOSE(H1561+1,"Kein Risiko","Gering","Mittel","Hoch")</f>
        <v/>
      </c>
    </row>
    <row r="1562">
      <c r="A1562" s="4" t="n">
        <v>1558</v>
      </c>
      <c r="B1562" s="4" t="inlineStr">
        <is>
          <t>house</t>
        </is>
      </c>
      <c r="C1562" s="4" t="inlineStr">
        <is>
          <t>Frauenstein</t>
        </is>
      </c>
      <c r="D1562" s="4" t="inlineStr">
        <is>
          <t>116b</t>
        </is>
      </c>
      <c r="E1562" s="13" t="n">
        <v>69.8</v>
      </c>
      <c r="F1562" s="12" t="n">
        <v>0</v>
      </c>
      <c r="G1562" s="4" t="n">
        <v>1</v>
      </c>
      <c r="H1562" s="4">
        <f>IF(OR(N(F1562)&gt;=0.5,G1562&gt;=4),3,IF(OR(N(F1562)&gt;=0.3,G1562=3),2,IF(OR(N(F1562)&gt;=0.1,G1562&gt;=1),1,0)))</f>
        <v/>
      </c>
      <c r="I1562" s="4">
        <f>CHOOSE(H1562+1,"Kein Risiko","Gering","Mittel","Hoch")</f>
        <v/>
      </c>
    </row>
    <row r="1563">
      <c r="A1563" s="4" t="n">
        <v>1559</v>
      </c>
      <c r="B1563" s="4" t="inlineStr">
        <is>
          <t>apartments</t>
        </is>
      </c>
      <c r="C1563" s="4" t="inlineStr">
        <is>
          <t>Deilbachtal</t>
        </is>
      </c>
      <c r="D1563" s="4" t="inlineStr">
        <is>
          <t>12</t>
        </is>
      </c>
      <c r="E1563" s="13" t="n">
        <v>207.7</v>
      </c>
      <c r="F1563" s="12" t="n">
        <v>0.02000045776367188</v>
      </c>
      <c r="G1563" s="4" t="n">
        <v>0</v>
      </c>
      <c r="H1563" s="4">
        <f>IF(OR(N(F1563)&gt;=0.5,G1563&gt;=4),3,IF(OR(N(F1563)&gt;=0.3,G1563=3),2,IF(OR(N(F1563)&gt;=0.1,G1563&gt;=1),1,0)))</f>
        <v/>
      </c>
      <c r="I1563" s="4">
        <f>CHOOSE(H1563+1,"Kein Risiko","Gering","Mittel","Hoch")</f>
        <v/>
      </c>
    </row>
    <row r="1564">
      <c r="A1564" s="4" t="n">
        <v>1560</v>
      </c>
      <c r="B1564" s="4" t="inlineStr">
        <is>
          <t>semidetached_house</t>
        </is>
      </c>
      <c r="C1564" s="4" t="inlineStr">
        <is>
          <t>Phönixberg</t>
        </is>
      </c>
      <c r="D1564" s="4" t="inlineStr">
        <is>
          <t>12</t>
        </is>
      </c>
      <c r="E1564" s="13" t="n">
        <v>77.90000000000001</v>
      </c>
      <c r="F1564" s="12" t="n">
        <v>0.03000640869140625</v>
      </c>
      <c r="G1564" s="4" t="n">
        <v>0</v>
      </c>
      <c r="H1564" s="4">
        <f>IF(OR(N(F1564)&gt;=0.5,G1564&gt;=4),3,IF(OR(N(F1564)&gt;=0.3,G1564=3),2,IF(OR(N(F1564)&gt;=0.1,G1564&gt;=1),1,0)))</f>
        <v/>
      </c>
      <c r="I1564" s="4">
        <f>CHOOSE(H1564+1,"Kein Risiko","Gering","Mittel","Hoch")</f>
        <v/>
      </c>
    </row>
    <row r="1565">
      <c r="A1565" s="4" t="n">
        <v>1561</v>
      </c>
      <c r="B1565" s="4" t="inlineStr">
        <is>
          <t>apartments</t>
        </is>
      </c>
      <c r="C1565" s="4" t="inlineStr">
        <is>
          <t>Ruhrlandbogen</t>
        </is>
      </c>
      <c r="D1565" s="4" t="inlineStr">
        <is>
          <t>12</t>
        </is>
      </c>
      <c r="E1565" s="13" t="n">
        <v>210.8</v>
      </c>
      <c r="F1565" s="12" t="n">
        <v>0.04000091552734375</v>
      </c>
      <c r="G1565" s="4" t="n">
        <v>1</v>
      </c>
      <c r="H1565" s="4">
        <f>IF(OR(N(F1565)&gt;=0.5,G1565&gt;=4),3,IF(OR(N(F1565)&gt;=0.3,G1565=3),2,IF(OR(N(F1565)&gt;=0.1,G1565&gt;=1),1,0)))</f>
        <v/>
      </c>
      <c r="I1565" s="4">
        <f>CHOOSE(H1565+1,"Kein Risiko","Gering","Mittel","Hoch")</f>
        <v/>
      </c>
    </row>
    <row r="1566">
      <c r="A1566" s="4" t="n">
        <v>1562</v>
      </c>
      <c r="B1566" s="4" t="inlineStr">
        <is>
          <t>yes</t>
        </is>
      </c>
      <c r="C1566" s="4" t="inlineStr">
        <is>
          <t>Frauenstein</t>
        </is>
      </c>
      <c r="D1566" s="4" t="inlineStr">
        <is>
          <t>13</t>
        </is>
      </c>
      <c r="E1566" s="13" t="n">
        <v>63.4</v>
      </c>
      <c r="F1566" s="12" t="n">
        <v>0</v>
      </c>
      <c r="G1566" s="4" t="n">
        <v>0</v>
      </c>
      <c r="H1566" s="4">
        <f>IF(OR(N(F1566)&gt;=0.5,G1566&gt;=4),3,IF(OR(N(F1566)&gt;=0.3,G1566=3),2,IF(OR(N(F1566)&gt;=0.1,G1566&gt;=1),1,0)))</f>
        <v/>
      </c>
      <c r="I1566" s="4">
        <f>CHOOSE(H1566+1,"Kein Risiko","Gering","Mittel","Hoch")</f>
        <v/>
      </c>
    </row>
    <row r="1567">
      <c r="A1567" s="4" t="n">
        <v>1563</v>
      </c>
      <c r="B1567" s="4" t="inlineStr">
        <is>
          <t>semidetached_house</t>
        </is>
      </c>
      <c r="C1567" s="4" t="inlineStr">
        <is>
          <t>Phönixberg</t>
        </is>
      </c>
      <c r="D1567" s="4" t="inlineStr">
        <is>
          <t>13</t>
        </is>
      </c>
      <c r="E1567" s="13" t="n">
        <v>100.3</v>
      </c>
      <c r="F1567" s="12" t="n">
        <v>0.0200042724609375</v>
      </c>
      <c r="G1567" s="4" t="n">
        <v>0</v>
      </c>
      <c r="H1567" s="4">
        <f>IF(OR(N(F1567)&gt;=0.5,G1567&gt;=4),3,IF(OR(N(F1567)&gt;=0.3,G1567=3),2,IF(OR(N(F1567)&gt;=0.1,G1567&gt;=1),1,0)))</f>
        <v/>
      </c>
      <c r="I1567" s="4">
        <f>CHOOSE(H1567+1,"Kein Risiko","Gering","Mittel","Hoch")</f>
        <v/>
      </c>
    </row>
    <row r="1568">
      <c r="A1568" s="4" t="n">
        <v>1564</v>
      </c>
      <c r="B1568" s="4" t="inlineStr">
        <is>
          <t>semidetached_house</t>
        </is>
      </c>
      <c r="C1568" s="4" t="inlineStr">
        <is>
          <t>Ruhrlandbogen</t>
        </is>
      </c>
      <c r="D1568" s="4" t="inlineStr">
        <is>
          <t>13</t>
        </is>
      </c>
      <c r="E1568" s="13" t="n">
        <v>72.09999999999999</v>
      </c>
      <c r="F1568" s="12" t="n">
        <v>0</v>
      </c>
      <c r="G1568" s="4" t="n">
        <v>0</v>
      </c>
      <c r="H1568" s="4">
        <f>IF(OR(N(F1568)&gt;=0.5,G1568&gt;=4),3,IF(OR(N(F1568)&gt;=0.3,G1568=3),2,IF(OR(N(F1568)&gt;=0.1,G1568&gt;=1),1,0)))</f>
        <v/>
      </c>
      <c r="I1568" s="4">
        <f>CHOOSE(H1568+1,"Kein Risiko","Gering","Mittel","Hoch")</f>
        <v/>
      </c>
    </row>
    <row r="1569">
      <c r="A1569" s="4" t="n">
        <v>1565</v>
      </c>
      <c r="B1569" s="4" t="inlineStr">
        <is>
          <t>house</t>
        </is>
      </c>
      <c r="C1569" s="4" t="inlineStr">
        <is>
          <t>Tholshof</t>
        </is>
      </c>
      <c r="D1569" s="4" t="inlineStr">
        <is>
          <t>13</t>
        </is>
      </c>
      <c r="E1569" s="13" t="n">
        <v>65.40000000000001</v>
      </c>
      <c r="F1569" s="12" t="n">
        <v>0</v>
      </c>
      <c r="G1569" s="4" t="n">
        <v>0</v>
      </c>
      <c r="H1569" s="4">
        <f>IF(OR(N(F1569)&gt;=0.5,G1569&gt;=4),3,IF(OR(N(F1569)&gt;=0.3,G1569=3),2,IF(OR(N(F1569)&gt;=0.1,G1569&gt;=1),1,0)))</f>
        <v/>
      </c>
      <c r="I1569" s="4">
        <f>CHOOSE(H1569+1,"Kein Risiko","Gering","Mittel","Hoch")</f>
        <v/>
      </c>
    </row>
    <row r="1570">
      <c r="A1570" s="4" t="n">
        <v>1566</v>
      </c>
      <c r="B1570" s="4" t="inlineStr">
        <is>
          <t>yes</t>
        </is>
      </c>
      <c r="C1570" s="4" t="inlineStr">
        <is>
          <t>Frauenstein</t>
        </is>
      </c>
      <c r="D1570" s="4" t="inlineStr">
        <is>
          <t>137d</t>
        </is>
      </c>
      <c r="E1570" s="13" t="n">
        <v>68.2</v>
      </c>
      <c r="F1570" s="12" t="n">
        <v>0.09999847412109375</v>
      </c>
      <c r="G1570" s="4" t="n">
        <v>0</v>
      </c>
      <c r="H1570" s="4">
        <f>IF(OR(N(F1570)&gt;=0.5,G1570&gt;=4),3,IF(OR(N(F1570)&gt;=0.3,G1570=3),2,IF(OR(N(F1570)&gt;=0.1,G1570&gt;=1),1,0)))</f>
        <v/>
      </c>
      <c r="I1570" s="4">
        <f>CHOOSE(H1570+1,"Kein Risiko","Gering","Mittel","Hoch")</f>
        <v/>
      </c>
    </row>
    <row r="1571">
      <c r="A1571" s="4" t="n">
        <v>1567</v>
      </c>
      <c r="B1571" s="4" t="inlineStr">
        <is>
          <t>yes</t>
        </is>
      </c>
      <c r="C1571" s="4" t="inlineStr">
        <is>
          <t>Frauenstein</t>
        </is>
      </c>
      <c r="D1571" s="4" t="inlineStr">
        <is>
          <t>137f</t>
        </is>
      </c>
      <c r="E1571" s="13" t="n">
        <v>74.3</v>
      </c>
      <c r="F1571" s="12" t="n">
        <v>0</v>
      </c>
      <c r="G1571" s="4" t="n">
        <v>0</v>
      </c>
      <c r="H1571" s="4">
        <f>IF(OR(N(F1571)&gt;=0.5,G1571&gt;=4),3,IF(OR(N(F1571)&gt;=0.3,G1571=3),2,IF(OR(N(F1571)&gt;=0.1,G1571&gt;=1),1,0)))</f>
        <v/>
      </c>
      <c r="I1571" s="4">
        <f>CHOOSE(H1571+1,"Kein Risiko","Gering","Mittel","Hoch")</f>
        <v/>
      </c>
    </row>
    <row r="1572">
      <c r="A1572" s="4" t="n">
        <v>1568</v>
      </c>
      <c r="B1572" s="4" t="inlineStr">
        <is>
          <t>apartments</t>
        </is>
      </c>
      <c r="C1572" s="4" t="inlineStr">
        <is>
          <t>Deilbachtal</t>
        </is>
      </c>
      <c r="D1572" s="4" t="inlineStr">
        <is>
          <t>14</t>
        </is>
      </c>
      <c r="E1572" s="13" t="n">
        <v>179.5</v>
      </c>
      <c r="F1572" s="12" t="n">
        <v>0</v>
      </c>
      <c r="G1572" s="4" t="n">
        <v>0</v>
      </c>
      <c r="H1572" s="4">
        <f>IF(OR(N(F1572)&gt;=0.5,G1572&gt;=4),3,IF(OR(N(F1572)&gt;=0.3,G1572=3),2,IF(OR(N(F1572)&gt;=0.1,G1572&gt;=1),1,0)))</f>
        <v/>
      </c>
      <c r="I1572" s="4">
        <f>CHOOSE(H1572+1,"Kein Risiko","Gering","Mittel","Hoch")</f>
        <v/>
      </c>
    </row>
    <row r="1573">
      <c r="A1573" s="4" t="n">
        <v>1569</v>
      </c>
      <c r="B1573" s="4" t="inlineStr">
        <is>
          <t>semidetached_house</t>
        </is>
      </c>
      <c r="C1573" s="4" t="inlineStr">
        <is>
          <t>Phönixberg</t>
        </is>
      </c>
      <c r="D1573" s="4" t="inlineStr">
        <is>
          <t>14</t>
        </is>
      </c>
      <c r="E1573" s="13" t="n">
        <v>79.5</v>
      </c>
      <c r="F1573" s="12" t="n">
        <v>0.04000091552734375</v>
      </c>
      <c r="G1573" s="4" t="n">
        <v>0</v>
      </c>
      <c r="H1573" s="4">
        <f>IF(OR(N(F1573)&gt;=0.5,G1573&gt;=4),3,IF(OR(N(F1573)&gt;=0.3,G1573=3),2,IF(OR(N(F1573)&gt;=0.1,G1573&gt;=1),1,0)))</f>
        <v/>
      </c>
      <c r="I1573" s="4">
        <f>CHOOSE(H1573+1,"Kein Risiko","Gering","Mittel","Hoch")</f>
        <v/>
      </c>
    </row>
    <row r="1574">
      <c r="A1574" s="4" t="n">
        <v>1570</v>
      </c>
      <c r="B1574" s="4" t="inlineStr">
        <is>
          <t>yes</t>
        </is>
      </c>
      <c r="C1574" s="4" t="inlineStr">
        <is>
          <t>Priemhauser Weg</t>
        </is>
      </c>
      <c r="D1574" s="4" t="inlineStr">
        <is>
          <t>14</t>
        </is>
      </c>
      <c r="E1574" s="13" t="n">
        <v>101</v>
      </c>
      <c r="F1574" s="12" t="n">
        <v>0.01000213623046875</v>
      </c>
      <c r="G1574" s="4" t="n">
        <v>1</v>
      </c>
      <c r="H1574" s="4">
        <f>IF(OR(N(F1574)&gt;=0.5,G1574&gt;=4),3,IF(OR(N(F1574)&gt;=0.3,G1574=3),2,IF(OR(N(F1574)&gt;=0.1,G1574&gt;=1),1,0)))</f>
        <v/>
      </c>
      <c r="I1574" s="4">
        <f>CHOOSE(H1574+1,"Kein Risiko","Gering","Mittel","Hoch")</f>
        <v/>
      </c>
    </row>
    <row r="1575">
      <c r="A1575" s="4" t="n">
        <v>1571</v>
      </c>
      <c r="B1575" s="4" t="inlineStr">
        <is>
          <t>semidetached_house</t>
        </is>
      </c>
      <c r="C1575" s="4" t="inlineStr">
        <is>
          <t>Tholshof</t>
        </is>
      </c>
      <c r="D1575" s="4" t="inlineStr">
        <is>
          <t>14</t>
        </is>
      </c>
      <c r="E1575" s="13" t="n">
        <v>72.90000000000001</v>
      </c>
      <c r="F1575" s="12" t="n">
        <v>0.029998779296875</v>
      </c>
      <c r="G1575" s="4" t="n">
        <v>0</v>
      </c>
      <c r="H1575" s="4">
        <f>IF(OR(N(F1575)&gt;=0.5,G1575&gt;=4),3,IF(OR(N(F1575)&gt;=0.3,G1575=3),2,IF(OR(N(F1575)&gt;=0.1,G1575&gt;=1),1,0)))</f>
        <v/>
      </c>
      <c r="I1575" s="4">
        <f>CHOOSE(H1575+1,"Kein Risiko","Gering","Mittel","Hoch")</f>
        <v/>
      </c>
    </row>
    <row r="1576">
      <c r="A1576" s="4" t="n">
        <v>1572</v>
      </c>
      <c r="B1576" s="4" t="inlineStr">
        <is>
          <t>yes</t>
        </is>
      </c>
      <c r="C1576" s="4" t="inlineStr">
        <is>
          <t>Frauenstein</t>
        </is>
      </c>
      <c r="D1576" s="4" t="inlineStr">
        <is>
          <t>15</t>
        </is>
      </c>
      <c r="E1576" s="13" t="n">
        <v>63.5</v>
      </c>
      <c r="F1576" s="12" t="n">
        <v>0</v>
      </c>
      <c r="G1576" s="4" t="n">
        <v>0</v>
      </c>
      <c r="H1576" s="4">
        <f>IF(OR(N(F1576)&gt;=0.5,G1576&gt;=4),3,IF(OR(N(F1576)&gt;=0.3,G1576=3),2,IF(OR(N(F1576)&gt;=0.1,G1576&gt;=1),1,0)))</f>
        <v/>
      </c>
      <c r="I1576" s="4">
        <f>CHOOSE(H1576+1,"Kein Risiko","Gering","Mittel","Hoch")</f>
        <v/>
      </c>
    </row>
    <row r="1577">
      <c r="A1577" s="4" t="n">
        <v>1573</v>
      </c>
      <c r="B1577" s="4" t="inlineStr">
        <is>
          <t>yes</t>
        </is>
      </c>
      <c r="C1577" s="4" t="inlineStr">
        <is>
          <t>Oslenderstraße</t>
        </is>
      </c>
      <c r="D1577" s="4" t="inlineStr">
        <is>
          <t>15</t>
        </is>
      </c>
      <c r="E1577" s="13" t="n">
        <v>54.5</v>
      </c>
      <c r="F1577" s="12" t="n">
        <v>0</v>
      </c>
      <c r="G1577" s="4" t="n">
        <v>0</v>
      </c>
      <c r="H1577" s="4">
        <f>IF(OR(N(F1577)&gt;=0.5,G1577&gt;=4),3,IF(OR(N(F1577)&gt;=0.3,G1577=3),2,IF(OR(N(F1577)&gt;=0.1,G1577&gt;=1),1,0)))</f>
        <v/>
      </c>
      <c r="I1577" s="4">
        <f>CHOOSE(H1577+1,"Kein Risiko","Gering","Mittel","Hoch")</f>
        <v/>
      </c>
    </row>
    <row r="1578">
      <c r="A1578" s="4" t="n">
        <v>1574</v>
      </c>
      <c r="B1578" s="4" t="inlineStr">
        <is>
          <t>semidetached_house</t>
        </is>
      </c>
      <c r="C1578" s="4" t="inlineStr">
        <is>
          <t>Phönixberg</t>
        </is>
      </c>
      <c r="D1578" s="4" t="inlineStr">
        <is>
          <t>15</t>
        </is>
      </c>
      <c r="E1578" s="13" t="n">
        <v>100.4</v>
      </c>
      <c r="F1578" s="12" t="n">
        <v>0</v>
      </c>
      <c r="G1578" s="4" t="n">
        <v>0</v>
      </c>
      <c r="H1578" s="4">
        <f>IF(OR(N(F1578)&gt;=0.5,G1578&gt;=4),3,IF(OR(N(F1578)&gt;=0.3,G1578=3),2,IF(OR(N(F1578)&gt;=0.1,G1578&gt;=1),1,0)))</f>
        <v/>
      </c>
      <c r="I1578" s="4">
        <f>CHOOSE(H1578+1,"Kein Risiko","Gering","Mittel","Hoch")</f>
        <v/>
      </c>
    </row>
    <row r="1579">
      <c r="A1579" s="4" t="n">
        <v>1575</v>
      </c>
      <c r="B1579" s="4" t="inlineStr">
        <is>
          <t>house</t>
        </is>
      </c>
      <c r="C1579" s="4" t="inlineStr">
        <is>
          <t>Ruhrlandbogen</t>
        </is>
      </c>
      <c r="D1579" s="4" t="inlineStr">
        <is>
          <t>15</t>
        </is>
      </c>
      <c r="E1579" s="13" t="n">
        <v>69.90000000000001</v>
      </c>
      <c r="F1579" s="12" t="n">
        <v>0</v>
      </c>
      <c r="G1579" s="4" t="n">
        <v>0</v>
      </c>
      <c r="H1579" s="4">
        <f>IF(OR(N(F1579)&gt;=0.5,G1579&gt;=4),3,IF(OR(N(F1579)&gt;=0.3,G1579=3),2,IF(OR(N(F1579)&gt;=0.1,G1579&gt;=1),1,0)))</f>
        <v/>
      </c>
      <c r="I1579" s="4">
        <f>CHOOSE(H1579+1,"Kein Risiko","Gering","Mittel","Hoch")</f>
        <v/>
      </c>
    </row>
    <row r="1580">
      <c r="A1580" s="4" t="n">
        <v>1576</v>
      </c>
      <c r="B1580" s="4" t="inlineStr">
        <is>
          <t>house</t>
        </is>
      </c>
      <c r="C1580" s="4" t="inlineStr">
        <is>
          <t>Tholshof</t>
        </is>
      </c>
      <c r="D1580" s="4" t="inlineStr">
        <is>
          <t>15</t>
        </is>
      </c>
      <c r="E1580" s="13" t="n">
        <v>67.40000000000001</v>
      </c>
      <c r="F1580" s="12" t="n">
        <v>0</v>
      </c>
      <c r="G1580" s="4" t="n">
        <v>0</v>
      </c>
      <c r="H1580" s="4">
        <f>IF(OR(N(F1580)&gt;=0.5,G1580&gt;=4),3,IF(OR(N(F1580)&gt;=0.3,G1580=3),2,IF(OR(N(F1580)&gt;=0.1,G1580&gt;=1),1,0)))</f>
        <v/>
      </c>
      <c r="I1580" s="4">
        <f>CHOOSE(H1580+1,"Kein Risiko","Gering","Mittel","Hoch")</f>
        <v/>
      </c>
    </row>
    <row r="1581">
      <c r="A1581" s="4" t="n">
        <v>1577</v>
      </c>
      <c r="B1581" s="4" t="inlineStr">
        <is>
          <t>apartments</t>
        </is>
      </c>
      <c r="C1581" s="4" t="inlineStr">
        <is>
          <t>Deilbachtal</t>
        </is>
      </c>
      <c r="D1581" s="4" t="inlineStr">
        <is>
          <t>16</t>
        </is>
      </c>
      <c r="E1581" s="13" t="n">
        <v>179.7</v>
      </c>
      <c r="F1581" s="12" t="n"/>
      <c r="G1581" s="4" t="n">
        <v>0</v>
      </c>
      <c r="H1581" s="4">
        <f>IF(OR(N(F1581)&gt;=0.5,G1581&gt;=4),3,IF(OR(N(F1581)&gt;=0.3,G1581=3),2,IF(OR(N(F1581)&gt;=0.1,G1581&gt;=1),1,0)))</f>
        <v/>
      </c>
      <c r="I1581" s="4">
        <f>CHOOSE(H1581+1,"Kein Risiko","Gering","Mittel","Hoch")</f>
        <v/>
      </c>
    </row>
    <row r="1582">
      <c r="A1582" s="4" t="n">
        <v>1578</v>
      </c>
      <c r="B1582" s="4" t="inlineStr">
        <is>
          <t>semidetached_house</t>
        </is>
      </c>
      <c r="C1582" s="4" t="inlineStr">
        <is>
          <t>Phönixberg</t>
        </is>
      </c>
      <c r="D1582" s="4" t="inlineStr">
        <is>
          <t>16</t>
        </is>
      </c>
      <c r="E1582" s="13" t="n">
        <v>79.5</v>
      </c>
      <c r="F1582" s="12" t="n">
        <v>0.029998779296875</v>
      </c>
      <c r="G1582" s="4" t="n">
        <v>0</v>
      </c>
      <c r="H1582" s="4">
        <f>IF(OR(N(F1582)&gt;=0.5,G1582&gt;=4),3,IF(OR(N(F1582)&gt;=0.3,G1582=3),2,IF(OR(N(F1582)&gt;=0.1,G1582&gt;=1),1,0)))</f>
        <v/>
      </c>
      <c r="I1582" s="4">
        <f>CHOOSE(H1582+1,"Kein Risiko","Gering","Mittel","Hoch")</f>
        <v/>
      </c>
    </row>
    <row r="1583">
      <c r="A1583" s="4" t="n">
        <v>1579</v>
      </c>
      <c r="B1583" s="4" t="inlineStr">
        <is>
          <t>yes</t>
        </is>
      </c>
      <c r="C1583" s="4" t="inlineStr">
        <is>
          <t>Priemhauser Weg</t>
        </is>
      </c>
      <c r="D1583" s="4" t="inlineStr">
        <is>
          <t>16</t>
        </is>
      </c>
      <c r="E1583" s="13" t="n">
        <v>101.1</v>
      </c>
      <c r="F1583" s="12" t="n">
        <v>0</v>
      </c>
      <c r="G1583" s="4" t="n">
        <v>1</v>
      </c>
      <c r="H1583" s="4">
        <f>IF(OR(N(F1583)&gt;=0.5,G1583&gt;=4),3,IF(OR(N(F1583)&gt;=0.3,G1583=3),2,IF(OR(N(F1583)&gt;=0.1,G1583&gt;=1),1,0)))</f>
        <v/>
      </c>
      <c r="I1583" s="4">
        <f>CHOOSE(H1583+1,"Kein Risiko","Gering","Mittel","Hoch")</f>
        <v/>
      </c>
    </row>
    <row r="1584">
      <c r="A1584" s="4" t="n">
        <v>1580</v>
      </c>
      <c r="B1584" s="4" t="inlineStr">
        <is>
          <t>yes</t>
        </is>
      </c>
      <c r="C1584" s="4" t="inlineStr">
        <is>
          <t>Frauenstein</t>
        </is>
      </c>
      <c r="D1584" s="4" t="inlineStr">
        <is>
          <t>17</t>
        </is>
      </c>
      <c r="E1584" s="13" t="n">
        <v>63.1</v>
      </c>
      <c r="F1584" s="12" t="n">
        <v>0</v>
      </c>
      <c r="G1584" s="4" t="n">
        <v>0</v>
      </c>
      <c r="H1584" s="4">
        <f>IF(OR(N(F1584)&gt;=0.5,G1584&gt;=4),3,IF(OR(N(F1584)&gt;=0.3,G1584=3),2,IF(OR(N(F1584)&gt;=0.1,G1584&gt;=1),1,0)))</f>
        <v/>
      </c>
      <c r="I1584" s="4">
        <f>CHOOSE(H1584+1,"Kein Risiko","Gering","Mittel","Hoch")</f>
        <v/>
      </c>
    </row>
    <row r="1585">
      <c r="A1585" s="4" t="n">
        <v>1581</v>
      </c>
      <c r="B1585" s="4" t="inlineStr">
        <is>
          <t>yes</t>
        </is>
      </c>
      <c r="C1585" s="4" t="inlineStr">
        <is>
          <t>Oslenderstraße</t>
        </is>
      </c>
      <c r="D1585" s="4" t="inlineStr">
        <is>
          <t>17</t>
        </is>
      </c>
      <c r="E1585" s="13" t="n">
        <v>54.7</v>
      </c>
      <c r="F1585" s="12" t="n">
        <v>0.01000213623046875</v>
      </c>
      <c r="G1585" s="4" t="n">
        <v>0</v>
      </c>
      <c r="H1585" s="4">
        <f>IF(OR(N(F1585)&gt;=0.5,G1585&gt;=4),3,IF(OR(N(F1585)&gt;=0.3,G1585=3),2,IF(OR(N(F1585)&gt;=0.1,G1585&gt;=1),1,0)))</f>
        <v/>
      </c>
      <c r="I1585" s="4">
        <f>CHOOSE(H1585+1,"Kein Risiko","Gering","Mittel","Hoch")</f>
        <v/>
      </c>
    </row>
    <row r="1586">
      <c r="A1586" s="4" t="n">
        <v>1582</v>
      </c>
      <c r="B1586" s="4" t="inlineStr">
        <is>
          <t>semidetached_house</t>
        </is>
      </c>
      <c r="C1586" s="4" t="inlineStr">
        <is>
          <t>Phönixberg</t>
        </is>
      </c>
      <c r="D1586" s="4" t="inlineStr">
        <is>
          <t>17</t>
        </is>
      </c>
      <c r="E1586" s="13" t="n">
        <v>100.3</v>
      </c>
      <c r="F1586" s="12" t="n">
        <v>0</v>
      </c>
      <c r="G1586" s="4" t="n">
        <v>0</v>
      </c>
      <c r="H1586" s="4">
        <f>IF(OR(N(F1586)&gt;=0.5,G1586&gt;=4),3,IF(OR(N(F1586)&gt;=0.3,G1586=3),2,IF(OR(N(F1586)&gt;=0.1,G1586&gt;=1),1,0)))</f>
        <v/>
      </c>
      <c r="I1586" s="4">
        <f>CHOOSE(H1586+1,"Kein Risiko","Gering","Mittel","Hoch")</f>
        <v/>
      </c>
    </row>
    <row r="1587">
      <c r="A1587" s="4" t="n">
        <v>1583</v>
      </c>
      <c r="B1587" s="4" t="inlineStr">
        <is>
          <t>house</t>
        </is>
      </c>
      <c r="C1587" s="4" t="inlineStr">
        <is>
          <t>Ruhrlandbogen</t>
        </is>
      </c>
      <c r="D1587" s="4" t="inlineStr">
        <is>
          <t>17</t>
        </is>
      </c>
      <c r="E1587" s="13" t="n">
        <v>69.90000000000001</v>
      </c>
      <c r="F1587" s="12" t="n">
        <v>0</v>
      </c>
      <c r="G1587" s="4" t="n">
        <v>1</v>
      </c>
      <c r="H1587" s="4">
        <f>IF(OR(N(F1587)&gt;=0.5,G1587&gt;=4),3,IF(OR(N(F1587)&gt;=0.3,G1587=3),2,IF(OR(N(F1587)&gt;=0.1,G1587&gt;=1),1,0)))</f>
        <v/>
      </c>
      <c r="I1587" s="4">
        <f>CHOOSE(H1587+1,"Kein Risiko","Gering","Mittel","Hoch")</f>
        <v/>
      </c>
    </row>
    <row r="1588">
      <c r="A1588" s="4" t="n">
        <v>1584</v>
      </c>
      <c r="B1588" s="4" t="inlineStr">
        <is>
          <t>house</t>
        </is>
      </c>
      <c r="C1588" s="4" t="inlineStr">
        <is>
          <t>Tholshof</t>
        </is>
      </c>
      <c r="D1588" s="4" t="inlineStr">
        <is>
          <t>17</t>
        </is>
      </c>
      <c r="E1588" s="13" t="n">
        <v>65.3</v>
      </c>
      <c r="F1588" s="12" t="n">
        <v>0</v>
      </c>
      <c r="G1588" s="4" t="n">
        <v>0</v>
      </c>
      <c r="H1588" s="4">
        <f>IF(OR(N(F1588)&gt;=0.5,G1588&gt;=4),3,IF(OR(N(F1588)&gt;=0.3,G1588=3),2,IF(OR(N(F1588)&gt;=0.1,G1588&gt;=1),1,0)))</f>
        <v/>
      </c>
      <c r="I1588" s="4">
        <f>CHOOSE(H1588+1,"Kein Risiko","Gering","Mittel","Hoch")</f>
        <v/>
      </c>
    </row>
    <row r="1589">
      <c r="A1589" s="4" t="n">
        <v>1585</v>
      </c>
      <c r="B1589" s="4" t="inlineStr">
        <is>
          <t>apartments</t>
        </is>
      </c>
      <c r="C1589" s="4" t="inlineStr">
        <is>
          <t>Dilldorfer Straße</t>
        </is>
      </c>
      <c r="D1589" s="4" t="inlineStr">
        <is>
          <t>18</t>
        </is>
      </c>
      <c r="E1589" s="13" t="n">
        <v>140.3</v>
      </c>
      <c r="F1589" s="12" t="n">
        <v>0</v>
      </c>
      <c r="G1589" s="4" t="n">
        <v>0</v>
      </c>
      <c r="H1589" s="4">
        <f>IF(OR(N(F1589)&gt;=0.5,G1589&gt;=4),3,IF(OR(N(F1589)&gt;=0.3,G1589=3),2,IF(OR(N(F1589)&gt;=0.1,G1589&gt;=1),1,0)))</f>
        <v/>
      </c>
      <c r="I1589" s="4">
        <f>CHOOSE(H1589+1,"Kein Risiko","Gering","Mittel","Hoch")</f>
        <v/>
      </c>
    </row>
    <row r="1590">
      <c r="A1590" s="4" t="n">
        <v>1586</v>
      </c>
      <c r="B1590" s="4" t="inlineStr">
        <is>
          <t>semidetached_house</t>
        </is>
      </c>
      <c r="C1590" s="4" t="inlineStr">
        <is>
          <t>Phönixberg</t>
        </is>
      </c>
      <c r="D1590" s="4" t="inlineStr">
        <is>
          <t>18</t>
        </is>
      </c>
      <c r="E1590" s="13" t="n">
        <v>77.2</v>
      </c>
      <c r="F1590" s="12" t="n">
        <v>0.0500030517578125</v>
      </c>
      <c r="G1590" s="4" t="n">
        <v>0</v>
      </c>
      <c r="H1590" s="4">
        <f>IF(OR(N(F1590)&gt;=0.5,G1590&gt;=4),3,IF(OR(N(F1590)&gt;=0.3,G1590=3),2,IF(OR(N(F1590)&gt;=0.1,G1590&gt;=1),1,0)))</f>
        <v/>
      </c>
      <c r="I1590" s="4">
        <f>CHOOSE(H1590+1,"Kein Risiko","Gering","Mittel","Hoch")</f>
        <v/>
      </c>
    </row>
    <row r="1591">
      <c r="A1591" s="4" t="n">
        <v>1587</v>
      </c>
      <c r="B1591" s="4" t="inlineStr">
        <is>
          <t>yes</t>
        </is>
      </c>
      <c r="C1591" s="4" t="inlineStr">
        <is>
          <t>Priemhauser Weg</t>
        </is>
      </c>
      <c r="D1591" s="4" t="inlineStr">
        <is>
          <t>18</t>
        </is>
      </c>
      <c r="E1591" s="13" t="n">
        <v>94.7</v>
      </c>
      <c r="F1591" s="12" t="n">
        <v>0.09000396728515625</v>
      </c>
      <c r="G1591" s="4" t="n">
        <v>1</v>
      </c>
      <c r="H1591" s="4">
        <f>IF(OR(N(F1591)&gt;=0.5,G1591&gt;=4),3,IF(OR(N(F1591)&gt;=0.3,G1591=3),2,IF(OR(N(F1591)&gt;=0.1,G1591&gt;=1),1,0)))</f>
        <v/>
      </c>
      <c r="I1591" s="4">
        <f>CHOOSE(H1591+1,"Kein Risiko","Gering","Mittel","Hoch")</f>
        <v/>
      </c>
    </row>
    <row r="1592">
      <c r="A1592" s="4" t="n">
        <v>1588</v>
      </c>
      <c r="B1592" s="4" t="inlineStr">
        <is>
          <t>yes</t>
        </is>
      </c>
      <c r="C1592" s="4" t="inlineStr">
        <is>
          <t>Oslenderstraße</t>
        </is>
      </c>
      <c r="D1592" s="4" t="inlineStr">
        <is>
          <t>19</t>
        </is>
      </c>
      <c r="E1592" s="13" t="n">
        <v>54.6</v>
      </c>
      <c r="F1592" s="12" t="n">
        <v>0</v>
      </c>
      <c r="G1592" s="4" t="n">
        <v>0</v>
      </c>
      <c r="H1592" s="4">
        <f>IF(OR(N(F1592)&gt;=0.5,G1592&gt;=4),3,IF(OR(N(F1592)&gt;=0.3,G1592=3),2,IF(OR(N(F1592)&gt;=0.1,G1592&gt;=1),1,0)))</f>
        <v/>
      </c>
      <c r="I1592" s="4">
        <f>CHOOSE(H1592+1,"Kein Risiko","Gering","Mittel","Hoch")</f>
        <v/>
      </c>
    </row>
    <row r="1593">
      <c r="A1593" s="4" t="n">
        <v>1589</v>
      </c>
      <c r="B1593" s="4" t="inlineStr">
        <is>
          <t>semidetached_house</t>
        </is>
      </c>
      <c r="C1593" s="4" t="inlineStr">
        <is>
          <t>Phönixberg</t>
        </is>
      </c>
      <c r="D1593" s="4" t="inlineStr">
        <is>
          <t>19</t>
        </is>
      </c>
      <c r="E1593" s="13" t="n">
        <v>100.4</v>
      </c>
      <c r="F1593" s="12" t="n">
        <v>0</v>
      </c>
      <c r="G1593" s="4" t="n">
        <v>0</v>
      </c>
      <c r="H1593" s="4">
        <f>IF(OR(N(F1593)&gt;=0.5,G1593&gt;=4),3,IF(OR(N(F1593)&gt;=0.3,G1593=3),2,IF(OR(N(F1593)&gt;=0.1,G1593&gt;=1),1,0)))</f>
        <v/>
      </c>
      <c r="I1593" s="4">
        <f>CHOOSE(H1593+1,"Kein Risiko","Gering","Mittel","Hoch")</f>
        <v/>
      </c>
    </row>
    <row r="1594">
      <c r="A1594" s="4" t="n">
        <v>1590</v>
      </c>
      <c r="B1594" s="4" t="inlineStr">
        <is>
          <t>house</t>
        </is>
      </c>
      <c r="C1594" s="4" t="inlineStr">
        <is>
          <t>Ruhrlandbogen</t>
        </is>
      </c>
      <c r="D1594" s="4" t="inlineStr">
        <is>
          <t>19</t>
        </is>
      </c>
      <c r="E1594" s="13" t="n">
        <v>69.90000000000001</v>
      </c>
      <c r="F1594" s="12" t="n">
        <v>0</v>
      </c>
      <c r="G1594" s="4" t="n">
        <v>0</v>
      </c>
      <c r="H1594" s="4">
        <f>IF(OR(N(F1594)&gt;=0.5,G1594&gt;=4),3,IF(OR(N(F1594)&gt;=0.3,G1594=3),2,IF(OR(N(F1594)&gt;=0.1,G1594&gt;=1),1,0)))</f>
        <v/>
      </c>
      <c r="I1594" s="4">
        <f>CHOOSE(H1594+1,"Kein Risiko","Gering","Mittel","Hoch")</f>
        <v/>
      </c>
    </row>
    <row r="1595">
      <c r="A1595" s="4" t="n">
        <v>1591</v>
      </c>
      <c r="B1595" s="4" t="inlineStr">
        <is>
          <t>house</t>
        </is>
      </c>
      <c r="C1595" s="4" t="inlineStr">
        <is>
          <t>Tholshof</t>
        </is>
      </c>
      <c r="D1595" s="4" t="inlineStr">
        <is>
          <t>19</t>
        </is>
      </c>
      <c r="E1595" s="13" t="n">
        <v>68.7</v>
      </c>
      <c r="F1595" s="12" t="n">
        <v>0</v>
      </c>
      <c r="G1595" s="4" t="n">
        <v>0</v>
      </c>
      <c r="H1595" s="4">
        <f>IF(OR(N(F1595)&gt;=0.5,G1595&gt;=4),3,IF(OR(N(F1595)&gt;=0.3,G1595=3),2,IF(OR(N(F1595)&gt;=0.1,G1595&gt;=1),1,0)))</f>
        <v/>
      </c>
      <c r="I1595" s="4">
        <f>CHOOSE(H1595+1,"Kein Risiko","Gering","Mittel","Hoch")</f>
        <v/>
      </c>
    </row>
    <row r="1596">
      <c r="A1596" s="4" t="n">
        <v>1592</v>
      </c>
      <c r="B1596" s="4" t="inlineStr">
        <is>
          <t>semidetached_house</t>
        </is>
      </c>
      <c r="C1596" s="4" t="inlineStr">
        <is>
          <t>Phönixberg</t>
        </is>
      </c>
      <c r="D1596" s="4" t="inlineStr">
        <is>
          <t>1a</t>
        </is>
      </c>
      <c r="E1596" s="13" t="n">
        <v>72.7</v>
      </c>
      <c r="F1596" s="12" t="n">
        <v>0</v>
      </c>
      <c r="G1596" s="4" t="n">
        <v>0</v>
      </c>
      <c r="H1596" s="4">
        <f>IF(OR(N(F1596)&gt;=0.5,G1596&gt;=4),3,IF(OR(N(F1596)&gt;=0.3,G1596=3),2,IF(OR(N(F1596)&gt;=0.1,G1596&gt;=1),1,0)))</f>
        <v/>
      </c>
      <c r="I1596" s="4">
        <f>CHOOSE(H1596+1,"Kein Risiko","Gering","Mittel","Hoch")</f>
        <v/>
      </c>
    </row>
    <row r="1597">
      <c r="A1597" s="4" t="n">
        <v>1593</v>
      </c>
      <c r="B1597" s="4" t="inlineStr">
        <is>
          <t>detached</t>
        </is>
      </c>
      <c r="C1597" s="4" t="inlineStr">
        <is>
          <t>Hellersberg</t>
        </is>
      </c>
      <c r="D1597" s="4" t="inlineStr">
        <is>
          <t>1a</t>
        </is>
      </c>
      <c r="E1597" s="13" t="n">
        <v>91.3</v>
      </c>
      <c r="F1597" s="12" t="n">
        <v>0</v>
      </c>
      <c r="G1597" s="4" t="n">
        <v>0</v>
      </c>
      <c r="H1597" s="4">
        <f>IF(OR(N(F1597)&gt;=0.5,G1597&gt;=4),3,IF(OR(N(F1597)&gt;=0.3,G1597=3),2,IF(OR(N(F1597)&gt;=0.1,G1597&gt;=1),1,0)))</f>
        <v/>
      </c>
      <c r="I1597" s="4">
        <f>CHOOSE(H1597+1,"Kein Risiko","Gering","Mittel","Hoch")</f>
        <v/>
      </c>
    </row>
    <row r="1598">
      <c r="A1598" s="4" t="n">
        <v>1594</v>
      </c>
      <c r="B1598" s="4" t="inlineStr">
        <is>
          <t>semidetached_house</t>
        </is>
      </c>
      <c r="C1598" s="4" t="inlineStr">
        <is>
          <t>Phönixberg</t>
        </is>
      </c>
      <c r="D1598" s="4" t="inlineStr">
        <is>
          <t>1b</t>
        </is>
      </c>
      <c r="E1598" s="13" t="n">
        <v>72.59999999999999</v>
      </c>
      <c r="F1598" s="12" t="n">
        <v>0.01000213623046875</v>
      </c>
      <c r="G1598" s="4" t="n">
        <v>0</v>
      </c>
      <c r="H1598" s="4">
        <f>IF(OR(N(F1598)&gt;=0.5,G1598&gt;=4),3,IF(OR(N(F1598)&gt;=0.3,G1598=3),2,IF(OR(N(F1598)&gt;=0.1,G1598&gt;=1),1,0)))</f>
        <v/>
      </c>
      <c r="I1598" s="4">
        <f>CHOOSE(H1598+1,"Kein Risiko","Gering","Mittel","Hoch")</f>
        <v/>
      </c>
    </row>
    <row r="1599">
      <c r="A1599" s="4" t="n">
        <v>1595</v>
      </c>
      <c r="B1599" s="4" t="inlineStr">
        <is>
          <t>semidetached_house</t>
        </is>
      </c>
      <c r="C1599" s="4" t="inlineStr">
        <is>
          <t>Phönixberg</t>
        </is>
      </c>
      <c r="D1599" s="4" t="inlineStr">
        <is>
          <t>1d</t>
        </is>
      </c>
      <c r="E1599" s="13" t="n">
        <v>77.09999999999999</v>
      </c>
      <c r="F1599" s="12" t="n">
        <v>0.01000213623046875</v>
      </c>
      <c r="G1599" s="4" t="n">
        <v>0</v>
      </c>
      <c r="H1599" s="4">
        <f>IF(OR(N(F1599)&gt;=0.5,G1599&gt;=4),3,IF(OR(N(F1599)&gt;=0.3,G1599=3),2,IF(OR(N(F1599)&gt;=0.1,G1599&gt;=1),1,0)))</f>
        <v/>
      </c>
      <c r="I1599" s="4">
        <f>CHOOSE(H1599+1,"Kein Risiko","Gering","Mittel","Hoch")</f>
        <v/>
      </c>
    </row>
    <row r="1600">
      <c r="A1600" s="4" t="n">
        <v>1596</v>
      </c>
      <c r="B1600" s="4" t="inlineStr">
        <is>
          <t>semidetached_house</t>
        </is>
      </c>
      <c r="C1600" s="4" t="inlineStr">
        <is>
          <t>Phönixberg</t>
        </is>
      </c>
      <c r="D1600" s="4" t="inlineStr">
        <is>
          <t>1f</t>
        </is>
      </c>
      <c r="E1600" s="13" t="n">
        <v>74.09999999999999</v>
      </c>
      <c r="F1600" s="12" t="n">
        <v>0</v>
      </c>
      <c r="G1600" s="4" t="n">
        <v>0</v>
      </c>
      <c r="H1600" s="4">
        <f>IF(OR(N(F1600)&gt;=0.5,G1600&gt;=4),3,IF(OR(N(F1600)&gt;=0.3,G1600=3),2,IF(OR(N(F1600)&gt;=0.1,G1600&gt;=1),1,0)))</f>
        <v/>
      </c>
      <c r="I1600" s="4">
        <f>CHOOSE(H1600+1,"Kein Risiko","Gering","Mittel","Hoch")</f>
        <v/>
      </c>
    </row>
    <row r="1601">
      <c r="A1601" s="4" t="n">
        <v>1597</v>
      </c>
      <c r="B1601" s="4" t="inlineStr">
        <is>
          <t>house</t>
        </is>
      </c>
      <c r="C1601" s="4" t="inlineStr">
        <is>
          <t>Hellersberg</t>
        </is>
      </c>
      <c r="D1601" s="4" t="inlineStr">
        <is>
          <t>2</t>
        </is>
      </c>
      <c r="E1601" s="13" t="n">
        <v>85</v>
      </c>
      <c r="F1601" s="12" t="n"/>
      <c r="G1601" s="4" t="n">
        <v>0</v>
      </c>
      <c r="H1601" s="4">
        <f>IF(OR(N(F1601)&gt;=0.5,G1601&gt;=4),3,IF(OR(N(F1601)&gt;=0.3,G1601=3),2,IF(OR(N(F1601)&gt;=0.1,G1601&gt;=1),1,0)))</f>
        <v/>
      </c>
      <c r="I1601" s="4">
        <f>CHOOSE(H1601+1,"Kein Risiko","Gering","Mittel","Hoch")</f>
        <v/>
      </c>
    </row>
    <row r="1602">
      <c r="A1602" s="4" t="n">
        <v>1598</v>
      </c>
      <c r="B1602" s="4" t="inlineStr">
        <is>
          <t>semidetached_house</t>
        </is>
      </c>
      <c r="C1602" s="4" t="inlineStr">
        <is>
          <t>Tholshof</t>
        </is>
      </c>
      <c r="D1602" s="4" t="inlineStr">
        <is>
          <t>2</t>
        </is>
      </c>
      <c r="E1602" s="13" t="n">
        <v>71</v>
      </c>
      <c r="F1602" s="12" t="n">
        <v>0.01000213623046875</v>
      </c>
      <c r="G1602" s="4" t="n">
        <v>0</v>
      </c>
      <c r="H1602" s="4">
        <f>IF(OR(N(F1602)&gt;=0.5,G1602&gt;=4),3,IF(OR(N(F1602)&gt;=0.3,G1602=3),2,IF(OR(N(F1602)&gt;=0.1,G1602&gt;=1),1,0)))</f>
        <v/>
      </c>
      <c r="I1602" s="4">
        <f>CHOOSE(H1602+1,"Kein Risiko","Gering","Mittel","Hoch")</f>
        <v/>
      </c>
    </row>
    <row r="1603">
      <c r="A1603" s="4" t="n">
        <v>1599</v>
      </c>
      <c r="B1603" s="4" t="inlineStr">
        <is>
          <t>apartments</t>
        </is>
      </c>
      <c r="C1603" s="4" t="inlineStr">
        <is>
          <t>Dilldorfer Straße</t>
        </is>
      </c>
      <c r="D1603" s="4" t="inlineStr">
        <is>
          <t>20</t>
        </is>
      </c>
      <c r="E1603" s="13" t="n">
        <v>101</v>
      </c>
      <c r="F1603" s="12" t="n">
        <v>0</v>
      </c>
      <c r="G1603" s="4" t="n">
        <v>0</v>
      </c>
      <c r="H1603" s="4">
        <f>IF(OR(N(F1603)&gt;=0.5,G1603&gt;=4),3,IF(OR(N(F1603)&gt;=0.3,G1603=3),2,IF(OR(N(F1603)&gt;=0.1,G1603&gt;=1),1,0)))</f>
        <v/>
      </c>
      <c r="I1603" s="4">
        <f>CHOOSE(H1603+1,"Kein Risiko","Gering","Mittel","Hoch")</f>
        <v/>
      </c>
    </row>
    <row r="1604">
      <c r="A1604" s="4" t="n">
        <v>1600</v>
      </c>
      <c r="B1604" s="4" t="inlineStr">
        <is>
          <t>apartments</t>
        </is>
      </c>
      <c r="C1604" s="4" t="inlineStr">
        <is>
          <t>Oslenderstraße</t>
        </is>
      </c>
      <c r="D1604" s="4" t="inlineStr">
        <is>
          <t>20</t>
        </is>
      </c>
      <c r="E1604" s="13" t="n">
        <v>268.5</v>
      </c>
      <c r="F1604" s="12" t="n">
        <v>0</v>
      </c>
      <c r="G1604" s="4" t="n">
        <v>0</v>
      </c>
      <c r="H1604" s="4">
        <f>IF(OR(N(F1604)&gt;=0.5,G1604&gt;=4),3,IF(OR(N(F1604)&gt;=0.3,G1604=3),2,IF(OR(N(F1604)&gt;=0.1,G1604&gt;=1),1,0)))</f>
        <v/>
      </c>
      <c r="I1604" s="4">
        <f>CHOOSE(H1604+1,"Kein Risiko","Gering","Mittel","Hoch")</f>
        <v/>
      </c>
    </row>
    <row r="1605">
      <c r="A1605" s="4" t="n">
        <v>1601</v>
      </c>
      <c r="B1605" s="4" t="inlineStr">
        <is>
          <t>semidetached_house</t>
        </is>
      </c>
      <c r="C1605" s="4" t="inlineStr">
        <is>
          <t>Phönixberg</t>
        </is>
      </c>
      <c r="D1605" s="4" t="inlineStr">
        <is>
          <t>20</t>
        </is>
      </c>
      <c r="E1605" s="13" t="n">
        <v>77.09999999999999</v>
      </c>
      <c r="F1605" s="12" t="n">
        <v>0.04000091552734375</v>
      </c>
      <c r="G1605" s="4" t="n">
        <v>0</v>
      </c>
      <c r="H1605" s="4">
        <f>IF(OR(N(F1605)&gt;=0.5,G1605&gt;=4),3,IF(OR(N(F1605)&gt;=0.3,G1605=3),2,IF(OR(N(F1605)&gt;=0.1,G1605&gt;=1),1,0)))</f>
        <v/>
      </c>
      <c r="I1605" s="4">
        <f>CHOOSE(H1605+1,"Kein Risiko","Gering","Mittel","Hoch")</f>
        <v/>
      </c>
    </row>
    <row r="1606">
      <c r="A1606" s="4" t="n">
        <v>1602</v>
      </c>
      <c r="B1606" s="4" t="inlineStr">
        <is>
          <t>yes</t>
        </is>
      </c>
      <c r="C1606" s="4" t="inlineStr">
        <is>
          <t>Priemhauser Weg</t>
        </is>
      </c>
      <c r="D1606" s="4" t="inlineStr">
        <is>
          <t>20</t>
        </is>
      </c>
      <c r="E1606" s="13" t="n">
        <v>94.7</v>
      </c>
      <c r="F1606" s="12" t="n">
        <v>0.0800018310546875</v>
      </c>
      <c r="G1606" s="4" t="n">
        <v>0</v>
      </c>
      <c r="H1606" s="4">
        <f>IF(OR(N(F1606)&gt;=0.5,G1606&gt;=4),3,IF(OR(N(F1606)&gt;=0.3,G1606=3),2,IF(OR(N(F1606)&gt;=0.1,G1606&gt;=1),1,0)))</f>
        <v/>
      </c>
      <c r="I1606" s="4">
        <f>CHOOSE(H1606+1,"Kein Risiko","Gering","Mittel","Hoch")</f>
        <v/>
      </c>
    </row>
    <row r="1607">
      <c r="A1607" s="4" t="n">
        <v>1603</v>
      </c>
      <c r="B1607" s="4" t="inlineStr">
        <is>
          <t>yes</t>
        </is>
      </c>
      <c r="C1607" s="4" t="inlineStr">
        <is>
          <t>Deilbachtal</t>
        </is>
      </c>
      <c r="D1607" s="4" t="inlineStr">
        <is>
          <t>21</t>
        </is>
      </c>
      <c r="E1607" s="13" t="n">
        <v>74.2</v>
      </c>
      <c r="F1607" s="12" t="n">
        <v>0.029998779296875</v>
      </c>
      <c r="G1607" s="4" t="n">
        <v>0</v>
      </c>
      <c r="H1607" s="4">
        <f>IF(OR(N(F1607)&gt;=0.5,G1607&gt;=4),3,IF(OR(N(F1607)&gt;=0.3,G1607=3),2,IF(OR(N(F1607)&gt;=0.1,G1607&gt;=1),1,0)))</f>
        <v/>
      </c>
      <c r="I1607" s="4">
        <f>CHOOSE(H1607+1,"Kein Risiko","Gering","Mittel","Hoch")</f>
        <v/>
      </c>
    </row>
    <row r="1608">
      <c r="A1608" s="4" t="n">
        <v>1604</v>
      </c>
      <c r="B1608" s="4" t="inlineStr">
        <is>
          <t>yes</t>
        </is>
      </c>
      <c r="C1608" s="4" t="inlineStr">
        <is>
          <t>Frauenstein</t>
        </is>
      </c>
      <c r="D1608" s="4" t="inlineStr">
        <is>
          <t>21</t>
        </is>
      </c>
      <c r="E1608" s="13" t="n">
        <v>60.5</v>
      </c>
      <c r="F1608" s="12" t="n">
        <v>0</v>
      </c>
      <c r="G1608" s="4" t="n">
        <v>1</v>
      </c>
      <c r="H1608" s="4">
        <f>IF(OR(N(F1608)&gt;=0.5,G1608&gt;=4),3,IF(OR(N(F1608)&gt;=0.3,G1608=3),2,IF(OR(N(F1608)&gt;=0.1,G1608&gt;=1),1,0)))</f>
        <v/>
      </c>
      <c r="I1608" s="4">
        <f>CHOOSE(H1608+1,"Kein Risiko","Gering","Mittel","Hoch")</f>
        <v/>
      </c>
    </row>
    <row r="1609">
      <c r="A1609" s="4" t="n">
        <v>1605</v>
      </c>
      <c r="B1609" s="4" t="inlineStr">
        <is>
          <t>yes</t>
        </is>
      </c>
      <c r="C1609" s="4" t="inlineStr">
        <is>
          <t>Oslenderstraße</t>
        </is>
      </c>
      <c r="D1609" s="4" t="inlineStr">
        <is>
          <t>21</t>
        </is>
      </c>
      <c r="E1609" s="13" t="n">
        <v>54.6</v>
      </c>
      <c r="F1609" s="12" t="n">
        <v>0</v>
      </c>
      <c r="G1609" s="4" t="n">
        <v>1</v>
      </c>
      <c r="H1609" s="4">
        <f>IF(OR(N(F1609)&gt;=0.5,G1609&gt;=4),3,IF(OR(N(F1609)&gt;=0.3,G1609=3),2,IF(OR(N(F1609)&gt;=0.1,G1609&gt;=1),1,0)))</f>
        <v/>
      </c>
      <c r="I1609" s="4">
        <f>CHOOSE(H1609+1,"Kein Risiko","Gering","Mittel","Hoch")</f>
        <v/>
      </c>
    </row>
    <row r="1610">
      <c r="A1610" s="4" t="n">
        <v>1606</v>
      </c>
      <c r="B1610" s="4" t="inlineStr">
        <is>
          <t>semidetached_house</t>
        </is>
      </c>
      <c r="C1610" s="4" t="inlineStr">
        <is>
          <t>Phönixberg</t>
        </is>
      </c>
      <c r="D1610" s="4" t="inlineStr">
        <is>
          <t>21</t>
        </is>
      </c>
      <c r="E1610" s="13" t="n">
        <v>100.3</v>
      </c>
      <c r="F1610" s="12" t="n">
        <v>0</v>
      </c>
      <c r="G1610" s="4" t="n">
        <v>0</v>
      </c>
      <c r="H1610" s="4">
        <f>IF(OR(N(F1610)&gt;=0.5,G1610&gt;=4),3,IF(OR(N(F1610)&gt;=0.3,G1610=3),2,IF(OR(N(F1610)&gt;=0.1,G1610&gt;=1),1,0)))</f>
        <v/>
      </c>
      <c r="I1610" s="4">
        <f>CHOOSE(H1610+1,"Kein Risiko","Gering","Mittel","Hoch")</f>
        <v/>
      </c>
    </row>
    <row r="1611">
      <c r="A1611" s="4" t="n">
        <v>1607</v>
      </c>
      <c r="B1611" s="4" t="inlineStr">
        <is>
          <t>semidetached_house</t>
        </is>
      </c>
      <c r="C1611" s="4" t="inlineStr">
        <is>
          <t>Ruhrlandbogen</t>
        </is>
      </c>
      <c r="D1611" s="4" t="inlineStr">
        <is>
          <t>21</t>
        </is>
      </c>
      <c r="E1611" s="13" t="n">
        <v>76.3</v>
      </c>
      <c r="F1611" s="12" t="n">
        <v>0.01000213623046875</v>
      </c>
      <c r="G1611" s="4" t="n">
        <v>0</v>
      </c>
      <c r="H1611" s="4">
        <f>IF(OR(N(F1611)&gt;=0.5,G1611&gt;=4),3,IF(OR(N(F1611)&gt;=0.3,G1611=3),2,IF(OR(N(F1611)&gt;=0.1,G1611&gt;=1),1,0)))</f>
        <v/>
      </c>
      <c r="I1611" s="4">
        <f>CHOOSE(H1611+1,"Kein Risiko","Gering","Mittel","Hoch")</f>
        <v/>
      </c>
    </row>
    <row r="1612">
      <c r="A1612" s="4" t="n">
        <v>1608</v>
      </c>
      <c r="B1612" s="4" t="inlineStr">
        <is>
          <t>house</t>
        </is>
      </c>
      <c r="C1612" s="4" t="inlineStr">
        <is>
          <t>Tholshof</t>
        </is>
      </c>
      <c r="D1612" s="4" t="inlineStr">
        <is>
          <t>21</t>
        </is>
      </c>
      <c r="E1612" s="13" t="n">
        <v>69.7</v>
      </c>
      <c r="F1612" s="12" t="n">
        <v>0</v>
      </c>
      <c r="G1612" s="4" t="n">
        <v>1</v>
      </c>
      <c r="H1612" s="4">
        <f>IF(OR(N(F1612)&gt;=0.5,G1612&gt;=4),3,IF(OR(N(F1612)&gt;=0.3,G1612=3),2,IF(OR(N(F1612)&gt;=0.1,G1612&gt;=1),1,0)))</f>
        <v/>
      </c>
      <c r="I1612" s="4">
        <f>CHOOSE(H1612+1,"Kein Risiko","Gering","Mittel","Hoch")</f>
        <v/>
      </c>
    </row>
    <row r="1613">
      <c r="A1613" s="4" t="n">
        <v>1609</v>
      </c>
      <c r="B1613" s="4" t="inlineStr">
        <is>
          <t>yes</t>
        </is>
      </c>
      <c r="C1613" s="4" t="inlineStr">
        <is>
          <t>Oslenderstraße</t>
        </is>
      </c>
      <c r="D1613" s="4" t="inlineStr">
        <is>
          <t>21a</t>
        </is>
      </c>
      <c r="E1613" s="13" t="n">
        <v>113.6</v>
      </c>
      <c r="F1613" s="12" t="n">
        <v>0.1300048828125</v>
      </c>
      <c r="G1613" s="4" t="n">
        <v>0</v>
      </c>
      <c r="H1613" s="4">
        <f>IF(OR(N(F1613)&gt;=0.5,G1613&gt;=4),3,IF(OR(N(F1613)&gt;=0.3,G1613=3),2,IF(OR(N(F1613)&gt;=0.1,G1613&gt;=1),1,0)))</f>
        <v/>
      </c>
      <c r="I1613" s="4">
        <f>CHOOSE(H1613+1,"Kein Risiko","Gering","Mittel","Hoch")</f>
        <v/>
      </c>
    </row>
    <row r="1614">
      <c r="A1614" s="4" t="n">
        <v>1610</v>
      </c>
      <c r="B1614" s="4" t="inlineStr">
        <is>
          <t>residential</t>
        </is>
      </c>
      <c r="C1614" s="4" t="inlineStr">
        <is>
          <t>Asbachtal</t>
        </is>
      </c>
      <c r="D1614" s="4" t="inlineStr">
        <is>
          <t>22</t>
        </is>
      </c>
      <c r="E1614" s="13" t="n">
        <v>190.5</v>
      </c>
      <c r="F1614" s="12" t="n">
        <v>0.0500030517578125</v>
      </c>
      <c r="G1614" s="4" t="n">
        <v>0</v>
      </c>
      <c r="H1614" s="4">
        <f>IF(OR(N(F1614)&gt;=0.5,G1614&gt;=4),3,IF(OR(N(F1614)&gt;=0.3,G1614=3),2,IF(OR(N(F1614)&gt;=0.1,G1614&gt;=1),1,0)))</f>
        <v/>
      </c>
      <c r="I1614" s="4">
        <f>CHOOSE(H1614+1,"Kein Risiko","Gering","Mittel","Hoch")</f>
        <v/>
      </c>
    </row>
    <row r="1615">
      <c r="A1615" s="4" t="n">
        <v>1611</v>
      </c>
      <c r="B1615" s="4" t="inlineStr">
        <is>
          <t>semidetached_house</t>
        </is>
      </c>
      <c r="C1615" s="4" t="inlineStr">
        <is>
          <t>Phönixberg</t>
        </is>
      </c>
      <c r="D1615" s="4" t="inlineStr">
        <is>
          <t>22</t>
        </is>
      </c>
      <c r="E1615" s="13" t="n">
        <v>74.2</v>
      </c>
      <c r="F1615" s="12" t="n">
        <v>0</v>
      </c>
      <c r="G1615" s="4" t="n">
        <v>0</v>
      </c>
      <c r="H1615" s="4">
        <f>IF(OR(N(F1615)&gt;=0.5,G1615&gt;=4),3,IF(OR(N(F1615)&gt;=0.3,G1615=3),2,IF(OR(N(F1615)&gt;=0.1,G1615&gt;=1),1,0)))</f>
        <v/>
      </c>
      <c r="I1615" s="4">
        <f>CHOOSE(H1615+1,"Kein Risiko","Gering","Mittel","Hoch")</f>
        <v/>
      </c>
    </row>
    <row r="1616">
      <c r="A1616" s="4" t="n">
        <v>1612</v>
      </c>
      <c r="B1616" s="4" t="inlineStr">
        <is>
          <t>semidetached_house</t>
        </is>
      </c>
      <c r="C1616" s="4" t="inlineStr">
        <is>
          <t>Priemhauser Weg</t>
        </is>
      </c>
      <c r="D1616" s="4" t="inlineStr">
        <is>
          <t>22</t>
        </is>
      </c>
      <c r="E1616" s="13" t="n">
        <v>82.3</v>
      </c>
      <c r="F1616" s="12" t="n">
        <v>0</v>
      </c>
      <c r="G1616" s="4" t="n">
        <v>0</v>
      </c>
      <c r="H1616" s="4">
        <f>IF(OR(N(F1616)&gt;=0.5,G1616&gt;=4),3,IF(OR(N(F1616)&gt;=0.3,G1616=3),2,IF(OR(N(F1616)&gt;=0.1,G1616&gt;=1),1,0)))</f>
        <v/>
      </c>
      <c r="I1616" s="4">
        <f>CHOOSE(H1616+1,"Kein Risiko","Gering","Mittel","Hoch")</f>
        <v/>
      </c>
    </row>
    <row r="1617">
      <c r="A1617" s="4" t="n">
        <v>1613</v>
      </c>
      <c r="B1617" s="4" t="inlineStr">
        <is>
          <t>yes</t>
        </is>
      </c>
      <c r="C1617" s="4" t="inlineStr">
        <is>
          <t>Ruhrlandbogen</t>
        </is>
      </c>
      <c r="D1617" s="4" t="inlineStr">
        <is>
          <t>22</t>
        </is>
      </c>
      <c r="E1617" s="13" t="n">
        <v>216</v>
      </c>
      <c r="F1617" s="12" t="n">
        <v>0.04999542236328125</v>
      </c>
      <c r="G1617" s="4" t="n">
        <v>0</v>
      </c>
      <c r="H1617" s="4">
        <f>IF(OR(N(F1617)&gt;=0.5,G1617&gt;=4),3,IF(OR(N(F1617)&gt;=0.3,G1617=3),2,IF(OR(N(F1617)&gt;=0.1,G1617&gt;=1),1,0)))</f>
        <v/>
      </c>
      <c r="I1617" s="4">
        <f>CHOOSE(H1617+1,"Kein Risiko","Gering","Mittel","Hoch")</f>
        <v/>
      </c>
    </row>
    <row r="1618">
      <c r="A1618" s="4" t="n">
        <v>1614</v>
      </c>
      <c r="B1618" s="4" t="inlineStr">
        <is>
          <t>yes</t>
        </is>
      </c>
      <c r="C1618" s="4" t="inlineStr">
        <is>
          <t>Oslenderstraße</t>
        </is>
      </c>
      <c r="D1618" s="4" t="inlineStr">
        <is>
          <t>23</t>
        </is>
      </c>
      <c r="E1618" s="13" t="n">
        <v>54.6</v>
      </c>
      <c r="F1618" s="12" t="n">
        <v>0</v>
      </c>
      <c r="G1618" s="4" t="n">
        <v>0</v>
      </c>
      <c r="H1618" s="4">
        <f>IF(OR(N(F1618)&gt;=0.5,G1618&gt;=4),3,IF(OR(N(F1618)&gt;=0.3,G1618=3),2,IF(OR(N(F1618)&gt;=0.1,G1618&gt;=1),1,0)))</f>
        <v/>
      </c>
      <c r="I1618" s="4">
        <f>CHOOSE(H1618+1,"Kein Risiko","Gering","Mittel","Hoch")</f>
        <v/>
      </c>
    </row>
    <row r="1619">
      <c r="A1619" s="4" t="n">
        <v>1615</v>
      </c>
      <c r="B1619" s="4" t="inlineStr">
        <is>
          <t>semidetached_house</t>
        </is>
      </c>
      <c r="C1619" s="4" t="inlineStr">
        <is>
          <t>Phönixberg</t>
        </is>
      </c>
      <c r="D1619" s="4" t="inlineStr">
        <is>
          <t>23</t>
        </is>
      </c>
      <c r="E1619" s="13" t="n">
        <v>100.4</v>
      </c>
      <c r="F1619" s="12" t="n">
        <v>0</v>
      </c>
      <c r="G1619" s="4" t="n">
        <v>0</v>
      </c>
      <c r="H1619" s="4">
        <f>IF(OR(N(F1619)&gt;=0.5,G1619&gt;=4),3,IF(OR(N(F1619)&gt;=0.3,G1619=3),2,IF(OR(N(F1619)&gt;=0.1,G1619&gt;=1),1,0)))</f>
        <v/>
      </c>
      <c r="I1619" s="4">
        <f>CHOOSE(H1619+1,"Kein Risiko","Gering","Mittel","Hoch")</f>
        <v/>
      </c>
    </row>
    <row r="1620">
      <c r="A1620" s="4" t="n">
        <v>1616</v>
      </c>
      <c r="B1620" s="4" t="inlineStr">
        <is>
          <t>semidetached_house</t>
        </is>
      </c>
      <c r="C1620" s="4" t="inlineStr">
        <is>
          <t>Ruhrlandbogen</t>
        </is>
      </c>
      <c r="D1620" s="4" t="inlineStr">
        <is>
          <t>23</t>
        </is>
      </c>
      <c r="E1620" s="13" t="n">
        <v>76.40000000000001</v>
      </c>
      <c r="F1620" s="12" t="n">
        <v>0.04000091552734375</v>
      </c>
      <c r="G1620" s="4" t="n">
        <v>0</v>
      </c>
      <c r="H1620" s="4">
        <f>IF(OR(N(F1620)&gt;=0.5,G1620&gt;=4),3,IF(OR(N(F1620)&gt;=0.3,G1620=3),2,IF(OR(N(F1620)&gt;=0.1,G1620&gt;=1),1,0)))</f>
        <v/>
      </c>
      <c r="I1620" s="4">
        <f>CHOOSE(H1620+1,"Kein Risiko","Gering","Mittel","Hoch")</f>
        <v/>
      </c>
    </row>
    <row r="1621">
      <c r="A1621" s="4" t="n">
        <v>1617</v>
      </c>
      <c r="B1621" s="4" t="inlineStr">
        <is>
          <t>residential</t>
        </is>
      </c>
      <c r="C1621" s="4" t="inlineStr">
        <is>
          <t>Asbachtal</t>
        </is>
      </c>
      <c r="D1621" s="4" t="inlineStr">
        <is>
          <t>24</t>
        </is>
      </c>
      <c r="E1621" s="13" t="n">
        <v>159.6</v>
      </c>
      <c r="F1621" s="12" t="n">
        <v>0</v>
      </c>
      <c r="G1621" s="4" t="n">
        <v>0</v>
      </c>
      <c r="H1621" s="4">
        <f>IF(OR(N(F1621)&gt;=0.5,G1621&gt;=4),3,IF(OR(N(F1621)&gt;=0.3,G1621=3),2,IF(OR(N(F1621)&gt;=0.1,G1621&gt;=1),1,0)))</f>
        <v/>
      </c>
      <c r="I1621" s="4">
        <f>CHOOSE(H1621+1,"Kein Risiko","Gering","Mittel","Hoch")</f>
        <v/>
      </c>
    </row>
    <row r="1622">
      <c r="A1622" s="4" t="n">
        <v>1618</v>
      </c>
      <c r="B1622" s="4" t="inlineStr">
        <is>
          <t>semidetached_house</t>
        </is>
      </c>
      <c r="C1622" s="4" t="inlineStr">
        <is>
          <t>Phönixberg</t>
        </is>
      </c>
      <c r="D1622" s="4" t="inlineStr">
        <is>
          <t>24</t>
        </is>
      </c>
      <c r="E1622" s="13" t="n">
        <v>74.2</v>
      </c>
      <c r="F1622" s="12" t="n">
        <v>0</v>
      </c>
      <c r="G1622" s="4" t="n">
        <v>0</v>
      </c>
      <c r="H1622" s="4">
        <f>IF(OR(N(F1622)&gt;=0.5,G1622&gt;=4),3,IF(OR(N(F1622)&gt;=0.3,G1622=3),2,IF(OR(N(F1622)&gt;=0.1,G1622&gt;=1),1,0)))</f>
        <v/>
      </c>
      <c r="I1622" s="4">
        <f>CHOOSE(H1622+1,"Kein Risiko","Gering","Mittel","Hoch")</f>
        <v/>
      </c>
    </row>
    <row r="1623">
      <c r="A1623" s="4" t="n">
        <v>1619</v>
      </c>
      <c r="B1623" s="4" t="inlineStr">
        <is>
          <t>yes</t>
        </is>
      </c>
      <c r="C1623" s="4" t="inlineStr">
        <is>
          <t>Ruhrlandbogen</t>
        </is>
      </c>
      <c r="D1623" s="4" t="inlineStr">
        <is>
          <t>24</t>
        </is>
      </c>
      <c r="E1623" s="13" t="n">
        <v>215.9</v>
      </c>
      <c r="F1623" s="12" t="n">
        <v>0.04999542236328125</v>
      </c>
      <c r="G1623" s="4" t="n">
        <v>0</v>
      </c>
      <c r="H1623" s="4">
        <f>IF(OR(N(F1623)&gt;=0.5,G1623&gt;=4),3,IF(OR(N(F1623)&gt;=0.3,G1623=3),2,IF(OR(N(F1623)&gt;=0.1,G1623&gt;=1),1,0)))</f>
        <v/>
      </c>
      <c r="I1623" s="4">
        <f>CHOOSE(H1623+1,"Kein Risiko","Gering","Mittel","Hoch")</f>
        <v/>
      </c>
    </row>
    <row r="1624">
      <c r="A1624" s="4" t="n">
        <v>1620</v>
      </c>
      <c r="B1624" s="4" t="inlineStr">
        <is>
          <t>yes</t>
        </is>
      </c>
      <c r="C1624" s="4" t="inlineStr">
        <is>
          <t>Frauenstein</t>
        </is>
      </c>
      <c r="D1624" s="4" t="inlineStr">
        <is>
          <t>25</t>
        </is>
      </c>
      <c r="E1624" s="13" t="n">
        <v>77.8</v>
      </c>
      <c r="F1624" s="12" t="n">
        <v>0</v>
      </c>
      <c r="G1624" s="4" t="n">
        <v>0</v>
      </c>
      <c r="H1624" s="4">
        <f>IF(OR(N(F1624)&gt;=0.5,G1624&gt;=4),3,IF(OR(N(F1624)&gt;=0.3,G1624=3),2,IF(OR(N(F1624)&gt;=0.1,G1624&gt;=1),1,0)))</f>
        <v/>
      </c>
      <c r="I1624" s="4">
        <f>CHOOSE(H1624+1,"Kein Risiko","Gering","Mittel","Hoch")</f>
        <v/>
      </c>
    </row>
    <row r="1625">
      <c r="A1625" s="4" t="n">
        <v>1621</v>
      </c>
      <c r="B1625" s="4" t="inlineStr">
        <is>
          <t>yes</t>
        </is>
      </c>
      <c r="C1625" s="4" t="inlineStr">
        <is>
          <t>Oslenderstraße</t>
        </is>
      </c>
      <c r="D1625" s="4" t="inlineStr">
        <is>
          <t>25</t>
        </is>
      </c>
      <c r="E1625" s="13" t="n">
        <v>54.6</v>
      </c>
      <c r="F1625" s="12" t="n">
        <v>0</v>
      </c>
      <c r="G1625" s="4" t="n">
        <v>0</v>
      </c>
      <c r="H1625" s="4">
        <f>IF(OR(N(F1625)&gt;=0.5,G1625&gt;=4),3,IF(OR(N(F1625)&gt;=0.3,G1625=3),2,IF(OR(N(F1625)&gt;=0.1,G1625&gt;=1),1,0)))</f>
        <v/>
      </c>
      <c r="I1625" s="4">
        <f>CHOOSE(H1625+1,"Kein Risiko","Gering","Mittel","Hoch")</f>
        <v/>
      </c>
    </row>
    <row r="1626">
      <c r="A1626" s="4" t="n">
        <v>1622</v>
      </c>
      <c r="B1626" s="4" t="inlineStr">
        <is>
          <t>semidetached_house</t>
        </is>
      </c>
      <c r="C1626" s="4" t="inlineStr">
        <is>
          <t>Phönixberg</t>
        </is>
      </c>
      <c r="D1626" s="4" t="inlineStr">
        <is>
          <t>25</t>
        </is>
      </c>
      <c r="E1626" s="13" t="n">
        <v>100.4</v>
      </c>
      <c r="F1626" s="12" t="n">
        <v>0</v>
      </c>
      <c r="G1626" s="4" t="n">
        <v>0</v>
      </c>
      <c r="H1626" s="4">
        <f>IF(OR(N(F1626)&gt;=0.5,G1626&gt;=4),3,IF(OR(N(F1626)&gt;=0.3,G1626=3),2,IF(OR(N(F1626)&gt;=0.1,G1626&gt;=1),1,0)))</f>
        <v/>
      </c>
      <c r="I1626" s="4">
        <f>CHOOSE(H1626+1,"Kein Risiko","Gering","Mittel","Hoch")</f>
        <v/>
      </c>
    </row>
    <row r="1627">
      <c r="A1627" s="4" t="n">
        <v>1623</v>
      </c>
      <c r="B1627" s="4" t="inlineStr">
        <is>
          <t>yes</t>
        </is>
      </c>
      <c r="C1627" s="4" t="inlineStr">
        <is>
          <t>Ruhrlandbogen</t>
        </is>
      </c>
      <c r="D1627" s="4" t="inlineStr">
        <is>
          <t>25</t>
        </is>
      </c>
      <c r="E1627" s="13" t="n">
        <v>203.2</v>
      </c>
      <c r="F1627" s="12" t="n">
        <v>0.04000091552734375</v>
      </c>
      <c r="G1627" s="4" t="n">
        <v>0</v>
      </c>
      <c r="H1627" s="4">
        <f>IF(OR(N(F1627)&gt;=0.5,G1627&gt;=4),3,IF(OR(N(F1627)&gt;=0.3,G1627=3),2,IF(OR(N(F1627)&gt;=0.1,G1627&gt;=1),1,0)))</f>
        <v/>
      </c>
      <c r="I1627" s="4">
        <f>CHOOSE(H1627+1,"Kein Risiko","Gering","Mittel","Hoch")</f>
        <v/>
      </c>
    </row>
    <row r="1628">
      <c r="A1628" s="4" t="n">
        <v>1624</v>
      </c>
      <c r="B1628" s="4" t="inlineStr">
        <is>
          <t>residential</t>
        </is>
      </c>
      <c r="C1628" s="4" t="inlineStr">
        <is>
          <t>Asbachtal</t>
        </is>
      </c>
      <c r="D1628" s="4" t="inlineStr">
        <is>
          <t>26</t>
        </is>
      </c>
      <c r="E1628" s="13" t="n">
        <v>154.7</v>
      </c>
      <c r="F1628" s="12" t="n">
        <v>0.04000091552734375</v>
      </c>
      <c r="G1628" s="4" t="n">
        <v>0</v>
      </c>
      <c r="H1628" s="4">
        <f>IF(OR(N(F1628)&gt;=0.5,G1628&gt;=4),3,IF(OR(N(F1628)&gt;=0.3,G1628=3),2,IF(OR(N(F1628)&gt;=0.1,G1628&gt;=1),1,0)))</f>
        <v/>
      </c>
      <c r="I1628" s="4">
        <f>CHOOSE(H1628+1,"Kein Risiko","Gering","Mittel","Hoch")</f>
        <v/>
      </c>
    </row>
    <row r="1629">
      <c r="A1629" s="4" t="n">
        <v>1625</v>
      </c>
      <c r="B1629" s="4" t="inlineStr">
        <is>
          <t>yes</t>
        </is>
      </c>
      <c r="C1629" s="4" t="inlineStr">
        <is>
          <t>Oslenderstraße</t>
        </is>
      </c>
      <c r="D1629" s="4" t="inlineStr">
        <is>
          <t>27</t>
        </is>
      </c>
      <c r="E1629" s="13" t="n">
        <v>54.6</v>
      </c>
      <c r="F1629" s="12" t="n">
        <v>0</v>
      </c>
      <c r="G1629" s="4" t="n">
        <v>0</v>
      </c>
      <c r="H1629" s="4">
        <f>IF(OR(N(F1629)&gt;=0.5,G1629&gt;=4),3,IF(OR(N(F1629)&gt;=0.3,G1629=3),2,IF(OR(N(F1629)&gt;=0.1,G1629&gt;=1),1,0)))</f>
        <v/>
      </c>
      <c r="I1629" s="4">
        <f>CHOOSE(H1629+1,"Kein Risiko","Gering","Mittel","Hoch")</f>
        <v/>
      </c>
    </row>
    <row r="1630">
      <c r="A1630" s="4" t="n">
        <v>1626</v>
      </c>
      <c r="B1630" s="4" t="inlineStr">
        <is>
          <t>semidetached_house</t>
        </is>
      </c>
      <c r="C1630" s="4" t="inlineStr">
        <is>
          <t>Phönixberg</t>
        </is>
      </c>
      <c r="D1630" s="4" t="inlineStr">
        <is>
          <t>27</t>
        </is>
      </c>
      <c r="E1630" s="13" t="n">
        <v>100.4</v>
      </c>
      <c r="F1630" s="12" t="n">
        <v>0</v>
      </c>
      <c r="G1630" s="4" t="n">
        <v>0</v>
      </c>
      <c r="H1630" s="4">
        <f>IF(OR(N(F1630)&gt;=0.5,G1630&gt;=4),3,IF(OR(N(F1630)&gt;=0.3,G1630=3),2,IF(OR(N(F1630)&gt;=0.1,G1630&gt;=1),1,0)))</f>
        <v/>
      </c>
      <c r="I1630" s="4">
        <f>CHOOSE(H1630+1,"Kein Risiko","Gering","Mittel","Hoch")</f>
        <v/>
      </c>
    </row>
    <row r="1631">
      <c r="A1631" s="4" t="n">
        <v>1627</v>
      </c>
      <c r="B1631" s="4" t="inlineStr">
        <is>
          <t>residential</t>
        </is>
      </c>
      <c r="C1631" s="4" t="inlineStr">
        <is>
          <t>Asbachtal</t>
        </is>
      </c>
      <c r="D1631" s="4" t="inlineStr">
        <is>
          <t>28</t>
        </is>
      </c>
      <c r="E1631" s="13" t="n">
        <v>180.5</v>
      </c>
      <c r="F1631" s="12" t="n">
        <v>0.279998779296875</v>
      </c>
      <c r="G1631" s="4" t="n">
        <v>1</v>
      </c>
      <c r="H1631" s="4">
        <f>IF(OR(N(F1631)&gt;=0.5,G1631&gt;=4),3,IF(OR(N(F1631)&gt;=0.3,G1631=3),2,IF(OR(N(F1631)&gt;=0.1,G1631&gt;=1),1,0)))</f>
        <v/>
      </c>
      <c r="I1631" s="4">
        <f>CHOOSE(H1631+1,"Kein Risiko","Gering","Mittel","Hoch")</f>
        <v/>
      </c>
    </row>
    <row r="1632">
      <c r="A1632" s="4" t="n">
        <v>1628</v>
      </c>
      <c r="B1632" s="4" t="inlineStr">
        <is>
          <t>yes</t>
        </is>
      </c>
      <c r="C1632" s="4" t="inlineStr">
        <is>
          <t>Phönixberg</t>
        </is>
      </c>
      <c r="D1632" s="4" t="inlineStr">
        <is>
          <t>28</t>
        </is>
      </c>
      <c r="E1632" s="13" t="n">
        <v>224</v>
      </c>
      <c r="F1632" s="12" t="n">
        <v>0.01000213623046875</v>
      </c>
      <c r="G1632" s="4" t="n">
        <v>2</v>
      </c>
      <c r="H1632" s="4">
        <f>IF(OR(N(F1632)&gt;=0.5,G1632&gt;=4),3,IF(OR(N(F1632)&gt;=0.3,G1632=3),2,IF(OR(N(F1632)&gt;=0.1,G1632&gt;=1),1,0)))</f>
        <v/>
      </c>
      <c r="I1632" s="4">
        <f>CHOOSE(H1632+1,"Kein Risiko","Gering","Mittel","Hoch")</f>
        <v/>
      </c>
    </row>
    <row r="1633">
      <c r="A1633" s="4" t="n">
        <v>1629</v>
      </c>
      <c r="B1633" s="4" t="inlineStr">
        <is>
          <t>semidetached_house</t>
        </is>
      </c>
      <c r="C1633" s="4" t="inlineStr">
        <is>
          <t>Priemhauser Weg</t>
        </is>
      </c>
      <c r="D1633" s="4" t="inlineStr">
        <is>
          <t>28</t>
        </is>
      </c>
      <c r="E1633" s="13" t="n">
        <v>94.59999999999999</v>
      </c>
      <c r="F1633" s="12" t="n">
        <v>0.0399932861328125</v>
      </c>
      <c r="G1633" s="4" t="n">
        <v>0</v>
      </c>
      <c r="H1633" s="4">
        <f>IF(OR(N(F1633)&gt;=0.5,G1633&gt;=4),3,IF(OR(N(F1633)&gt;=0.3,G1633=3),2,IF(OR(N(F1633)&gt;=0.1,G1633&gt;=1),1,0)))</f>
        <v/>
      </c>
      <c r="I1633" s="4">
        <f>CHOOSE(H1633+1,"Kein Risiko","Gering","Mittel","Hoch")</f>
        <v/>
      </c>
    </row>
    <row r="1634">
      <c r="A1634" s="4" t="n">
        <v>1630</v>
      </c>
      <c r="B1634" s="4" t="inlineStr">
        <is>
          <t>yes</t>
        </is>
      </c>
      <c r="C1634" s="4" t="inlineStr">
        <is>
          <t>Ruhrlandbogen</t>
        </is>
      </c>
      <c r="D1634" s="4" t="inlineStr">
        <is>
          <t>28</t>
        </is>
      </c>
      <c r="E1634" s="13" t="n">
        <v>211.7</v>
      </c>
      <c r="F1634" s="12" t="n">
        <v>0.0500030517578125</v>
      </c>
      <c r="G1634" s="4" t="n">
        <v>0</v>
      </c>
      <c r="H1634" s="4">
        <f>IF(OR(N(F1634)&gt;=0.5,G1634&gt;=4),3,IF(OR(N(F1634)&gt;=0.3,G1634=3),2,IF(OR(N(F1634)&gt;=0.1,G1634&gt;=1),1,0)))</f>
        <v/>
      </c>
      <c r="I1634" s="4">
        <f>CHOOSE(H1634+1,"Kein Risiko","Gering","Mittel","Hoch")</f>
        <v/>
      </c>
    </row>
    <row r="1635">
      <c r="A1635" s="4" t="n">
        <v>1631</v>
      </c>
      <c r="B1635" s="4" t="inlineStr">
        <is>
          <t>yes</t>
        </is>
      </c>
      <c r="C1635" s="4" t="inlineStr">
        <is>
          <t>Frauenstein</t>
        </is>
      </c>
      <c r="D1635" s="4" t="inlineStr">
        <is>
          <t>29</t>
        </is>
      </c>
      <c r="E1635" s="13" t="n">
        <v>60.7</v>
      </c>
      <c r="F1635" s="12" t="n">
        <v>0</v>
      </c>
      <c r="G1635" s="4" t="n">
        <v>0</v>
      </c>
      <c r="H1635" s="4">
        <f>IF(OR(N(F1635)&gt;=0.5,G1635&gt;=4),3,IF(OR(N(F1635)&gt;=0.3,G1635=3),2,IF(OR(N(F1635)&gt;=0.1,G1635&gt;=1),1,0)))</f>
        <v/>
      </c>
      <c r="I1635" s="4">
        <f>CHOOSE(H1635+1,"Kein Risiko","Gering","Mittel","Hoch")</f>
        <v/>
      </c>
    </row>
    <row r="1636">
      <c r="A1636" s="4" t="n">
        <v>1632</v>
      </c>
      <c r="B1636" s="4" t="inlineStr">
        <is>
          <t>yes</t>
        </is>
      </c>
      <c r="C1636" s="4" t="inlineStr">
        <is>
          <t>Oslenderstraße</t>
        </is>
      </c>
      <c r="D1636" s="4" t="inlineStr">
        <is>
          <t>29</t>
        </is>
      </c>
      <c r="E1636" s="13" t="n">
        <v>54.6</v>
      </c>
      <c r="F1636" s="12" t="n">
        <v>0</v>
      </c>
      <c r="G1636" s="4" t="n">
        <v>1</v>
      </c>
      <c r="H1636" s="4">
        <f>IF(OR(N(F1636)&gt;=0.5,G1636&gt;=4),3,IF(OR(N(F1636)&gt;=0.3,G1636=3),2,IF(OR(N(F1636)&gt;=0.1,G1636&gt;=1),1,0)))</f>
        <v/>
      </c>
      <c r="I1636" s="4">
        <f>CHOOSE(H1636+1,"Kein Risiko","Gering","Mittel","Hoch")</f>
        <v/>
      </c>
    </row>
    <row r="1637">
      <c r="A1637" s="4" t="n">
        <v>1633</v>
      </c>
      <c r="B1637" s="4" t="inlineStr">
        <is>
          <t>semidetached_house</t>
        </is>
      </c>
      <c r="C1637" s="4" t="inlineStr">
        <is>
          <t>Phönixberg</t>
        </is>
      </c>
      <c r="D1637" s="4" t="inlineStr">
        <is>
          <t>29</t>
        </is>
      </c>
      <c r="E1637" s="13" t="n">
        <v>100.3</v>
      </c>
      <c r="F1637" s="12" t="n">
        <v>0.029998779296875</v>
      </c>
      <c r="G1637" s="4" t="n">
        <v>0</v>
      </c>
      <c r="H1637" s="4">
        <f>IF(OR(N(F1637)&gt;=0.5,G1637&gt;=4),3,IF(OR(N(F1637)&gt;=0.3,G1637=3),2,IF(OR(N(F1637)&gt;=0.1,G1637&gt;=1),1,0)))</f>
        <v/>
      </c>
      <c r="I1637" s="4">
        <f>CHOOSE(H1637+1,"Kein Risiko","Gering","Mittel","Hoch")</f>
        <v/>
      </c>
    </row>
    <row r="1638">
      <c r="A1638" s="4" t="n">
        <v>1634</v>
      </c>
      <c r="B1638" s="4" t="inlineStr">
        <is>
          <t>apartments</t>
        </is>
      </c>
      <c r="C1638" s="4" t="inlineStr">
        <is>
          <t>Ruhrlandbogen</t>
        </is>
      </c>
      <c r="D1638" s="4" t="inlineStr">
        <is>
          <t>3</t>
        </is>
      </c>
      <c r="E1638" s="13" t="n">
        <v>232.4</v>
      </c>
      <c r="F1638" s="12" t="n">
        <v>0.0800018310546875</v>
      </c>
      <c r="G1638" s="4" t="n">
        <v>1</v>
      </c>
      <c r="H1638" s="4">
        <f>IF(OR(N(F1638)&gt;=0.5,G1638&gt;=4),3,IF(OR(N(F1638)&gt;=0.3,G1638=3),2,IF(OR(N(F1638)&gt;=0.1,G1638&gt;=1),1,0)))</f>
        <v/>
      </c>
      <c r="I1638" s="4">
        <f>CHOOSE(H1638+1,"Kein Risiko","Gering","Mittel","Hoch")</f>
        <v/>
      </c>
    </row>
    <row r="1639">
      <c r="A1639" s="4" t="n">
        <v>1635</v>
      </c>
      <c r="B1639" s="4" t="inlineStr">
        <is>
          <t>house</t>
        </is>
      </c>
      <c r="C1639" s="4" t="inlineStr">
        <is>
          <t>Tholshof</t>
        </is>
      </c>
      <c r="D1639" s="4" t="inlineStr">
        <is>
          <t>3</t>
        </is>
      </c>
      <c r="E1639" s="13" t="n">
        <v>71.2</v>
      </c>
      <c r="F1639" s="12" t="n">
        <v>0</v>
      </c>
      <c r="G1639" s="4" t="n">
        <v>0</v>
      </c>
      <c r="H1639" s="4">
        <f>IF(OR(N(F1639)&gt;=0.5,G1639&gt;=4),3,IF(OR(N(F1639)&gt;=0.3,G1639=3),2,IF(OR(N(F1639)&gt;=0.1,G1639&gt;=1),1,0)))</f>
        <v/>
      </c>
      <c r="I1639" s="4">
        <f>CHOOSE(H1639+1,"Kein Risiko","Gering","Mittel","Hoch")</f>
        <v/>
      </c>
    </row>
    <row r="1640">
      <c r="A1640" s="4" t="n">
        <v>1636</v>
      </c>
      <c r="B1640" s="4" t="inlineStr">
        <is>
          <t>yes</t>
        </is>
      </c>
      <c r="C1640" s="4" t="inlineStr">
        <is>
          <t>Phönixberg</t>
        </is>
      </c>
      <c r="D1640" s="4" t="inlineStr">
        <is>
          <t>30</t>
        </is>
      </c>
      <c r="E1640" s="13" t="n">
        <v>223.9</v>
      </c>
      <c r="F1640" s="12" t="n">
        <v>0.01999664306640625</v>
      </c>
      <c r="G1640" s="4" t="n">
        <v>2</v>
      </c>
      <c r="H1640" s="4">
        <f>IF(OR(N(F1640)&gt;=0.5,G1640&gt;=4),3,IF(OR(N(F1640)&gt;=0.3,G1640=3),2,IF(OR(N(F1640)&gt;=0.1,G1640&gt;=1),1,0)))</f>
        <v/>
      </c>
      <c r="I1640" s="4">
        <f>CHOOSE(H1640+1,"Kein Risiko","Gering","Mittel","Hoch")</f>
        <v/>
      </c>
    </row>
    <row r="1641">
      <c r="A1641" s="4" t="n">
        <v>1637</v>
      </c>
      <c r="B1641" s="4" t="inlineStr">
        <is>
          <t>yes</t>
        </is>
      </c>
      <c r="C1641" s="4" t="inlineStr">
        <is>
          <t>Ruhrlandbogen</t>
        </is>
      </c>
      <c r="D1641" s="4" t="inlineStr">
        <is>
          <t>30</t>
        </is>
      </c>
      <c r="E1641" s="13" t="n">
        <v>212.9</v>
      </c>
      <c r="F1641" s="12" t="n">
        <v>0.029998779296875</v>
      </c>
      <c r="G1641" s="4" t="n">
        <v>0</v>
      </c>
      <c r="H1641" s="4">
        <f>IF(OR(N(F1641)&gt;=0.5,G1641&gt;=4),3,IF(OR(N(F1641)&gt;=0.3,G1641=3),2,IF(OR(N(F1641)&gt;=0.1,G1641&gt;=1),1,0)))</f>
        <v/>
      </c>
      <c r="I1641" s="4">
        <f>CHOOSE(H1641+1,"Kein Risiko","Gering","Mittel","Hoch")</f>
        <v/>
      </c>
    </row>
    <row r="1642">
      <c r="A1642" s="4" t="n">
        <v>1638</v>
      </c>
      <c r="B1642" s="4" t="inlineStr">
        <is>
          <t>yes</t>
        </is>
      </c>
      <c r="C1642" s="4" t="inlineStr">
        <is>
          <t>Frauenstein</t>
        </is>
      </c>
      <c r="D1642" s="4" t="inlineStr">
        <is>
          <t>31</t>
        </is>
      </c>
      <c r="E1642" s="13" t="n">
        <v>60.7</v>
      </c>
      <c r="F1642" s="12" t="n">
        <v>0.01999664306640625</v>
      </c>
      <c r="G1642" s="4" t="n">
        <v>0</v>
      </c>
      <c r="H1642" s="4">
        <f>IF(OR(N(F1642)&gt;=0.5,G1642&gt;=4),3,IF(OR(N(F1642)&gt;=0.3,G1642=3),2,IF(OR(N(F1642)&gt;=0.1,G1642&gt;=1),1,0)))</f>
        <v/>
      </c>
      <c r="I1642" s="4">
        <f>CHOOSE(H1642+1,"Kein Risiko","Gering","Mittel","Hoch")</f>
        <v/>
      </c>
    </row>
    <row r="1643">
      <c r="A1643" s="4" t="n">
        <v>1639</v>
      </c>
      <c r="B1643" s="4" t="inlineStr">
        <is>
          <t>semidetached_house</t>
        </is>
      </c>
      <c r="C1643" s="4" t="inlineStr">
        <is>
          <t>Phönixberg</t>
        </is>
      </c>
      <c r="D1643" s="4" t="inlineStr">
        <is>
          <t>31</t>
        </is>
      </c>
      <c r="E1643" s="13" t="n">
        <v>100.4</v>
      </c>
      <c r="F1643" s="12" t="n">
        <v>0</v>
      </c>
      <c r="G1643" s="4" t="n">
        <v>0</v>
      </c>
      <c r="H1643" s="4">
        <f>IF(OR(N(F1643)&gt;=0.5,G1643&gt;=4),3,IF(OR(N(F1643)&gt;=0.3,G1643=3),2,IF(OR(N(F1643)&gt;=0.1,G1643&gt;=1),1,0)))</f>
        <v/>
      </c>
      <c r="I1643" s="4">
        <f>CHOOSE(H1643+1,"Kein Risiko","Gering","Mittel","Hoch")</f>
        <v/>
      </c>
    </row>
    <row r="1644">
      <c r="A1644" s="4" t="n">
        <v>1640</v>
      </c>
      <c r="B1644" s="4" t="inlineStr">
        <is>
          <t>yes</t>
        </is>
      </c>
      <c r="C1644" s="4" t="inlineStr">
        <is>
          <t>Ruhrlandbogen</t>
        </is>
      </c>
      <c r="D1644" s="4" t="inlineStr">
        <is>
          <t>31</t>
        </is>
      </c>
      <c r="E1644" s="13" t="n">
        <v>194.2</v>
      </c>
      <c r="F1644" s="12" t="n">
        <v>0</v>
      </c>
      <c r="G1644" s="4" t="n">
        <v>2</v>
      </c>
      <c r="H1644" s="4">
        <f>IF(OR(N(F1644)&gt;=0.5,G1644&gt;=4),3,IF(OR(N(F1644)&gt;=0.3,G1644=3),2,IF(OR(N(F1644)&gt;=0.1,G1644&gt;=1),1,0)))</f>
        <v/>
      </c>
      <c r="I1644" s="4">
        <f>CHOOSE(H1644+1,"Kein Risiko","Gering","Mittel","Hoch")</f>
        <v/>
      </c>
    </row>
    <row r="1645">
      <c r="A1645" s="4" t="n">
        <v>1641</v>
      </c>
      <c r="B1645" s="4" t="inlineStr">
        <is>
          <t>yes</t>
        </is>
      </c>
      <c r="C1645" s="4" t="inlineStr">
        <is>
          <t>Priemhauser Weg</t>
        </is>
      </c>
      <c r="D1645" s="4" t="inlineStr">
        <is>
          <t>32</t>
        </is>
      </c>
      <c r="E1645" s="13" t="n">
        <v>92.90000000000001</v>
      </c>
      <c r="F1645" s="12" t="n">
        <v>0.029998779296875</v>
      </c>
      <c r="G1645" s="4" t="n">
        <v>0</v>
      </c>
      <c r="H1645" s="4">
        <f>IF(OR(N(F1645)&gt;=0.5,G1645&gt;=4),3,IF(OR(N(F1645)&gt;=0.3,G1645=3),2,IF(OR(N(F1645)&gt;=0.1,G1645&gt;=1),1,0)))</f>
        <v/>
      </c>
      <c r="I1645" s="4">
        <f>CHOOSE(H1645+1,"Kein Risiko","Gering","Mittel","Hoch")</f>
        <v/>
      </c>
    </row>
    <row r="1646">
      <c r="A1646" s="4" t="n">
        <v>1642</v>
      </c>
      <c r="B1646" s="4" t="inlineStr">
        <is>
          <t>yes</t>
        </is>
      </c>
      <c r="C1646" s="4" t="inlineStr">
        <is>
          <t>Ruhrlandbogen</t>
        </is>
      </c>
      <c r="D1646" s="4" t="inlineStr">
        <is>
          <t>32</t>
        </is>
      </c>
      <c r="E1646" s="13" t="n">
        <v>212.9</v>
      </c>
      <c r="F1646" s="12" t="n">
        <v>0.0200042724609375</v>
      </c>
      <c r="G1646" s="4" t="n">
        <v>0</v>
      </c>
      <c r="H1646" s="4">
        <f>IF(OR(N(F1646)&gt;=0.5,G1646&gt;=4),3,IF(OR(N(F1646)&gt;=0.3,G1646=3),2,IF(OR(N(F1646)&gt;=0.1,G1646&gt;=1),1,0)))</f>
        <v/>
      </c>
      <c r="I1646" s="4">
        <f>CHOOSE(H1646+1,"Kein Risiko","Gering","Mittel","Hoch")</f>
        <v/>
      </c>
    </row>
    <row r="1647">
      <c r="A1647" s="4" t="n">
        <v>1643</v>
      </c>
      <c r="B1647" s="4" t="inlineStr">
        <is>
          <t>yes</t>
        </is>
      </c>
      <c r="C1647" s="4" t="inlineStr">
        <is>
          <t>Frauenstein</t>
        </is>
      </c>
      <c r="D1647" s="4" t="inlineStr">
        <is>
          <t>33</t>
        </is>
      </c>
      <c r="E1647" s="13" t="n">
        <v>54.9</v>
      </c>
      <c r="F1647" s="12" t="n">
        <v>0</v>
      </c>
      <c r="G1647" s="4" t="n">
        <v>2</v>
      </c>
      <c r="H1647" s="4">
        <f>IF(OR(N(F1647)&gt;=0.5,G1647&gt;=4),3,IF(OR(N(F1647)&gt;=0.3,G1647=3),2,IF(OR(N(F1647)&gt;=0.1,G1647&gt;=1),1,0)))</f>
        <v/>
      </c>
      <c r="I1647" s="4">
        <f>CHOOSE(H1647+1,"Kein Risiko","Gering","Mittel","Hoch")</f>
        <v/>
      </c>
    </row>
    <row r="1648">
      <c r="A1648" s="4" t="n">
        <v>1644</v>
      </c>
      <c r="B1648" s="4" t="inlineStr">
        <is>
          <t>yes</t>
        </is>
      </c>
      <c r="C1648" s="4" t="inlineStr">
        <is>
          <t>Phönixberg</t>
        </is>
      </c>
      <c r="D1648" s="4" t="inlineStr">
        <is>
          <t>33</t>
        </is>
      </c>
      <c r="E1648" s="13" t="n">
        <v>74.90000000000001</v>
      </c>
      <c r="F1648" s="12" t="n">
        <v>0.0099945068359375</v>
      </c>
      <c r="G1648" s="4" t="n">
        <v>0</v>
      </c>
      <c r="H1648" s="4">
        <f>IF(OR(N(F1648)&gt;=0.5,G1648&gt;=4),3,IF(OR(N(F1648)&gt;=0.3,G1648=3),2,IF(OR(N(F1648)&gt;=0.1,G1648&gt;=1),1,0)))</f>
        <v/>
      </c>
      <c r="I1648" s="4">
        <f>CHOOSE(H1648+1,"Kein Risiko","Gering","Mittel","Hoch")</f>
        <v/>
      </c>
    </row>
    <row r="1649">
      <c r="A1649" s="4" t="n">
        <v>1645</v>
      </c>
      <c r="B1649" s="4" t="inlineStr">
        <is>
          <t>yes</t>
        </is>
      </c>
      <c r="C1649" s="4" t="inlineStr">
        <is>
          <t>Ruhrlandbogen</t>
        </is>
      </c>
      <c r="D1649" s="4" t="inlineStr">
        <is>
          <t>33</t>
        </is>
      </c>
      <c r="E1649" s="13" t="n">
        <v>194.1</v>
      </c>
      <c r="F1649" s="12" t="n">
        <v>0.0500030517578125</v>
      </c>
      <c r="G1649" s="4" t="n">
        <v>0</v>
      </c>
      <c r="H1649" s="4">
        <f>IF(OR(N(F1649)&gt;=0.5,G1649&gt;=4),3,IF(OR(N(F1649)&gt;=0.3,G1649=3),2,IF(OR(N(F1649)&gt;=0.1,G1649&gt;=1),1,0)))</f>
        <v/>
      </c>
      <c r="I1649" s="4">
        <f>CHOOSE(H1649+1,"Kein Risiko","Gering","Mittel","Hoch")</f>
        <v/>
      </c>
    </row>
    <row r="1650">
      <c r="A1650" s="4" t="n">
        <v>1646</v>
      </c>
      <c r="B1650" s="4" t="inlineStr">
        <is>
          <t>apartments</t>
        </is>
      </c>
      <c r="C1650" s="4" t="inlineStr">
        <is>
          <t>Asbachtal</t>
        </is>
      </c>
      <c r="D1650" s="4" t="inlineStr">
        <is>
          <t>34</t>
        </is>
      </c>
      <c r="E1650" s="13" t="n">
        <v>181.8</v>
      </c>
      <c r="F1650" s="12" t="n">
        <v>0</v>
      </c>
      <c r="G1650" s="4" t="n">
        <v>0</v>
      </c>
      <c r="H1650" s="4">
        <f>IF(OR(N(F1650)&gt;=0.5,G1650&gt;=4),3,IF(OR(N(F1650)&gt;=0.3,G1650=3),2,IF(OR(N(F1650)&gt;=0.1,G1650&gt;=1),1,0)))</f>
        <v/>
      </c>
      <c r="I1650" s="4">
        <f>CHOOSE(H1650+1,"Kein Risiko","Gering","Mittel","Hoch")</f>
        <v/>
      </c>
    </row>
    <row r="1651">
      <c r="A1651" s="4" t="n">
        <v>1647</v>
      </c>
      <c r="B1651" s="4" t="inlineStr">
        <is>
          <t>yes</t>
        </is>
      </c>
      <c r="C1651" s="4" t="inlineStr">
        <is>
          <t>Frauenstein</t>
        </is>
      </c>
      <c r="D1651" s="4" t="inlineStr">
        <is>
          <t>35</t>
        </is>
      </c>
      <c r="E1651" s="13" t="n">
        <v>54.9</v>
      </c>
      <c r="F1651" s="12" t="n">
        <v>0</v>
      </c>
      <c r="G1651" s="4" t="n">
        <v>0</v>
      </c>
      <c r="H1651" s="4">
        <f>IF(OR(N(F1651)&gt;=0.5,G1651&gt;=4),3,IF(OR(N(F1651)&gt;=0.3,G1651=3),2,IF(OR(N(F1651)&gt;=0.1,G1651&gt;=1),1,0)))</f>
        <v/>
      </c>
      <c r="I1651" s="4">
        <f>CHOOSE(H1651+1,"Kein Risiko","Gering","Mittel","Hoch")</f>
        <v/>
      </c>
    </row>
    <row r="1652">
      <c r="A1652" s="4" t="n">
        <v>1648</v>
      </c>
      <c r="B1652" s="4" t="inlineStr">
        <is>
          <t>yes</t>
        </is>
      </c>
      <c r="C1652" s="4" t="inlineStr">
        <is>
          <t>Ruhrlandbogen</t>
        </is>
      </c>
      <c r="D1652" s="4" t="inlineStr">
        <is>
          <t>35</t>
        </is>
      </c>
      <c r="E1652" s="13" t="n">
        <v>194</v>
      </c>
      <c r="F1652" s="12" t="n">
        <v>0.04999542236328125</v>
      </c>
      <c r="G1652" s="4" t="n">
        <v>0</v>
      </c>
      <c r="H1652" s="4">
        <f>IF(OR(N(F1652)&gt;=0.5,G1652&gt;=4),3,IF(OR(N(F1652)&gt;=0.3,G1652=3),2,IF(OR(N(F1652)&gt;=0.1,G1652&gt;=1),1,0)))</f>
        <v/>
      </c>
      <c r="I1652" s="4">
        <f>CHOOSE(H1652+1,"Kein Risiko","Gering","Mittel","Hoch")</f>
        <v/>
      </c>
    </row>
    <row r="1653">
      <c r="A1653" s="4" t="n">
        <v>1649</v>
      </c>
      <c r="B1653" s="4" t="inlineStr">
        <is>
          <t>apartments</t>
        </is>
      </c>
      <c r="C1653" s="4" t="inlineStr">
        <is>
          <t>Asbachtal</t>
        </is>
      </c>
      <c r="D1653" s="4" t="inlineStr">
        <is>
          <t>36</t>
        </is>
      </c>
      <c r="E1653" s="13" t="n">
        <v>146.9</v>
      </c>
      <c r="F1653" s="12" t="n">
        <v>0</v>
      </c>
      <c r="G1653" s="4" t="n">
        <v>0</v>
      </c>
      <c r="H1653" s="4">
        <f>IF(OR(N(F1653)&gt;=0.5,G1653&gt;=4),3,IF(OR(N(F1653)&gt;=0.3,G1653=3),2,IF(OR(N(F1653)&gt;=0.1,G1653&gt;=1),1,0)))</f>
        <v/>
      </c>
      <c r="I1653" s="4">
        <f>CHOOSE(H1653+1,"Kein Risiko","Gering","Mittel","Hoch")</f>
        <v/>
      </c>
    </row>
    <row r="1654">
      <c r="A1654" s="4" t="n">
        <v>1650</v>
      </c>
      <c r="B1654" s="4" t="inlineStr">
        <is>
          <t>semidetached_house</t>
        </is>
      </c>
      <c r="C1654" s="4" t="inlineStr">
        <is>
          <t>Priemhauser Weg</t>
        </is>
      </c>
      <c r="D1654" s="4" t="inlineStr">
        <is>
          <t>36</t>
        </is>
      </c>
      <c r="E1654" s="13" t="n">
        <v>86.2</v>
      </c>
      <c r="F1654" s="12" t="n">
        <v>0.01000213623046875</v>
      </c>
      <c r="G1654" s="4" t="n">
        <v>0</v>
      </c>
      <c r="H1654" s="4">
        <f>IF(OR(N(F1654)&gt;=0.5,G1654&gt;=4),3,IF(OR(N(F1654)&gt;=0.3,G1654=3),2,IF(OR(N(F1654)&gt;=0.1,G1654&gt;=1),1,0)))</f>
        <v/>
      </c>
      <c r="I1654" s="4">
        <f>CHOOSE(H1654+1,"Kein Risiko","Gering","Mittel","Hoch")</f>
        <v/>
      </c>
    </row>
    <row r="1655">
      <c r="A1655" s="4" t="n">
        <v>1651</v>
      </c>
      <c r="B1655" s="4" t="inlineStr">
        <is>
          <t>yes</t>
        </is>
      </c>
      <c r="C1655" s="4" t="inlineStr">
        <is>
          <t>Frauenstein</t>
        </is>
      </c>
      <c r="D1655" s="4" t="inlineStr">
        <is>
          <t>37</t>
        </is>
      </c>
      <c r="E1655" s="13" t="n">
        <v>54.4</v>
      </c>
      <c r="F1655" s="12" t="n">
        <v>0</v>
      </c>
      <c r="G1655" s="4" t="n">
        <v>0</v>
      </c>
      <c r="H1655" s="4">
        <f>IF(OR(N(F1655)&gt;=0.5,G1655&gt;=4),3,IF(OR(N(F1655)&gt;=0.3,G1655=3),2,IF(OR(N(F1655)&gt;=0.1,G1655&gt;=1),1,0)))</f>
        <v/>
      </c>
      <c r="I1655" s="4">
        <f>CHOOSE(H1655+1,"Kein Risiko","Gering","Mittel","Hoch")</f>
        <v/>
      </c>
    </row>
    <row r="1656">
      <c r="A1656" s="4" t="n">
        <v>1652</v>
      </c>
      <c r="B1656" s="4" t="inlineStr">
        <is>
          <t>yes</t>
        </is>
      </c>
      <c r="C1656" s="4" t="inlineStr">
        <is>
          <t>Phönixberg</t>
        </is>
      </c>
      <c r="D1656" s="4" t="inlineStr">
        <is>
          <t>37</t>
        </is>
      </c>
      <c r="E1656" s="13" t="n">
        <v>71.3</v>
      </c>
      <c r="F1656" s="12" t="n">
        <v>0</v>
      </c>
      <c r="G1656" s="4" t="n">
        <v>0</v>
      </c>
      <c r="H1656" s="4">
        <f>IF(OR(N(F1656)&gt;=0.5,G1656&gt;=4),3,IF(OR(N(F1656)&gt;=0.3,G1656=3),2,IF(OR(N(F1656)&gt;=0.1,G1656&gt;=1),1,0)))</f>
        <v/>
      </c>
      <c r="I1656" s="4">
        <f>CHOOSE(H1656+1,"Kein Risiko","Gering","Mittel","Hoch")</f>
        <v/>
      </c>
    </row>
    <row r="1657">
      <c r="A1657" s="4" t="n">
        <v>1653</v>
      </c>
      <c r="B1657" s="4" t="inlineStr">
        <is>
          <t>apartments</t>
        </is>
      </c>
      <c r="C1657" s="4" t="inlineStr">
        <is>
          <t>Asbachtal</t>
        </is>
      </c>
      <c r="D1657" s="4" t="inlineStr">
        <is>
          <t>38</t>
        </is>
      </c>
      <c r="E1657" s="13" t="n">
        <v>146.9</v>
      </c>
      <c r="F1657" s="12" t="n">
        <v>0.529998779296875</v>
      </c>
      <c r="G1657" s="4" t="n">
        <v>1</v>
      </c>
      <c r="H1657" s="4">
        <f>IF(OR(N(F1657)&gt;=0.5,G1657&gt;=4),3,IF(OR(N(F1657)&gt;=0.3,G1657=3),2,IF(OR(N(F1657)&gt;=0.1,G1657&gt;=1),1,0)))</f>
        <v/>
      </c>
      <c r="I1657" s="4">
        <f>CHOOSE(H1657+1,"Kein Risiko","Gering","Mittel","Hoch")</f>
        <v/>
      </c>
    </row>
    <row r="1658">
      <c r="A1658" s="4" t="n">
        <v>1654</v>
      </c>
      <c r="B1658" s="4" t="inlineStr">
        <is>
          <t>house</t>
        </is>
      </c>
      <c r="C1658" s="4" t="inlineStr">
        <is>
          <t>Frauenstein</t>
        </is>
      </c>
      <c r="D1658" s="4" t="inlineStr">
        <is>
          <t>39</t>
        </is>
      </c>
      <c r="E1658" s="13" t="n">
        <v>54.5</v>
      </c>
      <c r="F1658" s="12" t="n">
        <v>0</v>
      </c>
      <c r="G1658" s="4" t="n">
        <v>0</v>
      </c>
      <c r="H1658" s="4">
        <f>IF(OR(N(F1658)&gt;=0.5,G1658&gt;=4),3,IF(OR(N(F1658)&gt;=0.3,G1658=3),2,IF(OR(N(F1658)&gt;=0.1,G1658&gt;=1),1,0)))</f>
        <v/>
      </c>
      <c r="I1658" s="4">
        <f>CHOOSE(H1658+1,"Kein Risiko","Gering","Mittel","Hoch")</f>
        <v/>
      </c>
    </row>
    <row r="1659">
      <c r="A1659" s="4" t="n">
        <v>1655</v>
      </c>
      <c r="B1659" s="4" t="inlineStr">
        <is>
          <t>yes</t>
        </is>
      </c>
      <c r="C1659" s="4" t="inlineStr">
        <is>
          <t>Phönixberg</t>
        </is>
      </c>
      <c r="D1659" s="4" t="inlineStr">
        <is>
          <t>39</t>
        </is>
      </c>
      <c r="E1659" s="13" t="n">
        <v>114.6</v>
      </c>
      <c r="F1659" s="12" t="n">
        <v>0</v>
      </c>
      <c r="G1659" s="4" t="n">
        <v>0</v>
      </c>
      <c r="H1659" s="4">
        <f>IF(OR(N(F1659)&gt;=0.5,G1659&gt;=4),3,IF(OR(N(F1659)&gt;=0.3,G1659=3),2,IF(OR(N(F1659)&gt;=0.1,G1659&gt;=1),1,0)))</f>
        <v/>
      </c>
      <c r="I1659" s="4">
        <f>CHOOSE(H1659+1,"Kein Risiko","Gering","Mittel","Hoch")</f>
        <v/>
      </c>
    </row>
    <row r="1660">
      <c r="A1660" s="4" t="n">
        <v>1656</v>
      </c>
      <c r="B1660" s="4" t="inlineStr">
        <is>
          <t>apartments</t>
        </is>
      </c>
      <c r="C1660" s="4" t="inlineStr">
        <is>
          <t>Dilldorfer Straße</t>
        </is>
      </c>
      <c r="D1660" s="4" t="inlineStr">
        <is>
          <t>4</t>
        </is>
      </c>
      <c r="E1660" s="13" t="n">
        <v>159.1</v>
      </c>
      <c r="F1660" s="12" t="n">
        <v>0</v>
      </c>
      <c r="G1660" s="4" t="n">
        <v>0</v>
      </c>
      <c r="H1660" s="4">
        <f>IF(OR(N(F1660)&gt;=0.5,G1660&gt;=4),3,IF(OR(N(F1660)&gt;=0.3,G1660=3),2,IF(OR(N(F1660)&gt;=0.1,G1660&gt;=1),1,0)))</f>
        <v/>
      </c>
      <c r="I1660" s="4">
        <f>CHOOSE(H1660+1,"Kein Risiko","Gering","Mittel","Hoch")</f>
        <v/>
      </c>
    </row>
    <row r="1661">
      <c r="A1661" s="4" t="n">
        <v>1657</v>
      </c>
      <c r="B1661" s="4" t="inlineStr">
        <is>
          <t>house</t>
        </is>
      </c>
      <c r="C1661" s="4" t="inlineStr">
        <is>
          <t>Hellersberg</t>
        </is>
      </c>
      <c r="D1661" s="4" t="inlineStr">
        <is>
          <t>4</t>
        </is>
      </c>
      <c r="E1661" s="13" t="n">
        <v>85</v>
      </c>
      <c r="F1661" s="12" t="n"/>
      <c r="G1661" s="4" t="n">
        <v>0</v>
      </c>
      <c r="H1661" s="4">
        <f>IF(OR(N(F1661)&gt;=0.5,G1661&gt;=4),3,IF(OR(N(F1661)&gt;=0.3,G1661=3),2,IF(OR(N(F1661)&gt;=0.1,G1661&gt;=1),1,0)))</f>
        <v/>
      </c>
      <c r="I1661" s="4">
        <f>CHOOSE(H1661+1,"Kein Risiko","Gering","Mittel","Hoch")</f>
        <v/>
      </c>
    </row>
    <row r="1662">
      <c r="A1662" s="4" t="n">
        <v>1658</v>
      </c>
      <c r="B1662" s="4" t="inlineStr">
        <is>
          <t>yes</t>
        </is>
      </c>
      <c r="C1662" s="4" t="inlineStr">
        <is>
          <t>Phönixberg</t>
        </is>
      </c>
      <c r="D1662" s="4" t="inlineStr">
        <is>
          <t>4</t>
        </is>
      </c>
      <c r="E1662" s="13" t="n">
        <v>211.8</v>
      </c>
      <c r="F1662" s="12" t="n">
        <v>0.029998779296875</v>
      </c>
      <c r="G1662" s="4" t="n">
        <v>1</v>
      </c>
      <c r="H1662" s="4">
        <f>IF(OR(N(F1662)&gt;=0.5,G1662&gt;=4),3,IF(OR(N(F1662)&gt;=0.3,G1662=3),2,IF(OR(N(F1662)&gt;=0.1,G1662&gt;=1),1,0)))</f>
        <v/>
      </c>
      <c r="I1662" s="4">
        <f>CHOOSE(H1662+1,"Kein Risiko","Gering","Mittel","Hoch")</f>
        <v/>
      </c>
    </row>
    <row r="1663">
      <c r="A1663" s="4" t="n">
        <v>1659</v>
      </c>
      <c r="B1663" s="4" t="inlineStr">
        <is>
          <t>apartments</t>
        </is>
      </c>
      <c r="C1663" s="4" t="inlineStr">
        <is>
          <t>Ruhrlandbogen</t>
        </is>
      </c>
      <c r="D1663" s="4" t="inlineStr">
        <is>
          <t>4</t>
        </is>
      </c>
      <c r="E1663" s="13" t="n">
        <v>222.5</v>
      </c>
      <c r="F1663" s="12" t="n">
        <v>0.04000091552734375</v>
      </c>
      <c r="G1663" s="4" t="n">
        <v>1</v>
      </c>
      <c r="H1663" s="4">
        <f>IF(OR(N(F1663)&gt;=0.5,G1663&gt;=4),3,IF(OR(N(F1663)&gt;=0.3,G1663=3),2,IF(OR(N(F1663)&gt;=0.1,G1663&gt;=1),1,0)))</f>
        <v/>
      </c>
      <c r="I1663" s="4">
        <f>CHOOSE(H1663+1,"Kein Risiko","Gering","Mittel","Hoch")</f>
        <v/>
      </c>
    </row>
    <row r="1664">
      <c r="A1664" s="4" t="n">
        <v>1660</v>
      </c>
      <c r="B1664" s="4" t="inlineStr">
        <is>
          <t>semidetached_house</t>
        </is>
      </c>
      <c r="C1664" s="4" t="inlineStr">
        <is>
          <t>Tholshof</t>
        </is>
      </c>
      <c r="D1664" s="4" t="inlineStr">
        <is>
          <t>4</t>
        </is>
      </c>
      <c r="E1664" s="13" t="n">
        <v>71</v>
      </c>
      <c r="F1664" s="12" t="n">
        <v>0.01000213623046875</v>
      </c>
      <c r="G1664" s="4" t="n">
        <v>0</v>
      </c>
      <c r="H1664" s="4">
        <f>IF(OR(N(F1664)&gt;=0.5,G1664&gt;=4),3,IF(OR(N(F1664)&gt;=0.3,G1664=3),2,IF(OR(N(F1664)&gt;=0.1,G1664&gt;=1),1,0)))</f>
        <v/>
      </c>
      <c r="I1664" s="4">
        <f>CHOOSE(H1664+1,"Kein Risiko","Gering","Mittel","Hoch")</f>
        <v/>
      </c>
    </row>
    <row r="1665">
      <c r="A1665" s="4" t="n">
        <v>1661</v>
      </c>
      <c r="B1665" s="4" t="inlineStr">
        <is>
          <t>yes</t>
        </is>
      </c>
      <c r="C1665" s="4" t="inlineStr">
        <is>
          <t>Asbachtal</t>
        </is>
      </c>
      <c r="D1665" s="4" t="inlineStr">
        <is>
          <t>40</t>
        </is>
      </c>
      <c r="E1665" s="13" t="n">
        <v>93</v>
      </c>
      <c r="F1665" s="12" t="n">
        <v>0</v>
      </c>
      <c r="G1665" s="4" t="n">
        <v>0</v>
      </c>
      <c r="H1665" s="4">
        <f>IF(OR(N(F1665)&gt;=0.5,G1665&gt;=4),3,IF(OR(N(F1665)&gt;=0.3,G1665=3),2,IF(OR(N(F1665)&gt;=0.1,G1665&gt;=1),1,0)))</f>
        <v/>
      </c>
      <c r="I1665" s="4">
        <f>CHOOSE(H1665+1,"Kein Risiko","Gering","Mittel","Hoch")</f>
        <v/>
      </c>
    </row>
    <row r="1666">
      <c r="A1666" s="4" t="n">
        <v>1662</v>
      </c>
      <c r="B1666" s="4" t="inlineStr">
        <is>
          <t>house</t>
        </is>
      </c>
      <c r="C1666" s="4" t="inlineStr">
        <is>
          <t>Frauenstein</t>
        </is>
      </c>
      <c r="D1666" s="4" t="inlineStr">
        <is>
          <t>41</t>
        </is>
      </c>
      <c r="E1666" s="13" t="n">
        <v>99.90000000000001</v>
      </c>
      <c r="F1666" s="12" t="n">
        <v>0.04000091552734375</v>
      </c>
      <c r="G1666" s="4" t="n">
        <v>0</v>
      </c>
      <c r="H1666" s="4">
        <f>IF(OR(N(F1666)&gt;=0.5,G1666&gt;=4),3,IF(OR(N(F1666)&gt;=0.3,G1666=3),2,IF(OR(N(F1666)&gt;=0.1,G1666&gt;=1),1,0)))</f>
        <v/>
      </c>
      <c r="I1666" s="4">
        <f>CHOOSE(H1666+1,"Kein Risiko","Gering","Mittel","Hoch")</f>
        <v/>
      </c>
    </row>
    <row r="1667">
      <c r="A1667" s="4" t="n">
        <v>1663</v>
      </c>
      <c r="B1667" s="4" t="inlineStr">
        <is>
          <t>house</t>
        </is>
      </c>
      <c r="C1667" s="4" t="inlineStr">
        <is>
          <t>Phönixberg</t>
        </is>
      </c>
      <c r="D1667" s="4" t="inlineStr">
        <is>
          <t>41</t>
        </is>
      </c>
      <c r="E1667" s="13" t="n">
        <v>74.40000000000001</v>
      </c>
      <c r="F1667" s="12" t="n">
        <v>0</v>
      </c>
      <c r="G1667" s="4" t="n">
        <v>0</v>
      </c>
      <c r="H1667" s="4">
        <f>IF(OR(N(F1667)&gt;=0.5,G1667&gt;=4),3,IF(OR(N(F1667)&gt;=0.3,G1667=3),2,IF(OR(N(F1667)&gt;=0.1,G1667&gt;=1),1,0)))</f>
        <v/>
      </c>
      <c r="I1667" s="4">
        <f>CHOOSE(H1667+1,"Kein Risiko","Gering","Mittel","Hoch")</f>
        <v/>
      </c>
    </row>
    <row r="1668">
      <c r="A1668" s="4" t="n">
        <v>1664</v>
      </c>
      <c r="B1668" s="4" t="inlineStr">
        <is>
          <t>yes</t>
        </is>
      </c>
      <c r="C1668" s="4" t="inlineStr">
        <is>
          <t>Asbachtal</t>
        </is>
      </c>
      <c r="D1668" s="4" t="inlineStr">
        <is>
          <t>42</t>
        </is>
      </c>
      <c r="E1668" s="13" t="n">
        <v>93.09999999999999</v>
      </c>
      <c r="F1668" s="12" t="n">
        <v>0.1100006103515625</v>
      </c>
      <c r="G1668" s="4" t="n">
        <v>1</v>
      </c>
      <c r="H1668" s="4">
        <f>IF(OR(N(F1668)&gt;=0.5,G1668&gt;=4),3,IF(OR(N(F1668)&gt;=0.3,G1668=3),2,IF(OR(N(F1668)&gt;=0.1,G1668&gt;=1),1,0)))</f>
        <v/>
      </c>
      <c r="I1668" s="4">
        <f>CHOOSE(H1668+1,"Kein Risiko","Gering","Mittel","Hoch")</f>
        <v/>
      </c>
    </row>
    <row r="1669">
      <c r="A1669" s="4" t="n">
        <v>1665</v>
      </c>
      <c r="B1669" s="4" t="inlineStr">
        <is>
          <t>house</t>
        </is>
      </c>
      <c r="C1669" s="4" t="inlineStr">
        <is>
          <t>Frauenstein</t>
        </is>
      </c>
      <c r="D1669" s="4" t="inlineStr">
        <is>
          <t>43</t>
        </is>
      </c>
      <c r="E1669" s="13" t="n">
        <v>100</v>
      </c>
      <c r="F1669" s="12" t="n">
        <v>0</v>
      </c>
      <c r="G1669" s="4" t="n">
        <v>0</v>
      </c>
      <c r="H1669" s="4">
        <f>IF(OR(N(F1669)&gt;=0.5,G1669&gt;=4),3,IF(OR(N(F1669)&gt;=0.3,G1669=3),2,IF(OR(N(F1669)&gt;=0.1,G1669&gt;=1),1,0)))</f>
        <v/>
      </c>
      <c r="I1669" s="4">
        <f>CHOOSE(H1669+1,"Kein Risiko","Gering","Mittel","Hoch")</f>
        <v/>
      </c>
    </row>
    <row r="1670">
      <c r="A1670" s="4" t="n">
        <v>1666</v>
      </c>
      <c r="B1670" s="4" t="inlineStr">
        <is>
          <t>house</t>
        </is>
      </c>
      <c r="C1670" s="4" t="inlineStr">
        <is>
          <t>Phönixberg</t>
        </is>
      </c>
      <c r="D1670" s="4" t="inlineStr">
        <is>
          <t>43</t>
        </is>
      </c>
      <c r="E1670" s="13" t="n">
        <v>74.40000000000001</v>
      </c>
      <c r="F1670" s="12" t="n">
        <v>0</v>
      </c>
      <c r="G1670" s="4" t="n">
        <v>2</v>
      </c>
      <c r="H1670" s="4">
        <f>IF(OR(N(F1670)&gt;=0.5,G1670&gt;=4),3,IF(OR(N(F1670)&gt;=0.3,G1670=3),2,IF(OR(N(F1670)&gt;=0.1,G1670&gt;=1),1,0)))</f>
        <v/>
      </c>
      <c r="I1670" s="4">
        <f>CHOOSE(H1670+1,"Kein Risiko","Gering","Mittel","Hoch")</f>
        <v/>
      </c>
    </row>
    <row r="1671">
      <c r="A1671" s="4" t="n">
        <v>1667</v>
      </c>
      <c r="B1671" s="4" t="inlineStr">
        <is>
          <t>yes</t>
        </is>
      </c>
      <c r="C1671" s="4" t="inlineStr">
        <is>
          <t>Asbachtal</t>
        </is>
      </c>
      <c r="D1671" s="4" t="inlineStr">
        <is>
          <t>44</t>
        </is>
      </c>
      <c r="E1671" s="13" t="n">
        <v>97.5</v>
      </c>
      <c r="F1671" s="12" t="n">
        <v>0.01999664306640625</v>
      </c>
      <c r="G1671" s="4" t="n">
        <v>0</v>
      </c>
      <c r="H1671" s="4">
        <f>IF(OR(N(F1671)&gt;=0.5,G1671&gt;=4),3,IF(OR(N(F1671)&gt;=0.3,G1671=3),2,IF(OR(N(F1671)&gt;=0.1,G1671&gt;=1),1,0)))</f>
        <v/>
      </c>
      <c r="I1671" s="4">
        <f>CHOOSE(H1671+1,"Kein Risiko","Gering","Mittel","Hoch")</f>
        <v/>
      </c>
    </row>
    <row r="1672">
      <c r="A1672" s="4" t="n">
        <v>1668</v>
      </c>
      <c r="B1672" s="4" t="inlineStr">
        <is>
          <t>industrial</t>
        </is>
      </c>
      <c r="C1672" s="4" t="inlineStr">
        <is>
          <t>Deilbachtal</t>
        </is>
      </c>
      <c r="D1672" s="4" t="inlineStr">
        <is>
          <t>45</t>
        </is>
      </c>
      <c r="E1672" s="13" t="n">
        <v>1834.5</v>
      </c>
      <c r="F1672" s="12" t="n"/>
      <c r="G1672" s="4" t="n">
        <v>0</v>
      </c>
      <c r="H1672" s="4">
        <f>IF(OR(N(F1672)&gt;=0.5,G1672&gt;=4),3,IF(OR(N(F1672)&gt;=0.3,G1672=3),2,IF(OR(N(F1672)&gt;=0.1,G1672&gt;=1),1,0)))</f>
        <v/>
      </c>
      <c r="I1672" s="4">
        <f>CHOOSE(H1672+1,"Kein Risiko","Gering","Mittel","Hoch")</f>
        <v/>
      </c>
    </row>
    <row r="1673">
      <c r="A1673" s="4" t="n">
        <v>1669</v>
      </c>
      <c r="B1673" s="4" t="inlineStr">
        <is>
          <t>house</t>
        </is>
      </c>
      <c r="C1673" s="4" t="inlineStr">
        <is>
          <t>Phönixberg</t>
        </is>
      </c>
      <c r="D1673" s="4" t="inlineStr">
        <is>
          <t>45</t>
        </is>
      </c>
      <c r="E1673" s="13" t="n">
        <v>74.3</v>
      </c>
      <c r="F1673" s="12" t="n">
        <v>0</v>
      </c>
      <c r="G1673" s="4" t="n">
        <v>0</v>
      </c>
      <c r="H1673" s="4">
        <f>IF(OR(N(F1673)&gt;=0.5,G1673&gt;=4),3,IF(OR(N(F1673)&gt;=0.3,G1673=3),2,IF(OR(N(F1673)&gt;=0.1,G1673&gt;=1),1,0)))</f>
        <v/>
      </c>
      <c r="I1673" s="4">
        <f>CHOOSE(H1673+1,"Kein Risiko","Gering","Mittel","Hoch")</f>
        <v/>
      </c>
    </row>
    <row r="1674">
      <c r="A1674" s="4" t="n">
        <v>1670</v>
      </c>
      <c r="B1674" s="4" t="inlineStr">
        <is>
          <t>yes</t>
        </is>
      </c>
      <c r="C1674" s="4" t="inlineStr">
        <is>
          <t>Asbachtal</t>
        </is>
      </c>
      <c r="D1674" s="4" t="inlineStr">
        <is>
          <t>46</t>
        </is>
      </c>
      <c r="E1674" s="13" t="n">
        <v>97.59999999999999</v>
      </c>
      <c r="F1674" s="12" t="n">
        <v>0</v>
      </c>
      <c r="G1674" s="4" t="n">
        <v>2</v>
      </c>
      <c r="H1674" s="4">
        <f>IF(OR(N(F1674)&gt;=0.5,G1674&gt;=4),3,IF(OR(N(F1674)&gt;=0.3,G1674=3),2,IF(OR(N(F1674)&gt;=0.1,G1674&gt;=1),1,0)))</f>
        <v/>
      </c>
      <c r="I1674" s="4">
        <f>CHOOSE(H1674+1,"Kein Risiko","Gering","Mittel","Hoch")</f>
        <v/>
      </c>
    </row>
    <row r="1675">
      <c r="A1675" s="4" t="n">
        <v>1671</v>
      </c>
      <c r="B1675" s="4" t="inlineStr">
        <is>
          <t>house</t>
        </is>
      </c>
      <c r="C1675" s="4" t="inlineStr">
        <is>
          <t>Phönixberg</t>
        </is>
      </c>
      <c r="D1675" s="4" t="inlineStr">
        <is>
          <t>47</t>
        </is>
      </c>
      <c r="E1675" s="13" t="n">
        <v>74.40000000000001</v>
      </c>
      <c r="F1675" s="12" t="n">
        <v>0</v>
      </c>
      <c r="G1675" s="4" t="n">
        <v>0</v>
      </c>
      <c r="H1675" s="4">
        <f>IF(OR(N(F1675)&gt;=0.5,G1675&gt;=4),3,IF(OR(N(F1675)&gt;=0.3,G1675=3),2,IF(OR(N(F1675)&gt;=0.1,G1675&gt;=1),1,0)))</f>
        <v/>
      </c>
      <c r="I1675" s="4">
        <f>CHOOSE(H1675+1,"Kein Risiko","Gering","Mittel","Hoch")</f>
        <v/>
      </c>
    </row>
    <row r="1676">
      <c r="A1676" s="4" t="n">
        <v>1672</v>
      </c>
      <c r="B1676" s="4" t="inlineStr">
        <is>
          <t>yes</t>
        </is>
      </c>
      <c r="C1676" s="4" t="inlineStr">
        <is>
          <t>Asbachtal</t>
        </is>
      </c>
      <c r="D1676" s="4" t="inlineStr">
        <is>
          <t>48</t>
        </is>
      </c>
      <c r="E1676" s="13" t="n">
        <v>89.5</v>
      </c>
      <c r="F1676" s="12" t="n">
        <v>0</v>
      </c>
      <c r="G1676" s="4" t="n">
        <v>1</v>
      </c>
      <c r="H1676" s="4">
        <f>IF(OR(N(F1676)&gt;=0.5,G1676&gt;=4),3,IF(OR(N(F1676)&gt;=0.3,G1676=3),2,IF(OR(N(F1676)&gt;=0.1,G1676&gt;=1),1,0)))</f>
        <v/>
      </c>
      <c r="I1676" s="4">
        <f>CHOOSE(H1676+1,"Kein Risiko","Gering","Mittel","Hoch")</f>
        <v/>
      </c>
    </row>
    <row r="1677">
      <c r="A1677" s="4" t="n">
        <v>1673</v>
      </c>
      <c r="B1677" s="4" t="inlineStr">
        <is>
          <t>house</t>
        </is>
      </c>
      <c r="C1677" s="4" t="inlineStr">
        <is>
          <t>Phönixberg</t>
        </is>
      </c>
      <c r="D1677" s="4" t="inlineStr">
        <is>
          <t>49</t>
        </is>
      </c>
      <c r="E1677" s="13" t="n">
        <v>75.59999999999999</v>
      </c>
      <c r="F1677" s="12" t="n">
        <v>0</v>
      </c>
      <c r="G1677" s="4" t="n">
        <v>0</v>
      </c>
      <c r="H1677" s="4">
        <f>IF(OR(N(F1677)&gt;=0.5,G1677&gt;=4),3,IF(OR(N(F1677)&gt;=0.3,G1677=3),2,IF(OR(N(F1677)&gt;=0.1,G1677&gt;=1),1,0)))</f>
        <v/>
      </c>
      <c r="I1677" s="4">
        <f>CHOOSE(H1677+1,"Kein Risiko","Gering","Mittel","Hoch")</f>
        <v/>
      </c>
    </row>
    <row r="1678">
      <c r="A1678" s="4" t="n">
        <v>1674</v>
      </c>
      <c r="B1678" s="4" t="inlineStr">
        <is>
          <t>yes</t>
        </is>
      </c>
      <c r="C1678" s="4" t="inlineStr">
        <is>
          <t>Frauenstein</t>
        </is>
      </c>
      <c r="D1678" s="4" t="inlineStr">
        <is>
          <t>5</t>
        </is>
      </c>
      <c r="E1678" s="13" t="n">
        <v>59.5</v>
      </c>
      <c r="F1678" s="12" t="n">
        <v>0</v>
      </c>
      <c r="G1678" s="4" t="n">
        <v>0</v>
      </c>
      <c r="H1678" s="4">
        <f>IF(OR(N(F1678)&gt;=0.5,G1678&gt;=4),3,IF(OR(N(F1678)&gt;=0.3,G1678=3),2,IF(OR(N(F1678)&gt;=0.1,G1678&gt;=1),1,0)))</f>
        <v/>
      </c>
      <c r="I1678" s="4">
        <f>CHOOSE(H1678+1,"Kein Risiko","Gering","Mittel","Hoch")</f>
        <v/>
      </c>
    </row>
    <row r="1679">
      <c r="A1679" s="4" t="n">
        <v>1675</v>
      </c>
      <c r="B1679" s="4" t="inlineStr">
        <is>
          <t>semidetached_house</t>
        </is>
      </c>
      <c r="C1679" s="4" t="inlineStr">
        <is>
          <t>Phönixberg</t>
        </is>
      </c>
      <c r="D1679" s="4" t="inlineStr">
        <is>
          <t>5</t>
        </is>
      </c>
      <c r="E1679" s="13" t="n">
        <v>100.4</v>
      </c>
      <c r="F1679" s="12" t="n">
        <v>0</v>
      </c>
      <c r="G1679" s="4" t="n">
        <v>0</v>
      </c>
      <c r="H1679" s="4">
        <f>IF(OR(N(F1679)&gt;=0.5,G1679&gt;=4),3,IF(OR(N(F1679)&gt;=0.3,G1679=3),2,IF(OR(N(F1679)&gt;=0.1,G1679&gt;=1),1,0)))</f>
        <v/>
      </c>
      <c r="I1679" s="4">
        <f>CHOOSE(H1679+1,"Kein Risiko","Gering","Mittel","Hoch")</f>
        <v/>
      </c>
    </row>
    <row r="1680">
      <c r="A1680" s="4" t="n">
        <v>1676</v>
      </c>
      <c r="B1680" s="4" t="inlineStr">
        <is>
          <t>house</t>
        </is>
      </c>
      <c r="C1680" s="4" t="inlineStr">
        <is>
          <t>Tholshof</t>
        </is>
      </c>
      <c r="D1680" s="4" t="inlineStr">
        <is>
          <t>5</t>
        </is>
      </c>
      <c r="E1680" s="13" t="n">
        <v>71.09999999999999</v>
      </c>
      <c r="F1680" s="12" t="n">
        <v>0</v>
      </c>
      <c r="G1680" s="4" t="n">
        <v>0</v>
      </c>
      <c r="H1680" s="4">
        <f>IF(OR(N(F1680)&gt;=0.5,G1680&gt;=4),3,IF(OR(N(F1680)&gt;=0.3,G1680=3),2,IF(OR(N(F1680)&gt;=0.1,G1680&gt;=1),1,0)))</f>
        <v/>
      </c>
      <c r="I1680" s="4">
        <f>CHOOSE(H1680+1,"Kein Risiko","Gering","Mittel","Hoch")</f>
        <v/>
      </c>
    </row>
    <row r="1681">
      <c r="A1681" s="4" t="n">
        <v>1677</v>
      </c>
      <c r="B1681" s="4" t="inlineStr">
        <is>
          <t>yes</t>
        </is>
      </c>
      <c r="C1681" s="4" t="inlineStr">
        <is>
          <t>Asbachtal</t>
        </is>
      </c>
      <c r="D1681" s="4" t="inlineStr">
        <is>
          <t>50</t>
        </is>
      </c>
      <c r="E1681" s="13" t="n">
        <v>89.59999999999999</v>
      </c>
      <c r="F1681" s="12" t="n">
        <v>0.04000091552734375</v>
      </c>
      <c r="G1681" s="4" t="n">
        <v>0</v>
      </c>
      <c r="H1681" s="4">
        <f>IF(OR(N(F1681)&gt;=0.5,G1681&gt;=4),3,IF(OR(N(F1681)&gt;=0.3,G1681=3),2,IF(OR(N(F1681)&gt;=0.1,G1681&gt;=1),1,0)))</f>
        <v/>
      </c>
      <c r="I1681" s="4">
        <f>CHOOSE(H1681+1,"Kein Risiko","Gering","Mittel","Hoch")</f>
        <v/>
      </c>
    </row>
    <row r="1682">
      <c r="A1682" s="4" t="n">
        <v>1678</v>
      </c>
      <c r="B1682" s="4" t="inlineStr">
        <is>
          <t>house</t>
        </is>
      </c>
      <c r="C1682" s="4" t="inlineStr">
        <is>
          <t>Phönixberg</t>
        </is>
      </c>
      <c r="D1682" s="4" t="inlineStr">
        <is>
          <t>51</t>
        </is>
      </c>
      <c r="E1682" s="13" t="n">
        <v>75.5</v>
      </c>
      <c r="F1682" s="12" t="n">
        <v>0</v>
      </c>
      <c r="G1682" s="4" t="n">
        <v>0</v>
      </c>
      <c r="H1682" s="4">
        <f>IF(OR(N(F1682)&gt;=0.5,G1682&gt;=4),3,IF(OR(N(F1682)&gt;=0.3,G1682=3),2,IF(OR(N(F1682)&gt;=0.1,G1682&gt;=1),1,0)))</f>
        <v/>
      </c>
      <c r="I1682" s="4">
        <f>CHOOSE(H1682+1,"Kein Risiko","Gering","Mittel","Hoch")</f>
        <v/>
      </c>
    </row>
    <row r="1683">
      <c r="A1683" s="4" t="n">
        <v>1679</v>
      </c>
      <c r="B1683" s="4" t="inlineStr">
        <is>
          <t>house</t>
        </is>
      </c>
      <c r="C1683" s="4" t="inlineStr">
        <is>
          <t>Phönixberg</t>
        </is>
      </c>
      <c r="D1683" s="4" t="inlineStr">
        <is>
          <t>53</t>
        </is>
      </c>
      <c r="E1683" s="13" t="n">
        <v>75.59999999999999</v>
      </c>
      <c r="F1683" s="12" t="n">
        <v>0</v>
      </c>
      <c r="G1683" s="4" t="n">
        <v>1</v>
      </c>
      <c r="H1683" s="4">
        <f>IF(OR(N(F1683)&gt;=0.5,G1683&gt;=4),3,IF(OR(N(F1683)&gt;=0.3,G1683=3),2,IF(OR(N(F1683)&gt;=0.1,G1683&gt;=1),1,0)))</f>
        <v/>
      </c>
      <c r="I1683" s="4">
        <f>CHOOSE(H1683+1,"Kein Risiko","Gering","Mittel","Hoch")</f>
        <v/>
      </c>
    </row>
    <row r="1684">
      <c r="A1684" s="4" t="n">
        <v>1680</v>
      </c>
      <c r="B1684" s="4" t="inlineStr">
        <is>
          <t>house</t>
        </is>
      </c>
      <c r="C1684" s="4" t="inlineStr">
        <is>
          <t>Dilldorfer Straße</t>
        </is>
      </c>
      <c r="D1684" s="4" t="inlineStr">
        <is>
          <t>55</t>
        </is>
      </c>
      <c r="E1684" s="13" t="n">
        <v>138.4</v>
      </c>
      <c r="F1684" s="12" t="n">
        <v>0</v>
      </c>
      <c r="G1684" s="4" t="n">
        <v>0</v>
      </c>
      <c r="H1684" s="4">
        <f>IF(OR(N(F1684)&gt;=0.5,G1684&gt;=4),3,IF(OR(N(F1684)&gt;=0.3,G1684=3),2,IF(OR(N(F1684)&gt;=0.1,G1684&gt;=1),1,0)))</f>
        <v/>
      </c>
      <c r="I1684" s="4">
        <f>CHOOSE(H1684+1,"Kein Risiko","Gering","Mittel","Hoch")</f>
        <v/>
      </c>
    </row>
    <row r="1685">
      <c r="A1685" s="4" t="n">
        <v>1681</v>
      </c>
      <c r="B1685" s="4" t="inlineStr">
        <is>
          <t>house</t>
        </is>
      </c>
      <c r="C1685" s="4" t="inlineStr">
        <is>
          <t>Phönixberg</t>
        </is>
      </c>
      <c r="D1685" s="4" t="inlineStr">
        <is>
          <t>55</t>
        </is>
      </c>
      <c r="E1685" s="13" t="n">
        <v>75.5</v>
      </c>
      <c r="F1685" s="12" t="n">
        <v>0.0200042724609375</v>
      </c>
      <c r="G1685" s="4" t="n">
        <v>1</v>
      </c>
      <c r="H1685" s="4">
        <f>IF(OR(N(F1685)&gt;=0.5,G1685&gt;=4),3,IF(OR(N(F1685)&gt;=0.3,G1685=3),2,IF(OR(N(F1685)&gt;=0.1,G1685&gt;=1),1,0)))</f>
        <v/>
      </c>
      <c r="I1685" s="4">
        <f>CHOOSE(H1685+1,"Kein Risiko","Gering","Mittel","Hoch")</f>
        <v/>
      </c>
    </row>
    <row r="1686">
      <c r="A1686" s="4" t="n">
        <v>1682</v>
      </c>
      <c r="B1686" s="4" t="inlineStr">
        <is>
          <t>house</t>
        </is>
      </c>
      <c r="C1686" s="4" t="inlineStr">
        <is>
          <t>Dilldorfer Straße</t>
        </is>
      </c>
      <c r="D1686" s="4" t="inlineStr">
        <is>
          <t>57</t>
        </is>
      </c>
      <c r="E1686" s="13" t="n">
        <v>132.2</v>
      </c>
      <c r="F1686" s="12" t="n">
        <v>0.0200042724609375</v>
      </c>
      <c r="G1686" s="4" t="n">
        <v>0</v>
      </c>
      <c r="H1686" s="4">
        <f>IF(OR(N(F1686)&gt;=0.5,G1686&gt;=4),3,IF(OR(N(F1686)&gt;=0.3,G1686=3),2,IF(OR(N(F1686)&gt;=0.1,G1686&gt;=1),1,0)))</f>
        <v/>
      </c>
      <c r="I1686" s="4">
        <f>CHOOSE(H1686+1,"Kein Risiko","Gering","Mittel","Hoch")</f>
        <v/>
      </c>
    </row>
    <row r="1687">
      <c r="A1687" s="4" t="n">
        <v>1683</v>
      </c>
      <c r="B1687" s="4" t="inlineStr">
        <is>
          <t>semidetached_house</t>
        </is>
      </c>
      <c r="C1687" s="4" t="inlineStr">
        <is>
          <t>Phönixberg</t>
        </is>
      </c>
      <c r="D1687" s="4" t="inlineStr">
        <is>
          <t>57</t>
        </is>
      </c>
      <c r="E1687" s="13" t="n">
        <v>77.09999999999999</v>
      </c>
      <c r="F1687" s="12" t="n">
        <v>0.01000213623046875</v>
      </c>
      <c r="G1687" s="4" t="n">
        <v>0</v>
      </c>
      <c r="H1687" s="4">
        <f>IF(OR(N(F1687)&gt;=0.5,G1687&gt;=4),3,IF(OR(N(F1687)&gt;=0.3,G1687=3),2,IF(OR(N(F1687)&gt;=0.1,G1687&gt;=1),1,0)))</f>
        <v/>
      </c>
      <c r="I1687" s="4">
        <f>CHOOSE(H1687+1,"Kein Risiko","Gering","Mittel","Hoch")</f>
        <v/>
      </c>
    </row>
    <row r="1688">
      <c r="A1688" s="4" t="n">
        <v>1684</v>
      </c>
      <c r="B1688" s="4" t="inlineStr">
        <is>
          <t>semidetached_house</t>
        </is>
      </c>
      <c r="C1688" s="4" t="inlineStr">
        <is>
          <t>Phönixberg</t>
        </is>
      </c>
      <c r="D1688" s="4" t="inlineStr">
        <is>
          <t>59</t>
        </is>
      </c>
      <c r="E1688" s="13" t="n">
        <v>77.09999999999999</v>
      </c>
      <c r="F1688" s="12" t="n">
        <v>0</v>
      </c>
      <c r="G1688" s="4" t="n">
        <v>1</v>
      </c>
      <c r="H1688" s="4">
        <f>IF(OR(N(F1688)&gt;=0.5,G1688&gt;=4),3,IF(OR(N(F1688)&gt;=0.3,G1688=3),2,IF(OR(N(F1688)&gt;=0.1,G1688&gt;=1),1,0)))</f>
        <v/>
      </c>
      <c r="I1688" s="4">
        <f>CHOOSE(H1688+1,"Kein Risiko","Gering","Mittel","Hoch")</f>
        <v/>
      </c>
    </row>
    <row r="1689">
      <c r="A1689" s="4" t="n">
        <v>1685</v>
      </c>
      <c r="B1689" s="4" t="inlineStr">
        <is>
          <t>apartments</t>
        </is>
      </c>
      <c r="C1689" s="4" t="inlineStr">
        <is>
          <t>Deilbachtal</t>
        </is>
      </c>
      <c r="D1689" s="4" t="inlineStr">
        <is>
          <t>6</t>
        </is>
      </c>
      <c r="E1689" s="13" t="n">
        <v>216.1</v>
      </c>
      <c r="F1689" s="12" t="n">
        <v>0.06000137329101562</v>
      </c>
      <c r="G1689" s="4" t="n">
        <v>0</v>
      </c>
      <c r="H1689" s="4">
        <f>IF(OR(N(F1689)&gt;=0.5,G1689&gt;=4),3,IF(OR(N(F1689)&gt;=0.3,G1689=3),2,IF(OR(N(F1689)&gt;=0.1,G1689&gt;=1),1,0)))</f>
        <v/>
      </c>
      <c r="I1689" s="4">
        <f>CHOOSE(H1689+1,"Kein Risiko","Gering","Mittel","Hoch")</f>
        <v/>
      </c>
    </row>
    <row r="1690">
      <c r="A1690" s="4" t="n">
        <v>1686</v>
      </c>
      <c r="B1690" s="4" t="inlineStr">
        <is>
          <t>apartments</t>
        </is>
      </c>
      <c r="C1690" s="4" t="inlineStr">
        <is>
          <t>Dilldorfer Straße</t>
        </is>
      </c>
      <c r="D1690" s="4" t="inlineStr">
        <is>
          <t>6</t>
        </is>
      </c>
      <c r="E1690" s="13" t="n">
        <v>162.2</v>
      </c>
      <c r="F1690" s="12" t="n">
        <v>0.03000259399414062</v>
      </c>
      <c r="G1690" s="4" t="n">
        <v>0</v>
      </c>
      <c r="H1690" s="4">
        <f>IF(OR(N(F1690)&gt;=0.5,G1690&gt;=4),3,IF(OR(N(F1690)&gt;=0.3,G1690=3),2,IF(OR(N(F1690)&gt;=0.1,G1690&gt;=1),1,0)))</f>
        <v/>
      </c>
      <c r="I1690" s="4">
        <f>CHOOSE(H1690+1,"Kein Risiko","Gering","Mittel","Hoch")</f>
        <v/>
      </c>
    </row>
    <row r="1691">
      <c r="A1691" s="4" t="n">
        <v>1687</v>
      </c>
      <c r="B1691" s="4" t="inlineStr">
        <is>
          <t>yes</t>
        </is>
      </c>
      <c r="C1691" s="4" t="inlineStr">
        <is>
          <t>Phönixberg</t>
        </is>
      </c>
      <c r="D1691" s="4" t="inlineStr">
        <is>
          <t>6</t>
        </is>
      </c>
      <c r="E1691" s="13" t="n">
        <v>214.5</v>
      </c>
      <c r="F1691" s="12" t="n">
        <v>0.01000213623046875</v>
      </c>
      <c r="G1691" s="4" t="n">
        <v>0</v>
      </c>
      <c r="H1691" s="4">
        <f>IF(OR(N(F1691)&gt;=0.5,G1691&gt;=4),3,IF(OR(N(F1691)&gt;=0.3,G1691=3),2,IF(OR(N(F1691)&gt;=0.1,G1691&gt;=1),1,0)))</f>
        <v/>
      </c>
      <c r="I1691" s="4">
        <f>CHOOSE(H1691+1,"Kein Risiko","Gering","Mittel","Hoch")</f>
        <v/>
      </c>
    </row>
    <row r="1692">
      <c r="A1692" s="4" t="n">
        <v>1688</v>
      </c>
      <c r="B1692" s="4" t="inlineStr">
        <is>
          <t>house</t>
        </is>
      </c>
      <c r="C1692" s="4" t="inlineStr">
        <is>
          <t>Priembergweg</t>
        </is>
      </c>
      <c r="D1692" s="4" t="inlineStr">
        <is>
          <t>6</t>
        </is>
      </c>
      <c r="E1692" s="13" t="n">
        <v>156.7</v>
      </c>
      <c r="F1692" s="12" t="n">
        <v>0</v>
      </c>
      <c r="G1692" s="4" t="n">
        <v>0</v>
      </c>
      <c r="H1692" s="4">
        <f>IF(OR(N(F1692)&gt;=0.5,G1692&gt;=4),3,IF(OR(N(F1692)&gt;=0.3,G1692=3),2,IF(OR(N(F1692)&gt;=0.1,G1692&gt;=1),1,0)))</f>
        <v/>
      </c>
      <c r="I1692" s="4">
        <f>CHOOSE(H1692+1,"Kein Risiko","Gering","Mittel","Hoch")</f>
        <v/>
      </c>
    </row>
    <row r="1693">
      <c r="A1693" s="4" t="n">
        <v>1689</v>
      </c>
      <c r="B1693" s="4" t="inlineStr">
        <is>
          <t>apartments</t>
        </is>
      </c>
      <c r="C1693" s="4" t="inlineStr">
        <is>
          <t>Ruhrlandbogen</t>
        </is>
      </c>
      <c r="D1693" s="4" t="inlineStr">
        <is>
          <t>6</t>
        </is>
      </c>
      <c r="E1693" s="13" t="n">
        <v>261.4</v>
      </c>
      <c r="F1693" s="12" t="n">
        <v>0.0800018310546875</v>
      </c>
      <c r="G1693" s="4" t="n">
        <v>1</v>
      </c>
      <c r="H1693" s="4">
        <f>IF(OR(N(F1693)&gt;=0.5,G1693&gt;=4),3,IF(OR(N(F1693)&gt;=0.3,G1693=3),2,IF(OR(N(F1693)&gt;=0.1,G1693&gt;=1),1,0)))</f>
        <v/>
      </c>
      <c r="I1693" s="4">
        <f>CHOOSE(H1693+1,"Kein Risiko","Gering","Mittel","Hoch")</f>
        <v/>
      </c>
    </row>
    <row r="1694">
      <c r="A1694" s="4" t="n">
        <v>1690</v>
      </c>
      <c r="B1694" s="4" t="inlineStr">
        <is>
          <t>house</t>
        </is>
      </c>
      <c r="C1694" s="4" t="inlineStr">
        <is>
          <t>Tholshof</t>
        </is>
      </c>
      <c r="D1694" s="4" t="inlineStr">
        <is>
          <t>6</t>
        </is>
      </c>
      <c r="E1694" s="13" t="n">
        <v>73.2</v>
      </c>
      <c r="F1694" s="12" t="n">
        <v>0.01999664306640625</v>
      </c>
      <c r="G1694" s="4" t="n">
        <v>0</v>
      </c>
      <c r="H1694" s="4">
        <f>IF(OR(N(F1694)&gt;=0.5,G1694&gt;=4),3,IF(OR(N(F1694)&gt;=0.3,G1694=3),2,IF(OR(N(F1694)&gt;=0.1,G1694&gt;=1),1,0)))</f>
        <v/>
      </c>
      <c r="I1694" s="4">
        <f>CHOOSE(H1694+1,"Kein Risiko","Gering","Mittel","Hoch")</f>
        <v/>
      </c>
    </row>
    <row r="1695">
      <c r="A1695" s="4" t="n">
        <v>1691</v>
      </c>
      <c r="B1695" s="4" t="inlineStr">
        <is>
          <t>apartments</t>
        </is>
      </c>
      <c r="C1695" s="4" t="inlineStr">
        <is>
          <t>Dilldorfer Straße</t>
        </is>
      </c>
      <c r="D1695" s="4" t="inlineStr">
        <is>
          <t>61</t>
        </is>
      </c>
      <c r="E1695" s="13" t="n">
        <v>215.4</v>
      </c>
      <c r="F1695" s="12" t="n">
        <v>0</v>
      </c>
      <c r="G1695" s="4" t="n">
        <v>0</v>
      </c>
      <c r="H1695" s="4">
        <f>IF(OR(N(F1695)&gt;=0.5,G1695&gt;=4),3,IF(OR(N(F1695)&gt;=0.3,G1695=3),2,IF(OR(N(F1695)&gt;=0.1,G1695&gt;=1),1,0)))</f>
        <v/>
      </c>
      <c r="I1695" s="4">
        <f>CHOOSE(H1695+1,"Kein Risiko","Gering","Mittel","Hoch")</f>
        <v/>
      </c>
    </row>
    <row r="1696">
      <c r="A1696" s="4" t="n">
        <v>1692</v>
      </c>
      <c r="B1696" s="4" t="inlineStr">
        <is>
          <t>house</t>
        </is>
      </c>
      <c r="C1696" s="4" t="inlineStr">
        <is>
          <t>Phönixberg</t>
        </is>
      </c>
      <c r="D1696" s="4" t="inlineStr">
        <is>
          <t>61</t>
        </is>
      </c>
      <c r="E1696" s="13" t="n">
        <v>76.09999999999999</v>
      </c>
      <c r="F1696" s="12" t="n">
        <v>0.0200042724609375</v>
      </c>
      <c r="G1696" s="4" t="n">
        <v>0</v>
      </c>
      <c r="H1696" s="4">
        <f>IF(OR(N(F1696)&gt;=0.5,G1696&gt;=4),3,IF(OR(N(F1696)&gt;=0.3,G1696=3),2,IF(OR(N(F1696)&gt;=0.1,G1696&gt;=1),1,0)))</f>
        <v/>
      </c>
      <c r="I1696" s="4">
        <f>CHOOSE(H1696+1,"Kein Risiko","Gering","Mittel","Hoch")</f>
        <v/>
      </c>
    </row>
    <row r="1697">
      <c r="A1697" s="4" t="n">
        <v>1693</v>
      </c>
      <c r="B1697" s="4" t="inlineStr">
        <is>
          <t>apartments</t>
        </is>
      </c>
      <c r="C1697" s="4" t="inlineStr">
        <is>
          <t>Dilldorfer Straße</t>
        </is>
      </c>
      <c r="D1697" s="4" t="inlineStr">
        <is>
          <t>63</t>
        </is>
      </c>
      <c r="E1697" s="13" t="n">
        <v>215.4</v>
      </c>
      <c r="F1697" s="12" t="n"/>
      <c r="G1697" s="4" t="n">
        <v>0</v>
      </c>
      <c r="H1697" s="4">
        <f>IF(OR(N(F1697)&gt;=0.5,G1697&gt;=4),3,IF(OR(N(F1697)&gt;=0.3,G1697=3),2,IF(OR(N(F1697)&gt;=0.1,G1697&gt;=1),1,0)))</f>
        <v/>
      </c>
      <c r="I1697" s="4">
        <f>CHOOSE(H1697+1,"Kein Risiko","Gering","Mittel","Hoch")</f>
        <v/>
      </c>
    </row>
    <row r="1698">
      <c r="A1698" s="4" t="n">
        <v>1694</v>
      </c>
      <c r="B1698" s="4" t="inlineStr">
        <is>
          <t>house</t>
        </is>
      </c>
      <c r="C1698" s="4" t="inlineStr">
        <is>
          <t>Phönixberg</t>
        </is>
      </c>
      <c r="D1698" s="4" t="inlineStr">
        <is>
          <t>63</t>
        </is>
      </c>
      <c r="E1698" s="13" t="n">
        <v>76.09999999999999</v>
      </c>
      <c r="F1698" s="12" t="n">
        <v>0</v>
      </c>
      <c r="G1698" s="4" t="n">
        <v>1</v>
      </c>
      <c r="H1698" s="4">
        <f>IF(OR(N(F1698)&gt;=0.5,G1698&gt;=4),3,IF(OR(N(F1698)&gt;=0.3,G1698=3),2,IF(OR(N(F1698)&gt;=0.1,G1698&gt;=1),1,0)))</f>
        <v/>
      </c>
      <c r="I1698" s="4">
        <f>CHOOSE(H1698+1,"Kein Risiko","Gering","Mittel","Hoch")</f>
        <v/>
      </c>
    </row>
    <row r="1699">
      <c r="A1699" s="4" t="n">
        <v>1695</v>
      </c>
      <c r="B1699" s="4" t="inlineStr">
        <is>
          <t>house</t>
        </is>
      </c>
      <c r="C1699" s="4" t="inlineStr">
        <is>
          <t>Phönixberg</t>
        </is>
      </c>
      <c r="D1699" s="4" t="inlineStr">
        <is>
          <t>65</t>
        </is>
      </c>
      <c r="E1699" s="13" t="n">
        <v>76</v>
      </c>
      <c r="F1699" s="12" t="n">
        <v>0.0099945068359375</v>
      </c>
      <c r="G1699" s="4" t="n">
        <v>1</v>
      </c>
      <c r="H1699" s="4">
        <f>IF(OR(N(F1699)&gt;=0.5,G1699&gt;=4),3,IF(OR(N(F1699)&gt;=0.3,G1699=3),2,IF(OR(N(F1699)&gt;=0.1,G1699&gt;=1),1,0)))</f>
        <v/>
      </c>
      <c r="I1699" s="4">
        <f>CHOOSE(H1699+1,"Kein Risiko","Gering","Mittel","Hoch")</f>
        <v/>
      </c>
    </row>
    <row r="1700">
      <c r="A1700" s="4" t="n">
        <v>1696</v>
      </c>
      <c r="B1700" s="4" t="inlineStr">
        <is>
          <t>house</t>
        </is>
      </c>
      <c r="C1700" s="4" t="inlineStr">
        <is>
          <t>Phönixberg</t>
        </is>
      </c>
      <c r="D1700" s="4" t="inlineStr">
        <is>
          <t>67</t>
        </is>
      </c>
      <c r="E1700" s="13" t="n">
        <v>76.09999999999999</v>
      </c>
      <c r="F1700" s="12" t="n">
        <v>0.01999664306640625</v>
      </c>
      <c r="G1700" s="4" t="n">
        <v>0</v>
      </c>
      <c r="H1700" s="4">
        <f>IF(OR(N(F1700)&gt;=0.5,G1700&gt;=4),3,IF(OR(N(F1700)&gt;=0.3,G1700=3),2,IF(OR(N(F1700)&gt;=0.1,G1700&gt;=1),1,0)))</f>
        <v/>
      </c>
      <c r="I1700" s="4">
        <f>CHOOSE(H1700+1,"Kein Risiko","Gering","Mittel","Hoch")</f>
        <v/>
      </c>
    </row>
    <row r="1701">
      <c r="A1701" s="4" t="n">
        <v>1697</v>
      </c>
      <c r="B1701" s="4" t="inlineStr">
        <is>
          <t>house</t>
        </is>
      </c>
      <c r="C1701" s="4" t="inlineStr">
        <is>
          <t>Phönixberg</t>
        </is>
      </c>
      <c r="D1701" s="4" t="inlineStr">
        <is>
          <t>69</t>
        </is>
      </c>
      <c r="E1701" s="13" t="n">
        <v>74.90000000000001</v>
      </c>
      <c r="F1701" s="12" t="n">
        <v>0</v>
      </c>
      <c r="G1701" s="4" t="n">
        <v>0</v>
      </c>
      <c r="H1701" s="4">
        <f>IF(OR(N(F1701)&gt;=0.5,G1701&gt;=4),3,IF(OR(N(F1701)&gt;=0.3,G1701=3),2,IF(OR(N(F1701)&gt;=0.1,G1701&gt;=1),1,0)))</f>
        <v/>
      </c>
      <c r="I1701" s="4">
        <f>CHOOSE(H1701+1,"Kein Risiko","Gering","Mittel","Hoch")</f>
        <v/>
      </c>
    </row>
    <row r="1702">
      <c r="A1702" s="4" t="n">
        <v>1698</v>
      </c>
      <c r="B1702" s="4" t="inlineStr">
        <is>
          <t>yes</t>
        </is>
      </c>
      <c r="C1702" s="4" t="inlineStr">
        <is>
          <t>Frauenstein</t>
        </is>
      </c>
      <c r="D1702" s="4" t="inlineStr">
        <is>
          <t>7</t>
        </is>
      </c>
      <c r="E1702" s="13" t="n">
        <v>59.6</v>
      </c>
      <c r="F1702" s="12" t="n">
        <v>0</v>
      </c>
      <c r="G1702" s="4" t="n">
        <v>2</v>
      </c>
      <c r="H1702" s="4">
        <f>IF(OR(N(F1702)&gt;=0.5,G1702&gt;=4),3,IF(OR(N(F1702)&gt;=0.3,G1702=3),2,IF(OR(N(F1702)&gt;=0.1,G1702&gt;=1),1,0)))</f>
        <v/>
      </c>
      <c r="I1702" s="4">
        <f>CHOOSE(H1702+1,"Kein Risiko","Gering","Mittel","Hoch")</f>
        <v/>
      </c>
    </row>
    <row r="1703">
      <c r="A1703" s="4" t="n">
        <v>1699</v>
      </c>
      <c r="B1703" s="4" t="inlineStr">
        <is>
          <t>semidetached_house</t>
        </is>
      </c>
      <c r="C1703" s="4" t="inlineStr">
        <is>
          <t>Phönixberg</t>
        </is>
      </c>
      <c r="D1703" s="4" t="inlineStr">
        <is>
          <t>7</t>
        </is>
      </c>
      <c r="E1703" s="13" t="n">
        <v>100.4</v>
      </c>
      <c r="F1703" s="12" t="n">
        <v>0</v>
      </c>
      <c r="G1703" s="4" t="n">
        <v>1</v>
      </c>
      <c r="H1703" s="4">
        <f>IF(OR(N(F1703)&gt;=0.5,G1703&gt;=4),3,IF(OR(N(F1703)&gt;=0.3,G1703=3),2,IF(OR(N(F1703)&gt;=0.1,G1703&gt;=1),1,0)))</f>
        <v/>
      </c>
      <c r="I1703" s="4">
        <f>CHOOSE(H1703+1,"Kein Risiko","Gering","Mittel","Hoch")</f>
        <v/>
      </c>
    </row>
    <row r="1704">
      <c r="A1704" s="4" t="n">
        <v>1700</v>
      </c>
      <c r="B1704" s="4" t="inlineStr">
        <is>
          <t>semidetached_house</t>
        </is>
      </c>
      <c r="C1704" s="4" t="inlineStr">
        <is>
          <t>Ruhrlandbogen</t>
        </is>
      </c>
      <c r="D1704" s="4" t="inlineStr">
        <is>
          <t>7</t>
        </is>
      </c>
      <c r="E1704" s="13" t="n">
        <v>72.7</v>
      </c>
      <c r="F1704" s="12" t="n">
        <v>0</v>
      </c>
      <c r="G1704" s="4" t="n">
        <v>0</v>
      </c>
      <c r="H1704" s="4">
        <f>IF(OR(N(F1704)&gt;=0.5,G1704&gt;=4),3,IF(OR(N(F1704)&gt;=0.3,G1704=3),2,IF(OR(N(F1704)&gt;=0.1,G1704&gt;=1),1,0)))</f>
        <v/>
      </c>
      <c r="I1704" s="4">
        <f>CHOOSE(H1704+1,"Kein Risiko","Gering","Mittel","Hoch")</f>
        <v/>
      </c>
    </row>
    <row r="1705">
      <c r="A1705" s="4" t="n">
        <v>1701</v>
      </c>
      <c r="B1705" s="4" t="inlineStr">
        <is>
          <t>semidetached_house</t>
        </is>
      </c>
      <c r="C1705" s="4" t="inlineStr">
        <is>
          <t>Tholshof</t>
        </is>
      </c>
      <c r="D1705" s="4" t="inlineStr">
        <is>
          <t>7</t>
        </is>
      </c>
      <c r="E1705" s="13" t="n">
        <v>71.7</v>
      </c>
      <c r="F1705" s="12" t="n">
        <v>0.0099945068359375</v>
      </c>
      <c r="G1705" s="4" t="n">
        <v>0</v>
      </c>
      <c r="H1705" s="4">
        <f>IF(OR(N(F1705)&gt;=0.5,G1705&gt;=4),3,IF(OR(N(F1705)&gt;=0.3,G1705=3),2,IF(OR(N(F1705)&gt;=0.1,G1705&gt;=1),1,0)))</f>
        <v/>
      </c>
      <c r="I1705" s="4">
        <f>CHOOSE(H1705+1,"Kein Risiko","Gering","Mittel","Hoch")</f>
        <v/>
      </c>
    </row>
    <row r="1706">
      <c r="A1706" s="4" t="n">
        <v>1702</v>
      </c>
      <c r="B1706" s="4" t="inlineStr">
        <is>
          <t>house</t>
        </is>
      </c>
      <c r="C1706" s="4" t="inlineStr">
        <is>
          <t>Phönixberg</t>
        </is>
      </c>
      <c r="D1706" s="4" t="inlineStr">
        <is>
          <t>71</t>
        </is>
      </c>
      <c r="E1706" s="13" t="n">
        <v>74.90000000000001</v>
      </c>
      <c r="F1706" s="12" t="n">
        <v>0</v>
      </c>
      <c r="G1706" s="4" t="n">
        <v>0</v>
      </c>
      <c r="H1706" s="4">
        <f>IF(OR(N(F1706)&gt;=0.5,G1706&gt;=4),3,IF(OR(N(F1706)&gt;=0.3,G1706=3),2,IF(OR(N(F1706)&gt;=0.1,G1706&gt;=1),1,0)))</f>
        <v/>
      </c>
      <c r="I1706" s="4">
        <f>CHOOSE(H1706+1,"Kein Risiko","Gering","Mittel","Hoch")</f>
        <v/>
      </c>
    </row>
    <row r="1707">
      <c r="A1707" s="4" t="n">
        <v>1703</v>
      </c>
      <c r="B1707" s="4" t="inlineStr">
        <is>
          <t>house</t>
        </is>
      </c>
      <c r="C1707" s="4" t="inlineStr">
        <is>
          <t>Phönixberg</t>
        </is>
      </c>
      <c r="D1707" s="4" t="inlineStr">
        <is>
          <t>73</t>
        </is>
      </c>
      <c r="E1707" s="13" t="n">
        <v>74.8</v>
      </c>
      <c r="F1707" s="12" t="n">
        <v>0</v>
      </c>
      <c r="G1707" s="4" t="n">
        <v>0</v>
      </c>
      <c r="H1707" s="4">
        <f>IF(OR(N(F1707)&gt;=0.5,G1707&gt;=4),3,IF(OR(N(F1707)&gt;=0.3,G1707=3),2,IF(OR(N(F1707)&gt;=0.1,G1707&gt;=1),1,0)))</f>
        <v/>
      </c>
      <c r="I1707" s="4">
        <f>CHOOSE(H1707+1,"Kein Risiko","Gering","Mittel","Hoch")</f>
        <v/>
      </c>
    </row>
    <row r="1708">
      <c r="A1708" s="4" t="n">
        <v>1704</v>
      </c>
      <c r="B1708" s="4" t="inlineStr">
        <is>
          <t>house</t>
        </is>
      </c>
      <c r="C1708" s="4" t="inlineStr">
        <is>
          <t>Phönixberg</t>
        </is>
      </c>
      <c r="D1708" s="4" t="inlineStr">
        <is>
          <t>75</t>
        </is>
      </c>
      <c r="E1708" s="13" t="n">
        <v>74.8</v>
      </c>
      <c r="F1708" s="12" t="n">
        <v>0.01000213623046875</v>
      </c>
      <c r="G1708" s="4" t="n">
        <v>0</v>
      </c>
      <c r="H1708" s="4">
        <f>IF(OR(N(F1708)&gt;=0.5,G1708&gt;=4),3,IF(OR(N(F1708)&gt;=0.3,G1708=3),2,IF(OR(N(F1708)&gt;=0.1,G1708&gt;=1),1,0)))</f>
        <v/>
      </c>
      <c r="I1708" s="4">
        <f>CHOOSE(H1708+1,"Kein Risiko","Gering","Mittel","Hoch")</f>
        <v/>
      </c>
    </row>
    <row r="1709">
      <c r="A1709" s="4" t="n">
        <v>1705</v>
      </c>
      <c r="B1709" s="4" t="inlineStr">
        <is>
          <t>apartments</t>
        </is>
      </c>
      <c r="C1709" s="4" t="inlineStr">
        <is>
          <t>Deilbachtal</t>
        </is>
      </c>
      <c r="D1709" s="4" t="inlineStr">
        <is>
          <t>8</t>
        </is>
      </c>
      <c r="E1709" s="13" t="n">
        <v>216.1</v>
      </c>
      <c r="F1709" s="12" t="n">
        <v>0.01000213623046875</v>
      </c>
      <c r="G1709" s="4" t="n">
        <v>0</v>
      </c>
      <c r="H1709" s="4">
        <f>IF(OR(N(F1709)&gt;=0.5,G1709&gt;=4),3,IF(OR(N(F1709)&gt;=0.3,G1709=3),2,IF(OR(N(F1709)&gt;=0.1,G1709&gt;=1),1,0)))</f>
        <v/>
      </c>
      <c r="I1709" s="4">
        <f>CHOOSE(H1709+1,"Kein Risiko","Gering","Mittel","Hoch")</f>
        <v/>
      </c>
    </row>
    <row r="1710">
      <c r="A1710" s="4" t="n">
        <v>1706</v>
      </c>
      <c r="B1710" s="4" t="inlineStr">
        <is>
          <t>yes</t>
        </is>
      </c>
      <c r="C1710" s="4" t="inlineStr">
        <is>
          <t>Phönixberg</t>
        </is>
      </c>
      <c r="D1710" s="4" t="inlineStr">
        <is>
          <t>8</t>
        </is>
      </c>
      <c r="E1710" s="13" t="n">
        <v>214.7</v>
      </c>
      <c r="F1710" s="12" t="n">
        <v>0.029998779296875</v>
      </c>
      <c r="G1710" s="4" t="n">
        <v>1</v>
      </c>
      <c r="H1710" s="4">
        <f>IF(OR(N(F1710)&gt;=0.5,G1710&gt;=4),3,IF(OR(N(F1710)&gt;=0.3,G1710=3),2,IF(OR(N(F1710)&gt;=0.1,G1710&gt;=1),1,0)))</f>
        <v/>
      </c>
      <c r="I1710" s="4">
        <f>CHOOSE(H1710+1,"Kein Risiko","Gering","Mittel","Hoch")</f>
        <v/>
      </c>
    </row>
    <row r="1711">
      <c r="A1711" s="4" t="n">
        <v>1707</v>
      </c>
      <c r="B1711" s="4" t="inlineStr">
        <is>
          <t>apartments</t>
        </is>
      </c>
      <c r="C1711" s="4" t="inlineStr">
        <is>
          <t>Ruhrlandbogen</t>
        </is>
      </c>
      <c r="D1711" s="4" t="inlineStr">
        <is>
          <t>8</t>
        </is>
      </c>
      <c r="E1711" s="13" t="n">
        <v>210.8</v>
      </c>
      <c r="F1711" s="12" t="n">
        <v>0.05999755859375</v>
      </c>
      <c r="G1711" s="4" t="n">
        <v>0</v>
      </c>
      <c r="H1711" s="4">
        <f>IF(OR(N(F1711)&gt;=0.5,G1711&gt;=4),3,IF(OR(N(F1711)&gt;=0.3,G1711=3),2,IF(OR(N(F1711)&gt;=0.1,G1711&gt;=1),1,0)))</f>
        <v/>
      </c>
      <c r="I1711" s="4">
        <f>CHOOSE(H1711+1,"Kein Risiko","Gering","Mittel","Hoch")</f>
        <v/>
      </c>
    </row>
    <row r="1712">
      <c r="A1712" s="4" t="n">
        <v>1708</v>
      </c>
      <c r="B1712" s="4" t="inlineStr">
        <is>
          <t>house</t>
        </is>
      </c>
      <c r="C1712" s="4" t="inlineStr">
        <is>
          <t>Tholshof</t>
        </is>
      </c>
      <c r="D1712" s="4" t="inlineStr">
        <is>
          <t>8</t>
        </is>
      </c>
      <c r="E1712" s="13" t="n">
        <v>73.09999999999999</v>
      </c>
      <c r="F1712" s="12" t="n">
        <v>0.01999664306640625</v>
      </c>
      <c r="G1712" s="4" t="n">
        <v>0</v>
      </c>
      <c r="H1712" s="4">
        <f>IF(OR(N(F1712)&gt;=0.5,G1712&gt;=4),3,IF(OR(N(F1712)&gt;=0.3,G1712=3),2,IF(OR(N(F1712)&gt;=0.1,G1712&gt;=1),1,0)))</f>
        <v/>
      </c>
      <c r="I1712" s="4">
        <f>CHOOSE(H1712+1,"Kein Risiko","Gering","Mittel","Hoch")</f>
        <v/>
      </c>
    </row>
    <row r="1713">
      <c r="A1713" s="4" t="n">
        <v>1709</v>
      </c>
      <c r="B1713" s="4" t="inlineStr">
        <is>
          <t>yes</t>
        </is>
      </c>
      <c r="C1713" s="4" t="inlineStr">
        <is>
          <t>Frauenstein</t>
        </is>
      </c>
      <c r="D1713" s="4" t="inlineStr">
        <is>
          <t>84a</t>
        </is>
      </c>
      <c r="E1713" s="13" t="n">
        <v>126.4</v>
      </c>
      <c r="F1713" s="12" t="n">
        <v>0.01999664306640625</v>
      </c>
      <c r="G1713" s="4" t="n">
        <v>0</v>
      </c>
      <c r="H1713" s="4">
        <f>IF(OR(N(F1713)&gt;=0.5,G1713&gt;=4),3,IF(OR(N(F1713)&gt;=0.3,G1713=3),2,IF(OR(N(F1713)&gt;=0.1,G1713&gt;=1),1,0)))</f>
        <v/>
      </c>
      <c r="I1713" s="4">
        <f>CHOOSE(H1713+1,"Kein Risiko","Gering","Mittel","Hoch")</f>
        <v/>
      </c>
    </row>
    <row r="1714">
      <c r="A1714" s="4" t="n">
        <v>1710</v>
      </c>
      <c r="B1714" s="4" t="inlineStr">
        <is>
          <t>yes</t>
        </is>
      </c>
      <c r="C1714" s="4" t="inlineStr">
        <is>
          <t>Frauenstein</t>
        </is>
      </c>
      <c r="D1714" s="4" t="inlineStr">
        <is>
          <t>84b</t>
        </is>
      </c>
      <c r="E1714" s="13" t="n">
        <v>37.9</v>
      </c>
      <c r="F1714" s="12" t="n">
        <v>0</v>
      </c>
      <c r="G1714" s="4" t="n">
        <v>0</v>
      </c>
      <c r="H1714" s="4">
        <f>IF(OR(N(F1714)&gt;=0.5,G1714&gt;=4),3,IF(OR(N(F1714)&gt;=0.3,G1714=3),2,IF(OR(N(F1714)&gt;=0.1,G1714&gt;=1),1,0)))</f>
        <v/>
      </c>
      <c r="I1714" s="4">
        <f>CHOOSE(H1714+1,"Kein Risiko","Gering","Mittel","Hoch")</f>
        <v/>
      </c>
    </row>
    <row r="1715">
      <c r="A1715" s="4" t="n">
        <v>1711</v>
      </c>
      <c r="B1715" s="4" t="inlineStr">
        <is>
          <t>yes</t>
        </is>
      </c>
      <c r="C1715" s="4" t="inlineStr">
        <is>
          <t>Frauenstein</t>
        </is>
      </c>
      <c r="D1715" s="4" t="inlineStr">
        <is>
          <t>84c</t>
        </is>
      </c>
      <c r="E1715" s="13" t="n">
        <v>67.8</v>
      </c>
      <c r="F1715" s="12" t="n">
        <v>0</v>
      </c>
      <c r="G1715" s="4" t="n">
        <v>0</v>
      </c>
      <c r="H1715" s="4">
        <f>IF(OR(N(F1715)&gt;=0.5,G1715&gt;=4),3,IF(OR(N(F1715)&gt;=0.3,G1715=3),2,IF(OR(N(F1715)&gt;=0.1,G1715&gt;=1),1,0)))</f>
        <v/>
      </c>
      <c r="I1715" s="4">
        <f>CHOOSE(H1715+1,"Kein Risiko","Gering","Mittel","Hoch")</f>
        <v/>
      </c>
    </row>
    <row r="1716">
      <c r="A1716" s="4" t="n">
        <v>1712</v>
      </c>
      <c r="B1716" s="4" t="inlineStr">
        <is>
          <t>yes</t>
        </is>
      </c>
      <c r="C1716" s="4" t="inlineStr">
        <is>
          <t>Frauenstein</t>
        </is>
      </c>
      <c r="D1716" s="4" t="inlineStr">
        <is>
          <t>84d</t>
        </is>
      </c>
      <c r="E1716" s="13" t="n">
        <v>43</v>
      </c>
      <c r="F1716" s="12" t="n">
        <v>0</v>
      </c>
      <c r="G1716" s="4" t="n">
        <v>1</v>
      </c>
      <c r="H1716" s="4">
        <f>IF(OR(N(F1716)&gt;=0.5,G1716&gt;=4),3,IF(OR(N(F1716)&gt;=0.3,G1716=3),2,IF(OR(N(F1716)&gt;=0.1,G1716&gt;=1),1,0)))</f>
        <v/>
      </c>
      <c r="I1716" s="4">
        <f>CHOOSE(H1716+1,"Kein Risiko","Gering","Mittel","Hoch")</f>
        <v/>
      </c>
    </row>
    <row r="1717">
      <c r="A1717" s="4" t="n">
        <v>1713</v>
      </c>
      <c r="B1717" s="4" t="inlineStr">
        <is>
          <t>yes</t>
        </is>
      </c>
      <c r="C1717" s="4" t="inlineStr">
        <is>
          <t>Frauenstein</t>
        </is>
      </c>
      <c r="D1717" s="4" t="inlineStr">
        <is>
          <t>86</t>
        </is>
      </c>
      <c r="E1717" s="13" t="n">
        <v>117.9</v>
      </c>
      <c r="F1717" s="12" t="n">
        <v>0</v>
      </c>
      <c r="G1717" s="4" t="n">
        <v>0</v>
      </c>
      <c r="H1717" s="4">
        <f>IF(OR(N(F1717)&gt;=0.5,G1717&gt;=4),3,IF(OR(N(F1717)&gt;=0.3,G1717=3),2,IF(OR(N(F1717)&gt;=0.1,G1717&gt;=1),1,0)))</f>
        <v/>
      </c>
      <c r="I1717" s="4">
        <f>CHOOSE(H1717+1,"Kein Risiko","Gering","Mittel","Hoch")</f>
        <v/>
      </c>
    </row>
    <row r="1718">
      <c r="A1718" s="4" t="n">
        <v>1714</v>
      </c>
      <c r="B1718" s="4" t="inlineStr">
        <is>
          <t>apartments</t>
        </is>
      </c>
      <c r="C1718" s="4" t="inlineStr">
        <is>
          <t>Dilldorfer Straße</t>
        </is>
      </c>
      <c r="D1718" s="4" t="inlineStr">
        <is>
          <t>9</t>
        </is>
      </c>
      <c r="E1718" s="13" t="n">
        <v>508.4</v>
      </c>
      <c r="F1718" s="12" t="n">
        <v>0.07999801635742188</v>
      </c>
      <c r="G1718" s="4" t="n">
        <v>1</v>
      </c>
      <c r="H1718" s="4">
        <f>IF(OR(N(F1718)&gt;=0.5,G1718&gt;=4),3,IF(OR(N(F1718)&gt;=0.3,G1718=3),2,IF(OR(N(F1718)&gt;=0.1,G1718&gt;=1),1,0)))</f>
        <v/>
      </c>
      <c r="I1718" s="4">
        <f>CHOOSE(H1718+1,"Kein Risiko","Gering","Mittel","Hoch")</f>
        <v/>
      </c>
    </row>
    <row r="1719">
      <c r="A1719" s="4" t="n">
        <v>1715</v>
      </c>
      <c r="B1719" s="4" t="inlineStr">
        <is>
          <t>yes</t>
        </is>
      </c>
      <c r="C1719" s="4" t="inlineStr">
        <is>
          <t>Frauenstein</t>
        </is>
      </c>
      <c r="D1719" s="4" t="inlineStr">
        <is>
          <t>9</t>
        </is>
      </c>
      <c r="E1719" s="13" t="n">
        <v>61.3</v>
      </c>
      <c r="F1719" s="12" t="n">
        <v>0</v>
      </c>
      <c r="G1719" s="4" t="n">
        <v>0</v>
      </c>
      <c r="H1719" s="4">
        <f>IF(OR(N(F1719)&gt;=0.5,G1719&gt;=4),3,IF(OR(N(F1719)&gt;=0.3,G1719=3),2,IF(OR(N(F1719)&gt;=0.1,G1719&gt;=1),1,0)))</f>
        <v/>
      </c>
      <c r="I1719" s="4">
        <f>CHOOSE(H1719+1,"Kein Risiko","Gering","Mittel","Hoch")</f>
        <v/>
      </c>
    </row>
    <row r="1720">
      <c r="A1720" s="4" t="n">
        <v>1716</v>
      </c>
      <c r="B1720" s="4" t="inlineStr">
        <is>
          <t>semidetached_house</t>
        </is>
      </c>
      <c r="C1720" s="4" t="inlineStr">
        <is>
          <t>Phönixberg</t>
        </is>
      </c>
      <c r="D1720" s="4" t="inlineStr">
        <is>
          <t>9</t>
        </is>
      </c>
      <c r="E1720" s="13" t="n">
        <v>100.3</v>
      </c>
      <c r="F1720" s="12" t="n">
        <v>0</v>
      </c>
      <c r="G1720" s="4" t="n">
        <v>0</v>
      </c>
      <c r="H1720" s="4">
        <f>IF(OR(N(F1720)&gt;=0.5,G1720&gt;=4),3,IF(OR(N(F1720)&gt;=0.3,G1720=3),2,IF(OR(N(F1720)&gt;=0.1,G1720&gt;=1),1,0)))</f>
        <v/>
      </c>
      <c r="I1720" s="4">
        <f>CHOOSE(H1720+1,"Kein Risiko","Gering","Mittel","Hoch")</f>
        <v/>
      </c>
    </row>
    <row r="1721">
      <c r="A1721" s="4" t="n">
        <v>1717</v>
      </c>
      <c r="B1721" s="4" t="inlineStr">
        <is>
          <t>semidetached_house</t>
        </is>
      </c>
      <c r="C1721" s="4" t="inlineStr">
        <is>
          <t>Tholshof</t>
        </is>
      </c>
      <c r="D1721" s="4" t="inlineStr">
        <is>
          <t>9</t>
        </is>
      </c>
      <c r="E1721" s="13" t="n">
        <v>71.59999999999999</v>
      </c>
      <c r="F1721" s="12" t="n">
        <v>0</v>
      </c>
      <c r="G1721" s="4" t="n">
        <v>0</v>
      </c>
      <c r="H1721" s="4">
        <f>IF(OR(N(F1721)&gt;=0.5,G1721&gt;=4),3,IF(OR(N(F1721)&gt;=0.3,G1721=3),2,IF(OR(N(F1721)&gt;=0.1,G1721&gt;=1),1,0)))</f>
        <v/>
      </c>
      <c r="I1721" s="4">
        <f>CHOOSE(H1721+1,"Kein Risiko","Gering","Mittel","Hoch")</f>
        <v/>
      </c>
    </row>
    <row r="1722">
      <c r="A1722" s="4" t="n">
        <v>1718</v>
      </c>
      <c r="B1722" s="4" t="inlineStr">
        <is>
          <t>yes</t>
        </is>
      </c>
      <c r="C1722" s="4" t="inlineStr">
        <is>
          <t>Frauenstein</t>
        </is>
      </c>
      <c r="D1722" s="4" t="inlineStr">
        <is>
          <t>92</t>
        </is>
      </c>
      <c r="E1722" s="13" t="n">
        <v>107.8</v>
      </c>
      <c r="F1722" s="12" t="n">
        <v>0</v>
      </c>
      <c r="G1722" s="4" t="n">
        <v>0</v>
      </c>
      <c r="H1722" s="4">
        <f>IF(OR(N(F1722)&gt;=0.5,G1722&gt;=4),3,IF(OR(N(F1722)&gt;=0.3,G1722=3),2,IF(OR(N(F1722)&gt;=0.1,G1722&gt;=1),1,0)))</f>
        <v/>
      </c>
      <c r="I1722" s="4">
        <f>CHOOSE(H1722+1,"Kein Risiko","Gering","Mittel","Hoch")</f>
        <v/>
      </c>
    </row>
    <row r="1723">
      <c r="A1723" s="4" t="n">
        <v>1719</v>
      </c>
      <c r="B1723" s="4" t="inlineStr">
        <is>
          <t>house</t>
        </is>
      </c>
      <c r="C1723" s="4" t="inlineStr">
        <is>
          <t>Dixbäume</t>
        </is>
      </c>
      <c r="D1723" s="4" t="inlineStr">
        <is>
          <t>40-42</t>
        </is>
      </c>
      <c r="E1723" s="13" t="n">
        <v>77.09999999999999</v>
      </c>
      <c r="F1723" s="12" t="n">
        <v>0.029998779296875</v>
      </c>
      <c r="G1723" s="4" t="n">
        <v>0</v>
      </c>
      <c r="H1723" s="4">
        <f>IF(OR(N(F1723)&gt;=0.5,G1723&gt;=4),3,IF(OR(N(F1723)&gt;=0.3,G1723=3),2,IF(OR(N(F1723)&gt;=0.1,G1723&gt;=1),1,0)))</f>
        <v/>
      </c>
      <c r="I1723" s="4">
        <f>CHOOSE(H1723+1,"Kein Risiko","Gering","Mittel","Hoch")</f>
        <v/>
      </c>
    </row>
    <row r="1724">
      <c r="A1724" s="4" t="n">
        <v>1720</v>
      </c>
      <c r="B1724" s="4" t="inlineStr">
        <is>
          <t>garages</t>
        </is>
      </c>
      <c r="C1724" s="4" t="inlineStr"/>
      <c r="D1724" s="4" t="inlineStr"/>
      <c r="E1724" s="13" t="n">
        <v>93</v>
      </c>
      <c r="F1724" s="12" t="n">
        <v>0.3600006103515625</v>
      </c>
      <c r="G1724" s="4" t="n">
        <v>0</v>
      </c>
      <c r="H1724" s="4">
        <f>IF(OR(N(F1724)&gt;=0.5,G1724&gt;=4),3,IF(OR(N(F1724)&gt;=0.3,G1724=3),2,IF(OR(N(F1724)&gt;=0.1,G1724&gt;=1),1,0)))</f>
        <v/>
      </c>
      <c r="I1724" s="4">
        <f>CHOOSE(H1724+1,"Kein Risiko","Gering","Mittel","Hoch")</f>
        <v/>
      </c>
    </row>
    <row r="1725">
      <c r="A1725" s="4" t="n">
        <v>1721</v>
      </c>
      <c r="B1725" s="4" t="inlineStr">
        <is>
          <t>garages</t>
        </is>
      </c>
      <c r="C1725" s="4" t="inlineStr"/>
      <c r="D1725" s="4" t="inlineStr"/>
      <c r="E1725" s="13" t="n">
        <v>85.7</v>
      </c>
      <c r="F1725" s="12" t="n">
        <v>0.4900016784667969</v>
      </c>
      <c r="G1725" s="4" t="n">
        <v>3</v>
      </c>
      <c r="H1725" s="4">
        <f>IF(OR(N(F1725)&gt;=0.5,G1725&gt;=4),3,IF(OR(N(F1725)&gt;=0.3,G1725=3),2,IF(OR(N(F1725)&gt;=0.1,G1725&gt;=1),1,0)))</f>
        <v/>
      </c>
      <c r="I1725" s="4">
        <f>CHOOSE(H1725+1,"Kein Risiko","Gering","Mittel","Hoch")</f>
        <v/>
      </c>
    </row>
    <row r="1726">
      <c r="A1726" s="4" t="n">
        <v>1722</v>
      </c>
      <c r="B1726" s="4" t="inlineStr">
        <is>
          <t>yes</t>
        </is>
      </c>
      <c r="C1726" s="4" t="inlineStr"/>
      <c r="D1726" s="4" t="inlineStr"/>
      <c r="E1726" s="13" t="n">
        <v>308.3</v>
      </c>
      <c r="F1726" s="12" t="n">
        <v>0.0500030517578125</v>
      </c>
      <c r="G1726" s="4" t="n">
        <v>0</v>
      </c>
      <c r="H1726" s="4">
        <f>IF(OR(N(F1726)&gt;=0.5,G1726&gt;=4),3,IF(OR(N(F1726)&gt;=0.3,G1726=3),2,IF(OR(N(F1726)&gt;=0.1,G1726&gt;=1),1,0)))</f>
        <v/>
      </c>
      <c r="I1726" s="4">
        <f>CHOOSE(H1726+1,"Kein Risiko","Gering","Mittel","Hoch")</f>
        <v/>
      </c>
    </row>
    <row r="1727">
      <c r="A1727" s="4" t="n">
        <v>1723</v>
      </c>
      <c r="B1727" s="4" t="inlineStr">
        <is>
          <t>yes</t>
        </is>
      </c>
      <c r="C1727" s="4" t="inlineStr"/>
      <c r="D1727" s="4" t="inlineStr"/>
      <c r="E1727" s="13" t="n">
        <v>166.4</v>
      </c>
      <c r="F1727" s="12" t="n">
        <v>0.1699981689453125</v>
      </c>
      <c r="G1727" s="4" t="n">
        <v>0</v>
      </c>
      <c r="H1727" s="4">
        <f>IF(OR(N(F1727)&gt;=0.5,G1727&gt;=4),3,IF(OR(N(F1727)&gt;=0.3,G1727=3),2,IF(OR(N(F1727)&gt;=0.1,G1727&gt;=1),1,0)))</f>
        <v/>
      </c>
      <c r="I1727" s="4">
        <f>CHOOSE(H1727+1,"Kein Risiko","Gering","Mittel","Hoch")</f>
        <v/>
      </c>
    </row>
    <row r="1728">
      <c r="A1728" s="4" t="n">
        <v>1724</v>
      </c>
      <c r="B1728" s="4" t="inlineStr">
        <is>
          <t>yes</t>
        </is>
      </c>
      <c r="C1728" s="4" t="inlineStr">
        <is>
          <t>Deilbachufer</t>
        </is>
      </c>
      <c r="D1728" s="4" t="inlineStr">
        <is>
          <t>12</t>
        </is>
      </c>
      <c r="E1728" s="13" t="n">
        <v>83.3</v>
      </c>
      <c r="F1728" s="12" t="n">
        <v>0</v>
      </c>
      <c r="G1728" s="4" t="n">
        <v>0</v>
      </c>
      <c r="H1728" s="4">
        <f>IF(OR(N(F1728)&gt;=0.5,G1728&gt;=4),3,IF(OR(N(F1728)&gt;=0.3,G1728=3),2,IF(OR(N(F1728)&gt;=0.1,G1728&gt;=1),1,0)))</f>
        <v/>
      </c>
      <c r="I1728" s="4">
        <f>CHOOSE(H1728+1,"Kein Risiko","Gering","Mittel","Hoch")</f>
        <v/>
      </c>
    </row>
    <row r="1729">
      <c r="A1729" s="4" t="n">
        <v>1725</v>
      </c>
      <c r="B1729" s="4" t="inlineStr">
        <is>
          <t>semidetached_house</t>
        </is>
      </c>
      <c r="C1729" s="4" t="inlineStr">
        <is>
          <t>Möllneys Nocken</t>
        </is>
      </c>
      <c r="D1729" s="4" t="inlineStr">
        <is>
          <t>12</t>
        </is>
      </c>
      <c r="E1729" s="13" t="n">
        <v>143.1</v>
      </c>
      <c r="F1729" s="12" t="n">
        <v>0</v>
      </c>
      <c r="G1729" s="4" t="n">
        <v>2</v>
      </c>
      <c r="H1729" s="4">
        <f>IF(OR(N(F1729)&gt;=0.5,G1729&gt;=4),3,IF(OR(N(F1729)&gt;=0.3,G1729=3),2,IF(OR(N(F1729)&gt;=0.1,G1729&gt;=1),1,0)))</f>
        <v/>
      </c>
      <c r="I1729" s="4">
        <f>CHOOSE(H1729+1,"Kein Risiko","Gering","Mittel","Hoch")</f>
        <v/>
      </c>
    </row>
    <row r="1730">
      <c r="A1730" s="4" t="n">
        <v>1726</v>
      </c>
      <c r="B1730" s="4" t="inlineStr">
        <is>
          <t>yes</t>
        </is>
      </c>
      <c r="C1730" s="4" t="inlineStr">
        <is>
          <t>Prinz-Wilhelm-Damm</t>
        </is>
      </c>
      <c r="D1730" s="4" t="inlineStr">
        <is>
          <t>18</t>
        </is>
      </c>
      <c r="E1730" s="13" t="n">
        <v>140.9</v>
      </c>
      <c r="F1730" s="12" t="n">
        <v>0.4900016784667969</v>
      </c>
      <c r="G1730" s="4" t="n">
        <v>1</v>
      </c>
      <c r="H1730" s="4">
        <f>IF(OR(N(F1730)&gt;=0.5,G1730&gt;=4),3,IF(OR(N(F1730)&gt;=0.3,G1730=3),2,IF(OR(N(F1730)&gt;=0.1,G1730&gt;=1),1,0)))</f>
        <v/>
      </c>
      <c r="I1730" s="4">
        <f>CHOOSE(H1730+1,"Kein Risiko","Gering","Mittel","Hoch")</f>
        <v/>
      </c>
    </row>
    <row r="1731">
      <c r="A1731" s="4" t="n">
        <v>1727</v>
      </c>
      <c r="B1731" s="4" t="inlineStr">
        <is>
          <t>yes</t>
        </is>
      </c>
      <c r="C1731" s="4" t="inlineStr">
        <is>
          <t>Prinz-Wilhelm-Damm</t>
        </is>
      </c>
      <c r="D1731" s="4" t="inlineStr">
        <is>
          <t>20</t>
        </is>
      </c>
      <c r="E1731" s="13" t="n">
        <v>121.6</v>
      </c>
      <c r="F1731" s="12" t="n">
        <v>0</v>
      </c>
      <c r="G1731" s="4" t="n">
        <v>0</v>
      </c>
      <c r="H1731" s="4">
        <f>IF(OR(N(F1731)&gt;=0.5,G1731&gt;=4),3,IF(OR(N(F1731)&gt;=0.3,G1731=3),2,IF(OR(N(F1731)&gt;=0.1,G1731&gt;=1),1,0)))</f>
        <v/>
      </c>
      <c r="I1731" s="4">
        <f>CHOOSE(H1731+1,"Kein Risiko","Gering","Mittel","Hoch")</f>
        <v/>
      </c>
    </row>
    <row r="1732">
      <c r="A1732" s="4" t="n">
        <v>1728</v>
      </c>
      <c r="B1732" s="4" t="inlineStr">
        <is>
          <t>yes</t>
        </is>
      </c>
      <c r="C1732" s="4" t="inlineStr">
        <is>
          <t>Möllneyer Ufer</t>
        </is>
      </c>
      <c r="D1732" s="4" t="inlineStr">
        <is>
          <t>21</t>
        </is>
      </c>
      <c r="E1732" s="13" t="n">
        <v>104.6</v>
      </c>
      <c r="F1732" s="12" t="n">
        <v>0.03000259399414062</v>
      </c>
      <c r="G1732" s="4" t="n">
        <v>3</v>
      </c>
      <c r="H1732" s="4">
        <f>IF(OR(N(F1732)&gt;=0.5,G1732&gt;=4),3,IF(OR(N(F1732)&gt;=0.3,G1732=3),2,IF(OR(N(F1732)&gt;=0.1,G1732&gt;=1),1,0)))</f>
        <v/>
      </c>
      <c r="I1732" s="4">
        <f>CHOOSE(H1732+1,"Kein Risiko","Gering","Mittel","Hoch")</f>
        <v/>
      </c>
    </row>
    <row r="1733">
      <c r="A1733" s="4" t="n">
        <v>1729</v>
      </c>
      <c r="B1733" s="4" t="inlineStr">
        <is>
          <t>apartments</t>
        </is>
      </c>
      <c r="C1733" s="4" t="inlineStr">
        <is>
          <t>Kupferdreher Straße</t>
        </is>
      </c>
      <c r="D1733" s="4" t="inlineStr">
        <is>
          <t>220</t>
        </is>
      </c>
      <c r="E1733" s="13" t="n">
        <v>197.6</v>
      </c>
      <c r="F1733" s="12" t="n">
        <v>0</v>
      </c>
      <c r="G1733" s="4" t="n">
        <v>5</v>
      </c>
      <c r="H1733" s="4">
        <f>IF(OR(N(F1733)&gt;=0.5,G1733&gt;=4),3,IF(OR(N(F1733)&gt;=0.3,G1733=3),2,IF(OR(N(F1733)&gt;=0.1,G1733&gt;=1),1,0)))</f>
        <v/>
      </c>
      <c r="I1733" s="4">
        <f>CHOOSE(H1733+1,"Kein Risiko","Gering","Mittel","Hoch")</f>
        <v/>
      </c>
    </row>
    <row r="1734">
      <c r="A1734" s="4" t="n">
        <v>1730</v>
      </c>
      <c r="B1734" s="4" t="inlineStr">
        <is>
          <t>apartments</t>
        </is>
      </c>
      <c r="C1734" s="4" t="inlineStr">
        <is>
          <t>Kupferdreher Straße</t>
        </is>
      </c>
      <c r="D1734" s="4" t="inlineStr">
        <is>
          <t>222</t>
        </is>
      </c>
      <c r="E1734" s="13" t="n">
        <v>178.8</v>
      </c>
      <c r="F1734" s="12" t="n">
        <v>0.02000045776367188</v>
      </c>
      <c r="G1734" s="4" t="n">
        <v>0</v>
      </c>
      <c r="H1734" s="4">
        <f>IF(OR(N(F1734)&gt;=0.5,G1734&gt;=4),3,IF(OR(N(F1734)&gt;=0.3,G1734=3),2,IF(OR(N(F1734)&gt;=0.1,G1734&gt;=1),1,0)))</f>
        <v/>
      </c>
      <c r="I1734" s="4">
        <f>CHOOSE(H1734+1,"Kein Risiko","Gering","Mittel","Hoch")</f>
        <v/>
      </c>
    </row>
    <row r="1735">
      <c r="A1735" s="4" t="n">
        <v>1731</v>
      </c>
      <c r="B1735" s="4" t="inlineStr">
        <is>
          <t>apartments</t>
        </is>
      </c>
      <c r="C1735" s="4" t="inlineStr">
        <is>
          <t>Kupferdreher Straße</t>
        </is>
      </c>
      <c r="D1735" s="4" t="inlineStr">
        <is>
          <t>223</t>
        </is>
      </c>
      <c r="E1735" s="13" t="n">
        <v>135.7</v>
      </c>
      <c r="F1735" s="12" t="n">
        <v>0.03999710083007812</v>
      </c>
      <c r="G1735" s="4" t="n">
        <v>3</v>
      </c>
      <c r="H1735" s="4">
        <f>IF(OR(N(F1735)&gt;=0.5,G1735&gt;=4),3,IF(OR(N(F1735)&gt;=0.3,G1735=3),2,IF(OR(N(F1735)&gt;=0.1,G1735&gt;=1),1,0)))</f>
        <v/>
      </c>
      <c r="I1735" s="4">
        <f>CHOOSE(H1735+1,"Kein Risiko","Gering","Mittel","Hoch")</f>
        <v/>
      </c>
    </row>
    <row r="1736">
      <c r="A1736" s="4" t="n">
        <v>1732</v>
      </c>
      <c r="B1736" s="4" t="inlineStr">
        <is>
          <t>apartments</t>
        </is>
      </c>
      <c r="C1736" s="4" t="inlineStr">
        <is>
          <t>Kupferdreher Straße</t>
        </is>
      </c>
      <c r="D1736" s="4" t="inlineStr">
        <is>
          <t>224</t>
        </is>
      </c>
      <c r="E1736" s="13" t="n">
        <v>235.7</v>
      </c>
      <c r="F1736" s="12" t="n">
        <v>0.02000045776367188</v>
      </c>
      <c r="G1736" s="4" t="n">
        <v>1</v>
      </c>
      <c r="H1736" s="4">
        <f>IF(OR(N(F1736)&gt;=0.5,G1736&gt;=4),3,IF(OR(N(F1736)&gt;=0.3,G1736=3),2,IF(OR(N(F1736)&gt;=0.1,G1736&gt;=1),1,0)))</f>
        <v/>
      </c>
      <c r="I1736" s="4">
        <f>CHOOSE(H1736+1,"Kein Risiko","Gering","Mittel","Hoch")</f>
        <v/>
      </c>
    </row>
    <row r="1737">
      <c r="A1737" s="4" t="n">
        <v>1733</v>
      </c>
      <c r="B1737" s="4" t="inlineStr">
        <is>
          <t>apartments</t>
        </is>
      </c>
      <c r="C1737" s="4" t="inlineStr">
        <is>
          <t>Kupferdreher Straße</t>
        </is>
      </c>
      <c r="D1737" s="4" t="inlineStr">
        <is>
          <t>225</t>
        </is>
      </c>
      <c r="E1737" s="13" t="n">
        <v>160.5</v>
      </c>
      <c r="F1737" s="12" t="n">
        <v>0.06000137329101562</v>
      </c>
      <c r="G1737" s="4" t="n">
        <v>2</v>
      </c>
      <c r="H1737" s="4">
        <f>IF(OR(N(F1737)&gt;=0.5,G1737&gt;=4),3,IF(OR(N(F1737)&gt;=0.3,G1737=3),2,IF(OR(N(F1737)&gt;=0.1,G1737&gt;=1),1,0)))</f>
        <v/>
      </c>
      <c r="I1737" s="4">
        <f>CHOOSE(H1737+1,"Kein Risiko","Gering","Mittel","Hoch")</f>
        <v/>
      </c>
    </row>
    <row r="1738">
      <c r="A1738" s="4" t="n">
        <v>1734</v>
      </c>
      <c r="B1738" s="4" t="inlineStr">
        <is>
          <t>apartments</t>
        </is>
      </c>
      <c r="C1738" s="4" t="inlineStr">
        <is>
          <t>Kupferdreher Straße</t>
        </is>
      </c>
      <c r="D1738" s="4" t="inlineStr">
        <is>
          <t>226</t>
        </is>
      </c>
      <c r="E1738" s="13" t="n">
        <v>134.8</v>
      </c>
      <c r="F1738" s="12" t="n">
        <v>0</v>
      </c>
      <c r="G1738" s="4" t="n">
        <v>0</v>
      </c>
      <c r="H1738" s="4">
        <f>IF(OR(N(F1738)&gt;=0.5,G1738&gt;=4),3,IF(OR(N(F1738)&gt;=0.3,G1738=3),2,IF(OR(N(F1738)&gt;=0.1,G1738&gt;=1),1,0)))</f>
        <v/>
      </c>
      <c r="I1738" s="4">
        <f>CHOOSE(H1738+1,"Kein Risiko","Gering","Mittel","Hoch")</f>
        <v/>
      </c>
    </row>
    <row r="1739">
      <c r="A1739" s="4" t="n">
        <v>1735</v>
      </c>
      <c r="B1739" s="4" t="inlineStr">
        <is>
          <t>apartments</t>
        </is>
      </c>
      <c r="C1739" s="4" t="inlineStr"/>
      <c r="D1739" s="4" t="inlineStr"/>
      <c r="E1739" s="13" t="n">
        <v>533.9</v>
      </c>
      <c r="F1739" s="12" t="n">
        <v>0.04999923706054688</v>
      </c>
      <c r="G1739" s="4" t="n">
        <v>5</v>
      </c>
      <c r="H1739" s="4">
        <f>IF(OR(N(F1739)&gt;=0.5,G1739&gt;=4),3,IF(OR(N(F1739)&gt;=0.3,G1739=3),2,IF(OR(N(F1739)&gt;=0.1,G1739&gt;=1),1,0)))</f>
        <v/>
      </c>
      <c r="I1739" s="4">
        <f>CHOOSE(H1739+1,"Kein Risiko","Gering","Mittel","Hoch")</f>
        <v/>
      </c>
    </row>
    <row r="1740">
      <c r="A1740" s="4" t="n">
        <v>1736</v>
      </c>
      <c r="B1740" s="4" t="inlineStr">
        <is>
          <t>apartments</t>
        </is>
      </c>
      <c r="C1740" s="4" t="inlineStr">
        <is>
          <t>Kupferdreher Straße</t>
        </is>
      </c>
      <c r="D1740" s="4" t="inlineStr">
        <is>
          <t>233</t>
        </is>
      </c>
      <c r="E1740" s="13" t="n">
        <v>84.09999999999999</v>
      </c>
      <c r="F1740" s="12" t="n">
        <v>0</v>
      </c>
      <c r="G1740" s="4" t="n">
        <v>0</v>
      </c>
      <c r="H1740" s="4">
        <f>IF(OR(N(F1740)&gt;=0.5,G1740&gt;=4),3,IF(OR(N(F1740)&gt;=0.3,G1740=3),2,IF(OR(N(F1740)&gt;=0.1,G1740&gt;=1),1,0)))</f>
        <v/>
      </c>
      <c r="I1740" s="4">
        <f>CHOOSE(H1740+1,"Kein Risiko","Gering","Mittel","Hoch")</f>
        <v/>
      </c>
    </row>
    <row r="1741">
      <c r="A1741" s="4" t="n">
        <v>1737</v>
      </c>
      <c r="B1741" s="4" t="inlineStr">
        <is>
          <t>yes</t>
        </is>
      </c>
      <c r="C1741" s="4" t="inlineStr">
        <is>
          <t>Kupferdreher Straße</t>
        </is>
      </c>
      <c r="D1741" s="4" t="inlineStr">
        <is>
          <t>261</t>
        </is>
      </c>
      <c r="E1741" s="13" t="n">
        <v>89.40000000000001</v>
      </c>
      <c r="F1741" s="12" t="n">
        <v>0</v>
      </c>
      <c r="G1741" s="4" t="n">
        <v>0</v>
      </c>
      <c r="H1741" s="4">
        <f>IF(OR(N(F1741)&gt;=0.5,G1741&gt;=4),3,IF(OR(N(F1741)&gt;=0.3,G1741=3),2,IF(OR(N(F1741)&gt;=0.1,G1741&gt;=1),1,0)))</f>
        <v/>
      </c>
      <c r="I1741" s="4">
        <f>CHOOSE(H1741+1,"Kein Risiko","Gering","Mittel","Hoch")</f>
        <v/>
      </c>
    </row>
    <row r="1742">
      <c r="A1742" s="4" t="n">
        <v>1738</v>
      </c>
      <c r="B1742" s="4" t="inlineStr">
        <is>
          <t>apartments</t>
        </is>
      </c>
      <c r="C1742" s="4" t="inlineStr">
        <is>
          <t>Möllneyer Ufer</t>
        </is>
      </c>
      <c r="D1742" s="4" t="inlineStr">
        <is>
          <t>3</t>
        </is>
      </c>
      <c r="E1742" s="13" t="n">
        <v>144.9</v>
      </c>
      <c r="F1742" s="12" t="n">
        <v>0.3199996948242188</v>
      </c>
      <c r="G1742" s="4" t="n">
        <v>1</v>
      </c>
      <c r="H1742" s="4">
        <f>IF(OR(N(F1742)&gt;=0.5,G1742&gt;=4),3,IF(OR(N(F1742)&gt;=0.3,G1742=3),2,IF(OR(N(F1742)&gt;=0.1,G1742&gt;=1),1,0)))</f>
        <v/>
      </c>
      <c r="I1742" s="4">
        <f>CHOOSE(H1742+1,"Kein Risiko","Gering","Mittel","Hoch")</f>
        <v/>
      </c>
    </row>
    <row r="1743">
      <c r="A1743" s="4" t="n">
        <v>1739</v>
      </c>
      <c r="B1743" s="4" t="inlineStr">
        <is>
          <t>apartments</t>
        </is>
      </c>
      <c r="C1743" s="4" t="inlineStr">
        <is>
          <t>Dixbäume</t>
        </is>
      </c>
      <c r="D1743" s="4" t="inlineStr">
        <is>
          <t>30</t>
        </is>
      </c>
      <c r="E1743" s="13" t="n">
        <v>85.59999999999999</v>
      </c>
      <c r="F1743" s="12" t="n">
        <v>0</v>
      </c>
      <c r="G1743" s="4" t="n">
        <v>0</v>
      </c>
      <c r="H1743" s="4">
        <f>IF(OR(N(F1743)&gt;=0.5,G1743&gt;=4),3,IF(OR(N(F1743)&gt;=0.3,G1743=3),2,IF(OR(N(F1743)&gt;=0.1,G1743&gt;=1),1,0)))</f>
        <v/>
      </c>
      <c r="I1743" s="4">
        <f>CHOOSE(H1743+1,"Kein Risiko","Gering","Mittel","Hoch")</f>
        <v/>
      </c>
    </row>
    <row r="1744">
      <c r="A1744" s="4" t="n">
        <v>1740</v>
      </c>
      <c r="B1744" s="4" t="inlineStr">
        <is>
          <t>apartments</t>
        </is>
      </c>
      <c r="C1744" s="4" t="inlineStr">
        <is>
          <t>Dixbäume</t>
        </is>
      </c>
      <c r="D1744" s="4" t="inlineStr">
        <is>
          <t>32</t>
        </is>
      </c>
      <c r="E1744" s="13" t="n">
        <v>112.7</v>
      </c>
      <c r="F1744" s="12" t="n">
        <v>0.0200042724609375</v>
      </c>
      <c r="G1744" s="4" t="n">
        <v>0</v>
      </c>
      <c r="H1744" s="4">
        <f>IF(OR(N(F1744)&gt;=0.5,G1744&gt;=4),3,IF(OR(N(F1744)&gt;=0.3,G1744=3),2,IF(OR(N(F1744)&gt;=0.1,G1744&gt;=1),1,0)))</f>
        <v/>
      </c>
      <c r="I1744" s="4">
        <f>CHOOSE(H1744+1,"Kein Risiko","Gering","Mittel","Hoch")</f>
        <v/>
      </c>
    </row>
    <row r="1745">
      <c r="A1745" s="4" t="n">
        <v>1741</v>
      </c>
      <c r="B1745" s="4" t="inlineStr">
        <is>
          <t>yes</t>
        </is>
      </c>
      <c r="C1745" s="4" t="inlineStr">
        <is>
          <t>Reulsbergweg</t>
        </is>
      </c>
      <c r="D1745" s="4" t="inlineStr">
        <is>
          <t>32</t>
        </is>
      </c>
      <c r="E1745" s="13" t="n">
        <v>102</v>
      </c>
      <c r="F1745" s="12" t="n">
        <v>0</v>
      </c>
      <c r="G1745" s="4" t="n">
        <v>0</v>
      </c>
      <c r="H1745" s="4">
        <f>IF(OR(N(F1745)&gt;=0.5,G1745&gt;=4),3,IF(OR(N(F1745)&gt;=0.3,G1745=3),2,IF(OR(N(F1745)&gt;=0.1,G1745&gt;=1),1,0)))</f>
        <v/>
      </c>
      <c r="I1745" s="4">
        <f>CHOOSE(H1745+1,"Kein Risiko","Gering","Mittel","Hoch")</f>
        <v/>
      </c>
    </row>
    <row r="1746">
      <c r="A1746" s="4" t="n">
        <v>1742</v>
      </c>
      <c r="B1746" s="4" t="inlineStr">
        <is>
          <t>house</t>
        </is>
      </c>
      <c r="C1746" s="4" t="inlineStr">
        <is>
          <t>Dixbäume</t>
        </is>
      </c>
      <c r="D1746" s="4" t="inlineStr">
        <is>
          <t>34</t>
        </is>
      </c>
      <c r="E1746" s="13" t="n">
        <v>111</v>
      </c>
      <c r="F1746" s="12" t="n">
        <v>0</v>
      </c>
      <c r="G1746" s="4" t="n">
        <v>0</v>
      </c>
      <c r="H1746" s="4">
        <f>IF(OR(N(F1746)&gt;=0.5,G1746&gt;=4),3,IF(OR(N(F1746)&gt;=0.3,G1746=3),2,IF(OR(N(F1746)&gt;=0.1,G1746&gt;=1),1,0)))</f>
        <v/>
      </c>
      <c r="I1746" s="4">
        <f>CHOOSE(H1746+1,"Kein Risiko","Gering","Mittel","Hoch")</f>
        <v/>
      </c>
    </row>
    <row r="1747">
      <c r="A1747" s="4" t="n">
        <v>1743</v>
      </c>
      <c r="B1747" s="4" t="inlineStr">
        <is>
          <t>house</t>
        </is>
      </c>
      <c r="C1747" s="4" t="inlineStr">
        <is>
          <t>Dixbäume</t>
        </is>
      </c>
      <c r="D1747" s="4" t="inlineStr">
        <is>
          <t>36</t>
        </is>
      </c>
      <c r="E1747" s="13" t="n">
        <v>96</v>
      </c>
      <c r="F1747" s="12" t="n">
        <v>0</v>
      </c>
      <c r="G1747" s="4" t="n">
        <v>0</v>
      </c>
      <c r="H1747" s="4">
        <f>IF(OR(N(F1747)&gt;=0.5,G1747&gt;=4),3,IF(OR(N(F1747)&gt;=0.3,G1747=3),2,IF(OR(N(F1747)&gt;=0.1,G1747&gt;=1),1,0)))</f>
        <v/>
      </c>
      <c r="I1747" s="4">
        <f>CHOOSE(H1747+1,"Kein Risiko","Gering","Mittel","Hoch")</f>
        <v/>
      </c>
    </row>
    <row r="1748">
      <c r="A1748" s="4" t="n">
        <v>1744</v>
      </c>
      <c r="B1748" s="4" t="inlineStr">
        <is>
          <t>house</t>
        </is>
      </c>
      <c r="C1748" s="4" t="inlineStr">
        <is>
          <t>Dixbäume</t>
        </is>
      </c>
      <c r="D1748" s="4" t="inlineStr">
        <is>
          <t>38</t>
        </is>
      </c>
      <c r="E1748" s="13" t="n">
        <v>76.90000000000001</v>
      </c>
      <c r="F1748" s="12" t="n">
        <v>0</v>
      </c>
      <c r="G1748" s="4" t="n">
        <v>0</v>
      </c>
      <c r="H1748" s="4">
        <f>IF(OR(N(F1748)&gt;=0.5,G1748&gt;=4),3,IF(OR(N(F1748)&gt;=0.3,G1748=3),2,IF(OR(N(F1748)&gt;=0.1,G1748&gt;=1),1,0)))</f>
        <v/>
      </c>
      <c r="I1748" s="4">
        <f>CHOOSE(H1748+1,"Kein Risiko","Gering","Mittel","Hoch")</f>
        <v/>
      </c>
    </row>
    <row r="1749">
      <c r="A1749" s="4" t="n">
        <v>1745</v>
      </c>
      <c r="B1749" s="4" t="inlineStr">
        <is>
          <t>yes</t>
        </is>
      </c>
      <c r="C1749" s="4" t="inlineStr">
        <is>
          <t>Deilbachbrücke</t>
        </is>
      </c>
      <c r="D1749" s="4" t="inlineStr">
        <is>
          <t>3</t>
        </is>
      </c>
      <c r="E1749" s="13" t="n">
        <v>123.5</v>
      </c>
      <c r="F1749" s="12" t="n">
        <v>0.9599990844726562</v>
      </c>
      <c r="G1749" s="4" t="n">
        <v>0</v>
      </c>
      <c r="H1749" s="4">
        <f>IF(OR(N(F1749)&gt;=0.5,G1749&gt;=4),3,IF(OR(N(F1749)&gt;=0.3,G1749=3),2,IF(OR(N(F1749)&gt;=0.1,G1749&gt;=1),1,0)))</f>
        <v/>
      </c>
      <c r="I1749" s="4">
        <f>CHOOSE(H1749+1,"Kein Risiko","Gering","Mittel","Hoch")</f>
        <v/>
      </c>
    </row>
    <row r="1750">
      <c r="A1750" s="4" t="n">
        <v>1746</v>
      </c>
      <c r="B1750" s="4" t="inlineStr">
        <is>
          <t>house</t>
        </is>
      </c>
      <c r="C1750" s="4" t="inlineStr">
        <is>
          <t>Dixbäume</t>
        </is>
      </c>
      <c r="D1750" s="4" t="inlineStr">
        <is>
          <t>40</t>
        </is>
      </c>
      <c r="E1750" s="13" t="n">
        <v>77.7</v>
      </c>
      <c r="F1750" s="12" t="n">
        <v>0.0800018310546875</v>
      </c>
      <c r="G1750" s="4" t="n">
        <v>0</v>
      </c>
      <c r="H1750" s="4">
        <f>IF(OR(N(F1750)&gt;=0.5,G1750&gt;=4),3,IF(OR(N(F1750)&gt;=0.3,G1750=3),2,IF(OR(N(F1750)&gt;=0.1,G1750&gt;=1),1,0)))</f>
        <v/>
      </c>
      <c r="I1750" s="4">
        <f>CHOOSE(H1750+1,"Kein Risiko","Gering","Mittel","Hoch")</f>
        <v/>
      </c>
    </row>
    <row r="1751">
      <c r="A1751" s="4" t="n">
        <v>1747</v>
      </c>
      <c r="B1751" s="4" t="inlineStr">
        <is>
          <t>house</t>
        </is>
      </c>
      <c r="C1751" s="4" t="inlineStr">
        <is>
          <t>Dixbäume</t>
        </is>
      </c>
      <c r="D1751" s="4" t="inlineStr">
        <is>
          <t>42</t>
        </is>
      </c>
      <c r="E1751" s="13" t="n">
        <v>77.3</v>
      </c>
      <c r="F1751" s="12" t="n">
        <v>0</v>
      </c>
      <c r="G1751" s="4" t="n">
        <v>0</v>
      </c>
      <c r="H1751" s="4">
        <f>IF(OR(N(F1751)&gt;=0.5,G1751&gt;=4),3,IF(OR(N(F1751)&gt;=0.3,G1751=3),2,IF(OR(N(F1751)&gt;=0.1,G1751&gt;=1),1,0)))</f>
        <v/>
      </c>
      <c r="I1751" s="4">
        <f>CHOOSE(H1751+1,"Kein Risiko","Gering","Mittel","Hoch")</f>
        <v/>
      </c>
    </row>
    <row r="1752">
      <c r="A1752" s="4" t="n">
        <v>1748</v>
      </c>
      <c r="B1752" s="4" t="inlineStr">
        <is>
          <t>house</t>
        </is>
      </c>
      <c r="C1752" s="4" t="inlineStr">
        <is>
          <t>Dixbäume</t>
        </is>
      </c>
      <c r="D1752" s="4" t="inlineStr">
        <is>
          <t>44</t>
        </is>
      </c>
      <c r="E1752" s="13" t="n">
        <v>80.90000000000001</v>
      </c>
      <c r="F1752" s="12" t="n">
        <v>0</v>
      </c>
      <c r="G1752" s="4" t="n">
        <v>0</v>
      </c>
      <c r="H1752" s="4">
        <f>IF(OR(N(F1752)&gt;=0.5,G1752&gt;=4),3,IF(OR(N(F1752)&gt;=0.3,G1752=3),2,IF(OR(N(F1752)&gt;=0.1,G1752&gt;=1),1,0)))</f>
        <v/>
      </c>
      <c r="I1752" s="4">
        <f>CHOOSE(H1752+1,"Kein Risiko","Gering","Mittel","Hoch")</f>
        <v/>
      </c>
    </row>
    <row r="1753">
      <c r="A1753" s="4" t="n">
        <v>1749</v>
      </c>
      <c r="B1753" s="4" t="inlineStr">
        <is>
          <t>semidetached_house</t>
        </is>
      </c>
      <c r="C1753" s="4" t="inlineStr">
        <is>
          <t>Dixbäume</t>
        </is>
      </c>
      <c r="D1753" s="4" t="inlineStr">
        <is>
          <t>46</t>
        </is>
      </c>
      <c r="E1753" s="13" t="n">
        <v>87.09999999999999</v>
      </c>
      <c r="F1753" s="12" t="n">
        <v>0</v>
      </c>
      <c r="G1753" s="4" t="n">
        <v>0</v>
      </c>
      <c r="H1753" s="4">
        <f>IF(OR(N(F1753)&gt;=0.5,G1753&gt;=4),3,IF(OR(N(F1753)&gt;=0.3,G1753=3),2,IF(OR(N(F1753)&gt;=0.1,G1753&gt;=1),1,0)))</f>
        <v/>
      </c>
      <c r="I1753" s="4">
        <f>CHOOSE(H1753+1,"Kein Risiko","Gering","Mittel","Hoch")</f>
        <v/>
      </c>
    </row>
    <row r="1754">
      <c r="A1754" s="4" t="n">
        <v>1750</v>
      </c>
      <c r="B1754" s="4" t="inlineStr">
        <is>
          <t>semidetached_house</t>
        </is>
      </c>
      <c r="C1754" s="4" t="inlineStr">
        <is>
          <t>Dixbäume</t>
        </is>
      </c>
      <c r="D1754" s="4" t="inlineStr">
        <is>
          <t>48</t>
        </is>
      </c>
      <c r="E1754" s="13" t="n">
        <v>87.2</v>
      </c>
      <c r="F1754" s="12" t="n">
        <v>0</v>
      </c>
      <c r="G1754" s="4" t="n">
        <v>0</v>
      </c>
      <c r="H1754" s="4">
        <f>IF(OR(N(F1754)&gt;=0.5,G1754&gt;=4),3,IF(OR(N(F1754)&gt;=0.3,G1754=3),2,IF(OR(N(F1754)&gt;=0.1,G1754&gt;=1),1,0)))</f>
        <v/>
      </c>
      <c r="I1754" s="4">
        <f>CHOOSE(H1754+1,"Kein Risiko","Gering","Mittel","Hoch")</f>
        <v/>
      </c>
    </row>
    <row r="1755">
      <c r="A1755" s="4" t="n">
        <v>1751</v>
      </c>
      <c r="B1755" s="4" t="inlineStr">
        <is>
          <t>semidetached_house</t>
        </is>
      </c>
      <c r="C1755" s="4" t="inlineStr">
        <is>
          <t>Dixbäume</t>
        </is>
      </c>
      <c r="D1755" s="4" t="inlineStr">
        <is>
          <t>50</t>
        </is>
      </c>
      <c r="E1755" s="13" t="n">
        <v>76.3</v>
      </c>
      <c r="F1755" s="12" t="n">
        <v>0</v>
      </c>
      <c r="G1755" s="4" t="n">
        <v>0</v>
      </c>
      <c r="H1755" s="4">
        <f>IF(OR(N(F1755)&gt;=0.5,G1755&gt;=4),3,IF(OR(N(F1755)&gt;=0.3,G1755=3),2,IF(OR(N(F1755)&gt;=0.1,G1755&gt;=1),1,0)))</f>
        <v/>
      </c>
      <c r="I1755" s="4">
        <f>CHOOSE(H1755+1,"Kein Risiko","Gering","Mittel","Hoch")</f>
        <v/>
      </c>
    </row>
    <row r="1756">
      <c r="A1756" s="4" t="n">
        <v>1752</v>
      </c>
      <c r="B1756" s="4" t="inlineStr">
        <is>
          <t>semidetached_house</t>
        </is>
      </c>
      <c r="C1756" s="4" t="inlineStr">
        <is>
          <t>Dixbäume</t>
        </is>
      </c>
      <c r="D1756" s="4" t="inlineStr">
        <is>
          <t>52</t>
        </is>
      </c>
      <c r="E1756" s="13" t="n">
        <v>76.8</v>
      </c>
      <c r="F1756" s="12" t="n">
        <v>0</v>
      </c>
      <c r="G1756" s="4" t="n">
        <v>0</v>
      </c>
      <c r="H1756" s="4">
        <f>IF(OR(N(F1756)&gt;=0.5,G1756&gt;=4),3,IF(OR(N(F1756)&gt;=0.3,G1756=3),2,IF(OR(N(F1756)&gt;=0.1,G1756&gt;=1),1,0)))</f>
        <v/>
      </c>
      <c r="I1756" s="4">
        <f>CHOOSE(H1756+1,"Kein Risiko","Gering","Mittel","Hoch")</f>
        <v/>
      </c>
    </row>
    <row r="1757">
      <c r="A1757" s="4" t="n">
        <v>1753</v>
      </c>
      <c r="B1757" s="4" t="inlineStr">
        <is>
          <t>semidetached_house</t>
        </is>
      </c>
      <c r="C1757" s="4" t="inlineStr">
        <is>
          <t>Dixbäume</t>
        </is>
      </c>
      <c r="D1757" s="4" t="inlineStr">
        <is>
          <t>54</t>
        </is>
      </c>
      <c r="E1757" s="13" t="n">
        <v>98.59999999999999</v>
      </c>
      <c r="F1757" s="12" t="n">
        <v>0.1999969482421875</v>
      </c>
      <c r="G1757" s="4" t="n">
        <v>0</v>
      </c>
      <c r="H1757" s="4">
        <f>IF(OR(N(F1757)&gt;=0.5,G1757&gt;=4),3,IF(OR(N(F1757)&gt;=0.3,G1757=3),2,IF(OR(N(F1757)&gt;=0.1,G1757&gt;=1),1,0)))</f>
        <v/>
      </c>
      <c r="I1757" s="4">
        <f>CHOOSE(H1757+1,"Kein Risiko","Gering","Mittel","Hoch")</f>
        <v/>
      </c>
    </row>
    <row r="1758">
      <c r="A1758" s="4" t="n">
        <v>1754</v>
      </c>
      <c r="B1758" s="4" t="inlineStr">
        <is>
          <t>house</t>
        </is>
      </c>
      <c r="C1758" s="4" t="inlineStr">
        <is>
          <t>Dixbäume</t>
        </is>
      </c>
      <c r="D1758" s="4" t="inlineStr">
        <is>
          <t>59a</t>
        </is>
      </c>
      <c r="E1758" s="13" t="n">
        <v>74.2</v>
      </c>
      <c r="F1758" s="12" t="n">
        <v>0</v>
      </c>
      <c r="G1758" s="4" t="n">
        <v>2</v>
      </c>
      <c r="H1758" s="4">
        <f>IF(OR(N(F1758)&gt;=0.5,G1758&gt;=4),3,IF(OR(N(F1758)&gt;=0.3,G1758=3),2,IF(OR(N(F1758)&gt;=0.1,G1758&gt;=1),1,0)))</f>
        <v/>
      </c>
      <c r="I1758" s="4">
        <f>CHOOSE(H1758+1,"Kein Risiko","Gering","Mittel","Hoch")</f>
        <v/>
      </c>
    </row>
    <row r="1759">
      <c r="A1759" s="4" t="n">
        <v>1755</v>
      </c>
      <c r="B1759" s="4" t="inlineStr">
        <is>
          <t>house</t>
        </is>
      </c>
      <c r="C1759" s="4" t="inlineStr">
        <is>
          <t>Dixbäume</t>
        </is>
      </c>
      <c r="D1759" s="4" t="inlineStr">
        <is>
          <t>59b</t>
        </is>
      </c>
      <c r="E1759" s="13" t="n">
        <v>74.2</v>
      </c>
      <c r="F1759" s="12" t="n">
        <v>0</v>
      </c>
      <c r="G1759" s="4" t="n">
        <v>2</v>
      </c>
      <c r="H1759" s="4">
        <f>IF(OR(N(F1759)&gt;=0.5,G1759&gt;=4),3,IF(OR(N(F1759)&gt;=0.3,G1759=3),2,IF(OR(N(F1759)&gt;=0.1,G1759&gt;=1),1,0)))</f>
        <v/>
      </c>
      <c r="I1759" s="4">
        <f>CHOOSE(H1759+1,"Kein Risiko","Gering","Mittel","Hoch")</f>
        <v/>
      </c>
    </row>
    <row r="1760">
      <c r="A1760" s="4" t="n">
        <v>1756</v>
      </c>
      <c r="B1760" s="4" t="inlineStr">
        <is>
          <t>house</t>
        </is>
      </c>
      <c r="C1760" s="4" t="inlineStr">
        <is>
          <t>Dixbäume</t>
        </is>
      </c>
      <c r="D1760" s="4" t="inlineStr">
        <is>
          <t>59c</t>
        </is>
      </c>
      <c r="E1760" s="13" t="n">
        <v>74.3</v>
      </c>
      <c r="F1760" s="12" t="n">
        <v>0</v>
      </c>
      <c r="G1760" s="4" t="n">
        <v>2</v>
      </c>
      <c r="H1760" s="4">
        <f>IF(OR(N(F1760)&gt;=0.5,G1760&gt;=4),3,IF(OR(N(F1760)&gt;=0.3,G1760=3),2,IF(OR(N(F1760)&gt;=0.1,G1760&gt;=1),1,0)))</f>
        <v/>
      </c>
      <c r="I1760" s="4">
        <f>CHOOSE(H1760+1,"Kein Risiko","Gering","Mittel","Hoch")</f>
        <v/>
      </c>
    </row>
    <row r="1761">
      <c r="A1761" s="4" t="n">
        <v>1757</v>
      </c>
      <c r="B1761" s="4" t="inlineStr">
        <is>
          <t>house</t>
        </is>
      </c>
      <c r="C1761" s="4" t="inlineStr">
        <is>
          <t>Dixbäume</t>
        </is>
      </c>
      <c r="D1761" s="4" t="inlineStr">
        <is>
          <t>61a</t>
        </is>
      </c>
      <c r="E1761" s="13" t="n">
        <v>74.3</v>
      </c>
      <c r="F1761" s="12" t="n">
        <v>0.01000213623046875</v>
      </c>
      <c r="G1761" s="4" t="n">
        <v>0</v>
      </c>
      <c r="H1761" s="4">
        <f>IF(OR(N(F1761)&gt;=0.5,G1761&gt;=4),3,IF(OR(N(F1761)&gt;=0.3,G1761=3),2,IF(OR(N(F1761)&gt;=0.1,G1761&gt;=1),1,0)))</f>
        <v/>
      </c>
      <c r="I1761" s="4">
        <f>CHOOSE(H1761+1,"Kein Risiko","Gering","Mittel","Hoch")</f>
        <v/>
      </c>
    </row>
    <row r="1762">
      <c r="A1762" s="4" t="n">
        <v>1758</v>
      </c>
      <c r="B1762" s="4" t="inlineStr">
        <is>
          <t>house</t>
        </is>
      </c>
      <c r="C1762" s="4" t="inlineStr">
        <is>
          <t>Dixbäume</t>
        </is>
      </c>
      <c r="D1762" s="4" t="inlineStr">
        <is>
          <t>63a</t>
        </is>
      </c>
      <c r="E1762" s="13" t="n">
        <v>70.40000000000001</v>
      </c>
      <c r="F1762" s="12" t="n">
        <v>0</v>
      </c>
      <c r="G1762" s="4" t="n">
        <v>2</v>
      </c>
      <c r="H1762" s="4">
        <f>IF(OR(N(F1762)&gt;=0.5,G1762&gt;=4),3,IF(OR(N(F1762)&gt;=0.3,G1762=3),2,IF(OR(N(F1762)&gt;=0.1,G1762&gt;=1),1,0)))</f>
        <v/>
      </c>
      <c r="I1762" s="4">
        <f>CHOOSE(H1762+1,"Kein Risiko","Gering","Mittel","Hoch")</f>
        <v/>
      </c>
    </row>
    <row r="1763">
      <c r="A1763" s="4" t="n">
        <v>1759</v>
      </c>
      <c r="B1763" s="4" t="inlineStr">
        <is>
          <t>house</t>
        </is>
      </c>
      <c r="C1763" s="4" t="inlineStr">
        <is>
          <t>Dixbäume</t>
        </is>
      </c>
      <c r="D1763" s="4" t="inlineStr">
        <is>
          <t>63b</t>
        </is>
      </c>
      <c r="E1763" s="13" t="n">
        <v>71.40000000000001</v>
      </c>
      <c r="F1763" s="12" t="n">
        <v>0</v>
      </c>
      <c r="G1763" s="4" t="n">
        <v>2</v>
      </c>
      <c r="H1763" s="4">
        <f>IF(OR(N(F1763)&gt;=0.5,G1763&gt;=4),3,IF(OR(N(F1763)&gt;=0.3,G1763=3),2,IF(OR(N(F1763)&gt;=0.1,G1763&gt;=1),1,0)))</f>
        <v/>
      </c>
      <c r="I1763" s="4">
        <f>CHOOSE(H1763+1,"Kein Risiko","Gering","Mittel","Hoch")</f>
        <v/>
      </c>
    </row>
    <row r="1764">
      <c r="A1764" s="4" t="n">
        <v>1760</v>
      </c>
      <c r="B1764" s="4" t="inlineStr">
        <is>
          <t>yes</t>
        </is>
      </c>
      <c r="C1764" s="4" t="inlineStr">
        <is>
          <t>Möllneys Nocken</t>
        </is>
      </c>
      <c r="D1764" s="4" t="inlineStr">
        <is>
          <t>6a</t>
        </is>
      </c>
      <c r="E1764" s="13" t="n">
        <v>98.40000000000001</v>
      </c>
      <c r="F1764" s="12" t="n">
        <v>0</v>
      </c>
      <c r="G1764" s="4" t="n">
        <v>2</v>
      </c>
      <c r="H1764" s="4">
        <f>IF(OR(N(F1764)&gt;=0.5,G1764&gt;=4),3,IF(OR(N(F1764)&gt;=0.3,G1764=3),2,IF(OR(N(F1764)&gt;=0.1,G1764&gt;=1),1,0)))</f>
        <v/>
      </c>
      <c r="I1764" s="4">
        <f>CHOOSE(H1764+1,"Kein Risiko","Gering","Mittel","Hoch")</f>
        <v/>
      </c>
    </row>
    <row r="1765">
      <c r="A1765" s="4" t="n">
        <v>1761</v>
      </c>
      <c r="B1765" s="4" t="inlineStr">
        <is>
          <t>yes</t>
        </is>
      </c>
      <c r="C1765" s="4" t="inlineStr">
        <is>
          <t>Deilbachbrücke</t>
        </is>
      </c>
      <c r="D1765" s="4" t="inlineStr">
        <is>
          <t>7</t>
        </is>
      </c>
      <c r="E1765" s="13" t="n">
        <v>145.3</v>
      </c>
      <c r="F1765" s="12" t="n">
        <v>0.2599983215332031</v>
      </c>
      <c r="G1765" s="4" t="n">
        <v>0</v>
      </c>
      <c r="H1765" s="4">
        <f>IF(OR(N(F1765)&gt;=0.5,G1765&gt;=4),3,IF(OR(N(F1765)&gt;=0.3,G1765=3),2,IF(OR(N(F1765)&gt;=0.1,G1765&gt;=1),1,0)))</f>
        <v/>
      </c>
      <c r="I1765" s="4">
        <f>CHOOSE(H1765+1,"Kein Risiko","Gering","Mittel","Hoch")</f>
        <v/>
      </c>
    </row>
    <row r="1766">
      <c r="A1766" s="4" t="n">
        <v>1762</v>
      </c>
      <c r="B1766" s="4" t="inlineStr">
        <is>
          <t>apartments</t>
        </is>
      </c>
      <c r="C1766" s="4" t="inlineStr">
        <is>
          <t>Prinz-Wilhelm-Damm</t>
        </is>
      </c>
      <c r="D1766" s="4" t="inlineStr">
        <is>
          <t>7</t>
        </is>
      </c>
      <c r="E1766" s="13" t="n">
        <v>101</v>
      </c>
      <c r="F1766" s="12" t="n">
        <v>0</v>
      </c>
      <c r="G1766" s="4" t="n">
        <v>0</v>
      </c>
      <c r="H1766" s="4">
        <f>IF(OR(N(F1766)&gt;=0.5,G1766&gt;=4),3,IF(OR(N(F1766)&gt;=0.3,G1766=3),2,IF(OR(N(F1766)&gt;=0.1,G1766&gt;=1),1,0)))</f>
        <v/>
      </c>
      <c r="I1766" s="4">
        <f>CHOOSE(H1766+1,"Kein Risiko","Gering","Mittel","Hoch")</f>
        <v/>
      </c>
    </row>
    <row r="1767">
      <c r="A1767" s="4" t="n">
        <v>1763</v>
      </c>
      <c r="B1767" s="4" t="inlineStr">
        <is>
          <t>garage</t>
        </is>
      </c>
      <c r="C1767" s="4" t="inlineStr">
        <is>
          <t>Dixbäume</t>
        </is>
      </c>
      <c r="D1767" s="4" t="inlineStr">
        <is>
          <t>70</t>
        </is>
      </c>
      <c r="E1767" s="13" t="n">
        <v>60</v>
      </c>
      <c r="F1767" s="12" t="n">
        <v>0</v>
      </c>
      <c r="G1767" s="4" t="n">
        <v>0</v>
      </c>
      <c r="H1767" s="4">
        <f>IF(OR(N(F1767)&gt;=0.5,G1767&gt;=4),3,IF(OR(N(F1767)&gt;=0.3,G1767=3),2,IF(OR(N(F1767)&gt;=0.1,G1767&gt;=1),1,0)))</f>
        <v/>
      </c>
      <c r="I1767" s="4">
        <f>CHOOSE(H1767+1,"Kein Risiko","Gering","Mittel","Hoch")</f>
        <v/>
      </c>
    </row>
    <row r="1768">
      <c r="A1768" s="4" t="n">
        <v>1764</v>
      </c>
      <c r="B1768" s="4" t="inlineStr">
        <is>
          <t>garage</t>
        </is>
      </c>
      <c r="C1768" s="4" t="inlineStr">
        <is>
          <t>Dixbäume</t>
        </is>
      </c>
      <c r="D1768" s="4" t="inlineStr">
        <is>
          <t>72</t>
        </is>
      </c>
      <c r="E1768" s="13" t="n">
        <v>65.2</v>
      </c>
      <c r="F1768" s="12" t="n">
        <v>0.05999755859375</v>
      </c>
      <c r="G1768" s="4" t="n">
        <v>0</v>
      </c>
      <c r="H1768" s="4">
        <f>IF(OR(N(F1768)&gt;=0.5,G1768&gt;=4),3,IF(OR(N(F1768)&gt;=0.3,G1768=3),2,IF(OR(N(F1768)&gt;=0.1,G1768&gt;=1),1,0)))</f>
        <v/>
      </c>
      <c r="I1768" s="4">
        <f>CHOOSE(H1768+1,"Kein Risiko","Gering","Mittel","Hoch")</f>
        <v/>
      </c>
    </row>
    <row r="1769">
      <c r="A1769" s="4" t="n">
        <v>1765</v>
      </c>
      <c r="B1769" s="4" t="inlineStr">
        <is>
          <t>garage</t>
        </is>
      </c>
      <c r="C1769" s="4" t="inlineStr">
        <is>
          <t>Dixbäume</t>
        </is>
      </c>
      <c r="D1769" s="4" t="inlineStr">
        <is>
          <t>74</t>
        </is>
      </c>
      <c r="E1769" s="13" t="n">
        <v>63.9</v>
      </c>
      <c r="F1769" s="12" t="n">
        <v>0</v>
      </c>
      <c r="G1769" s="4" t="n">
        <v>0</v>
      </c>
      <c r="H1769" s="4">
        <f>IF(OR(N(F1769)&gt;=0.5,G1769&gt;=4),3,IF(OR(N(F1769)&gt;=0.3,G1769=3),2,IF(OR(N(F1769)&gt;=0.1,G1769&gt;=1),1,0)))</f>
        <v/>
      </c>
      <c r="I1769" s="4">
        <f>CHOOSE(H1769+1,"Kein Risiko","Gering","Mittel","Hoch")</f>
        <v/>
      </c>
    </row>
    <row r="1770">
      <c r="A1770" s="4" t="n">
        <v>1766</v>
      </c>
      <c r="B1770" s="4" t="inlineStr">
        <is>
          <t>garage</t>
        </is>
      </c>
      <c r="C1770" s="4" t="inlineStr">
        <is>
          <t>Dixbäume</t>
        </is>
      </c>
      <c r="D1770" s="4" t="inlineStr">
        <is>
          <t>76</t>
        </is>
      </c>
      <c r="E1770" s="13" t="n">
        <v>63.8</v>
      </c>
      <c r="F1770" s="12" t="n">
        <v>0</v>
      </c>
      <c r="G1770" s="4" t="n">
        <v>0</v>
      </c>
      <c r="H1770" s="4">
        <f>IF(OR(N(F1770)&gt;=0.5,G1770&gt;=4),3,IF(OR(N(F1770)&gt;=0.3,G1770=3),2,IF(OR(N(F1770)&gt;=0.1,G1770&gt;=1),1,0)))</f>
        <v/>
      </c>
      <c r="I1770" s="4">
        <f>CHOOSE(H1770+1,"Kein Risiko","Gering","Mittel","Hoch")</f>
        <v/>
      </c>
    </row>
    <row r="1771">
      <c r="A1771" s="4" t="n">
        <v>1767</v>
      </c>
      <c r="B1771" s="4" t="inlineStr">
        <is>
          <t>yes</t>
        </is>
      </c>
      <c r="C1771" s="4" t="inlineStr">
        <is>
          <t>Deilbachufer</t>
        </is>
      </c>
      <c r="D1771" s="4" t="inlineStr">
        <is>
          <t>8</t>
        </is>
      </c>
      <c r="E1771" s="13" t="n">
        <v>84.5</v>
      </c>
      <c r="F1771" s="12" t="n">
        <v>0.02000045776367188</v>
      </c>
      <c r="G1771" s="4" t="n">
        <v>0</v>
      </c>
      <c r="H1771" s="4">
        <f>IF(OR(N(F1771)&gt;=0.5,G1771&gt;=4),3,IF(OR(N(F1771)&gt;=0.3,G1771=3),2,IF(OR(N(F1771)&gt;=0.1,G1771&gt;=1),1,0)))</f>
        <v/>
      </c>
      <c r="I1771" s="4">
        <f>CHOOSE(H1771+1,"Kein Risiko","Gering","Mittel","Hoch")</f>
        <v/>
      </c>
    </row>
    <row r="1772">
      <c r="A1772" s="4" t="n">
        <v>1768</v>
      </c>
      <c r="B1772" s="4" t="inlineStr">
        <is>
          <t>house</t>
        </is>
      </c>
      <c r="C1772" s="4" t="inlineStr">
        <is>
          <t>Dixbäume</t>
        </is>
      </c>
      <c r="D1772" s="4" t="inlineStr">
        <is>
          <t>51c</t>
        </is>
      </c>
      <c r="E1772" s="13" t="n">
        <v>92.7</v>
      </c>
      <c r="F1772" s="12" t="n">
        <v>0</v>
      </c>
      <c r="G1772" s="4" t="n">
        <v>1</v>
      </c>
      <c r="H1772" s="4">
        <f>IF(OR(N(F1772)&gt;=0.5,G1772&gt;=4),3,IF(OR(N(F1772)&gt;=0.3,G1772=3),2,IF(OR(N(F1772)&gt;=0.1,G1772&gt;=1),1,0)))</f>
        <v/>
      </c>
      <c r="I1772" s="4">
        <f>CHOOSE(H1772+1,"Kein Risiko","Gering","Mittel","Hoch")</f>
        <v/>
      </c>
    </row>
    <row r="1773">
      <c r="A1773" s="4" t="n">
        <v>1769</v>
      </c>
      <c r="B1773" s="4" t="inlineStr">
        <is>
          <t>garages</t>
        </is>
      </c>
      <c r="C1773" s="4" t="inlineStr"/>
      <c r="D1773" s="4" t="inlineStr"/>
      <c r="E1773" s="13" t="n">
        <v>211.8</v>
      </c>
      <c r="F1773" s="12" t="n">
        <v>0</v>
      </c>
      <c r="G1773" s="4" t="n">
        <v>2</v>
      </c>
      <c r="H1773" s="4">
        <f>IF(OR(N(F1773)&gt;=0.5,G1773&gt;=4),3,IF(OR(N(F1773)&gt;=0.3,G1773=3),2,IF(OR(N(F1773)&gt;=0.1,G1773&gt;=1),1,0)))</f>
        <v/>
      </c>
      <c r="I1773" s="4">
        <f>CHOOSE(H1773+1,"Kein Risiko","Gering","Mittel","Hoch")</f>
        <v/>
      </c>
    </row>
    <row r="1774">
      <c r="A1774" s="4" t="n">
        <v>1770</v>
      </c>
      <c r="B1774" s="4" t="inlineStr">
        <is>
          <t>yes</t>
        </is>
      </c>
      <c r="C1774" s="4" t="inlineStr">
        <is>
          <t>Byfanger Straße</t>
        </is>
      </c>
      <c r="D1774" s="4" t="inlineStr">
        <is>
          <t>95</t>
        </is>
      </c>
      <c r="E1774" s="13" t="n">
        <v>205</v>
      </c>
      <c r="F1774" s="12" t="n">
        <v>0</v>
      </c>
      <c r="G1774" s="4" t="n">
        <v>0</v>
      </c>
      <c r="H1774" s="4">
        <f>IF(OR(N(F1774)&gt;=0.5,G1774&gt;=4),3,IF(OR(N(F1774)&gt;=0.3,G1774=3),2,IF(OR(N(F1774)&gt;=0.1,G1774&gt;=1),1,0)))</f>
        <v/>
      </c>
      <c r="I1774" s="4">
        <f>CHOOSE(H1774+1,"Kein Risiko","Gering","Mittel","Hoch")</f>
        <v/>
      </c>
    </row>
    <row r="1775">
      <c r="A1775" s="4" t="n">
        <v>1771</v>
      </c>
      <c r="B1775" s="4" t="inlineStr">
        <is>
          <t>roof</t>
        </is>
      </c>
      <c r="C1775" s="4" t="inlineStr"/>
      <c r="D1775" s="4" t="inlineStr"/>
      <c r="E1775" s="13" t="n">
        <v>80.2</v>
      </c>
      <c r="F1775" s="12" t="n">
        <v>0</v>
      </c>
      <c r="G1775" s="4" t="n">
        <v>0</v>
      </c>
      <c r="H1775" s="4">
        <f>IF(OR(N(F1775)&gt;=0.5,G1775&gt;=4),3,IF(OR(N(F1775)&gt;=0.3,G1775=3),2,IF(OR(N(F1775)&gt;=0.1,G1775&gt;=1),1,0)))</f>
        <v/>
      </c>
      <c r="I1775" s="4">
        <f>CHOOSE(H1775+1,"Kein Risiko","Gering","Mittel","Hoch")</f>
        <v/>
      </c>
    </row>
    <row r="1776">
      <c r="A1776" s="4" t="n">
        <v>1772</v>
      </c>
      <c r="B1776" s="4" t="inlineStr">
        <is>
          <t>apartments</t>
        </is>
      </c>
      <c r="C1776" s="4" t="inlineStr">
        <is>
          <t>Sandstraße</t>
        </is>
      </c>
      <c r="D1776" s="4" t="inlineStr">
        <is>
          <t>1</t>
        </is>
      </c>
      <c r="E1776" s="13" t="n">
        <v>189.7</v>
      </c>
      <c r="F1776" s="12" t="n">
        <v>0</v>
      </c>
      <c r="G1776" s="4" t="n">
        <v>1</v>
      </c>
      <c r="H1776" s="4">
        <f>IF(OR(N(F1776)&gt;=0.5,G1776&gt;=4),3,IF(OR(N(F1776)&gt;=0.3,G1776=3),2,IF(OR(N(F1776)&gt;=0.1,G1776&gt;=1),1,0)))</f>
        <v/>
      </c>
      <c r="I1776" s="4">
        <f>CHOOSE(H1776+1,"Kein Risiko","Gering","Mittel","Hoch")</f>
        <v/>
      </c>
    </row>
    <row r="1777">
      <c r="A1777" s="4" t="n">
        <v>1773</v>
      </c>
      <c r="B1777" s="4" t="inlineStr">
        <is>
          <t>yes</t>
        </is>
      </c>
      <c r="C1777" s="4" t="inlineStr">
        <is>
          <t>Anstockstraße</t>
        </is>
      </c>
      <c r="D1777" s="4" t="inlineStr">
        <is>
          <t>10</t>
        </is>
      </c>
      <c r="E1777" s="13" t="n">
        <v>157.7</v>
      </c>
      <c r="F1777" s="12" t="n">
        <v>0</v>
      </c>
      <c r="G1777" s="4" t="n">
        <v>0</v>
      </c>
      <c r="H1777" s="4">
        <f>IF(OR(N(F1777)&gt;=0.5,G1777&gt;=4),3,IF(OR(N(F1777)&gt;=0.3,G1777=3),2,IF(OR(N(F1777)&gt;=0.1,G1777&gt;=1),1,0)))</f>
        <v/>
      </c>
      <c r="I1777" s="4">
        <f>CHOOSE(H1777+1,"Kein Risiko","Gering","Mittel","Hoch")</f>
        <v/>
      </c>
    </row>
    <row r="1778">
      <c r="A1778" s="4" t="n">
        <v>1774</v>
      </c>
      <c r="B1778" s="4" t="inlineStr">
        <is>
          <t>apartments</t>
        </is>
      </c>
      <c r="C1778" s="4" t="inlineStr">
        <is>
          <t>Dixbäume</t>
        </is>
      </c>
      <c r="D1778" s="4" t="inlineStr">
        <is>
          <t>10</t>
        </is>
      </c>
      <c r="E1778" s="13" t="n">
        <v>89.59999999999999</v>
      </c>
      <c r="F1778" s="12" t="n">
        <v>0</v>
      </c>
      <c r="G1778" s="4" t="n">
        <v>0</v>
      </c>
      <c r="H1778" s="4">
        <f>IF(OR(N(F1778)&gt;=0.5,G1778&gt;=4),3,IF(OR(N(F1778)&gt;=0.3,G1778=3),2,IF(OR(N(F1778)&gt;=0.1,G1778&gt;=1),1,0)))</f>
        <v/>
      </c>
      <c r="I1778" s="4">
        <f>CHOOSE(H1778+1,"Kein Risiko","Gering","Mittel","Hoch")</f>
        <v/>
      </c>
    </row>
    <row r="1779">
      <c r="A1779" s="4" t="n">
        <v>1775</v>
      </c>
      <c r="B1779" s="4" t="inlineStr">
        <is>
          <t>semidetached_house</t>
        </is>
      </c>
      <c r="C1779" s="4" t="inlineStr">
        <is>
          <t>Heidenreichberg</t>
        </is>
      </c>
      <c r="D1779" s="4" t="inlineStr">
        <is>
          <t>10</t>
        </is>
      </c>
      <c r="E1779" s="13" t="n">
        <v>71.90000000000001</v>
      </c>
      <c r="F1779" s="12" t="n">
        <v>0</v>
      </c>
      <c r="G1779" s="4" t="n">
        <v>0</v>
      </c>
      <c r="H1779" s="4">
        <f>IF(OR(N(F1779)&gt;=0.5,G1779&gt;=4),3,IF(OR(N(F1779)&gt;=0.3,G1779=3),2,IF(OR(N(F1779)&gt;=0.1,G1779&gt;=1),1,0)))</f>
        <v/>
      </c>
      <c r="I1779" s="4">
        <f>CHOOSE(H1779+1,"Kein Risiko","Gering","Mittel","Hoch")</f>
        <v/>
      </c>
    </row>
    <row r="1780">
      <c r="A1780" s="4" t="n">
        <v>1776</v>
      </c>
      <c r="B1780" s="4" t="inlineStr">
        <is>
          <t>yes</t>
        </is>
      </c>
      <c r="C1780" s="4" t="inlineStr">
        <is>
          <t>Provesthöhe</t>
        </is>
      </c>
      <c r="D1780" s="4" t="inlineStr">
        <is>
          <t>10</t>
        </is>
      </c>
      <c r="E1780" s="13" t="n">
        <v>75.09999999999999</v>
      </c>
      <c r="F1780" s="12" t="n">
        <v>0</v>
      </c>
      <c r="G1780" s="4" t="n">
        <v>1</v>
      </c>
      <c r="H1780" s="4">
        <f>IF(OR(N(F1780)&gt;=0.5,G1780&gt;=4),3,IF(OR(N(F1780)&gt;=0.3,G1780=3),2,IF(OR(N(F1780)&gt;=0.1,G1780&gt;=1),1,0)))</f>
        <v/>
      </c>
      <c r="I1780" s="4">
        <f>CHOOSE(H1780+1,"Kein Risiko","Gering","Mittel","Hoch")</f>
        <v/>
      </c>
    </row>
    <row r="1781">
      <c r="A1781" s="4" t="n">
        <v>1777</v>
      </c>
      <c r="B1781" s="4" t="inlineStr">
        <is>
          <t>yes</t>
        </is>
      </c>
      <c r="C1781" s="4" t="inlineStr">
        <is>
          <t>Sandstraße</t>
        </is>
      </c>
      <c r="D1781" s="4" t="inlineStr">
        <is>
          <t>10</t>
        </is>
      </c>
      <c r="E1781" s="13" t="n">
        <v>74.09999999999999</v>
      </c>
      <c r="F1781" s="12" t="n">
        <v>0.07999801635742188</v>
      </c>
      <c r="G1781" s="4" t="n">
        <v>3</v>
      </c>
      <c r="H1781" s="4">
        <f>IF(OR(N(F1781)&gt;=0.5,G1781&gt;=4),3,IF(OR(N(F1781)&gt;=0.3,G1781=3),2,IF(OR(N(F1781)&gt;=0.1,G1781&gt;=1),1,0)))</f>
        <v/>
      </c>
      <c r="I1781" s="4">
        <f>CHOOSE(H1781+1,"Kein Risiko","Gering","Mittel","Hoch")</f>
        <v/>
      </c>
    </row>
    <row r="1782">
      <c r="A1782" s="4" t="n">
        <v>1778</v>
      </c>
      <c r="B1782" s="4" t="inlineStr">
        <is>
          <t>yes</t>
        </is>
      </c>
      <c r="C1782" s="4" t="inlineStr">
        <is>
          <t>Wohlgemuthweg</t>
        </is>
      </c>
      <c r="D1782" s="4" t="inlineStr">
        <is>
          <t>10</t>
        </is>
      </c>
      <c r="E1782" s="13" t="n">
        <v>134.6</v>
      </c>
      <c r="F1782" s="12" t="n">
        <v>0</v>
      </c>
      <c r="G1782" s="4" t="n">
        <v>2</v>
      </c>
      <c r="H1782" s="4">
        <f>IF(OR(N(F1782)&gt;=0.5,G1782&gt;=4),3,IF(OR(N(F1782)&gt;=0.3,G1782=3),2,IF(OR(N(F1782)&gt;=0.1,G1782&gt;=1),1,0)))</f>
        <v/>
      </c>
      <c r="I1782" s="4">
        <f>CHOOSE(H1782+1,"Kein Risiko","Gering","Mittel","Hoch")</f>
        <v/>
      </c>
    </row>
    <row r="1783">
      <c r="A1783" s="4" t="n">
        <v>1779</v>
      </c>
      <c r="B1783" s="4" t="inlineStr">
        <is>
          <t>house</t>
        </is>
      </c>
      <c r="C1783" s="4" t="inlineStr">
        <is>
          <t>Schliepersberg</t>
        </is>
      </c>
      <c r="D1783" s="4" t="inlineStr">
        <is>
          <t>102</t>
        </is>
      </c>
      <c r="E1783" s="13" t="n">
        <v>104.9</v>
      </c>
      <c r="F1783" s="12" t="n">
        <v>0</v>
      </c>
      <c r="G1783" s="4" t="n">
        <v>0</v>
      </c>
      <c r="H1783" s="4">
        <f>IF(OR(N(F1783)&gt;=0.5,G1783&gt;=4),3,IF(OR(N(F1783)&gt;=0.3,G1783=3),2,IF(OR(N(F1783)&gt;=0.1,G1783&gt;=1),1,0)))</f>
        <v/>
      </c>
      <c r="I1783" s="4">
        <f>CHOOSE(H1783+1,"Kein Risiko","Gering","Mittel","Hoch")</f>
        <v/>
      </c>
    </row>
    <row r="1784">
      <c r="A1784" s="4" t="n">
        <v>1780</v>
      </c>
      <c r="B1784" s="4" t="inlineStr">
        <is>
          <t>house</t>
        </is>
      </c>
      <c r="C1784" s="4" t="inlineStr">
        <is>
          <t>Schliepersberg</t>
        </is>
      </c>
      <c r="D1784" s="4" t="inlineStr">
        <is>
          <t>106</t>
        </is>
      </c>
      <c r="E1784" s="13" t="n">
        <v>102.5</v>
      </c>
      <c r="F1784" s="12" t="n">
        <v>0</v>
      </c>
      <c r="G1784" s="4" t="n">
        <v>0</v>
      </c>
      <c r="H1784" s="4">
        <f>IF(OR(N(F1784)&gt;=0.5,G1784&gt;=4),3,IF(OR(N(F1784)&gt;=0.3,G1784=3),2,IF(OR(N(F1784)&gt;=0.1,G1784&gt;=1),1,0)))</f>
        <v/>
      </c>
      <c r="I1784" s="4">
        <f>CHOOSE(H1784+1,"Kein Risiko","Gering","Mittel","Hoch")</f>
        <v/>
      </c>
    </row>
    <row r="1785">
      <c r="A1785" s="4" t="n">
        <v>1781</v>
      </c>
      <c r="B1785" s="4" t="inlineStr">
        <is>
          <t>house</t>
        </is>
      </c>
      <c r="C1785" s="4" t="inlineStr">
        <is>
          <t>Schliepersberg</t>
        </is>
      </c>
      <c r="D1785" s="4" t="inlineStr">
        <is>
          <t>108</t>
        </is>
      </c>
      <c r="E1785" s="13" t="n">
        <v>104.3</v>
      </c>
      <c r="F1785" s="12" t="n">
        <v>0</v>
      </c>
      <c r="G1785" s="4" t="n">
        <v>0</v>
      </c>
      <c r="H1785" s="4">
        <f>IF(OR(N(F1785)&gt;=0.5,G1785&gt;=4),3,IF(OR(N(F1785)&gt;=0.3,G1785=3),2,IF(OR(N(F1785)&gt;=0.1,G1785&gt;=1),1,0)))</f>
        <v/>
      </c>
      <c r="I1785" s="4">
        <f>CHOOSE(H1785+1,"Kein Risiko","Gering","Mittel","Hoch")</f>
        <v/>
      </c>
    </row>
    <row r="1786">
      <c r="A1786" s="4" t="n">
        <v>1782</v>
      </c>
      <c r="B1786" s="4" t="inlineStr">
        <is>
          <t>apartments</t>
        </is>
      </c>
      <c r="C1786" s="4" t="inlineStr">
        <is>
          <t>Colsmanstraße</t>
        </is>
      </c>
      <c r="D1786" s="4" t="inlineStr">
        <is>
          <t>11</t>
        </is>
      </c>
      <c r="E1786" s="13" t="n">
        <v>185.4</v>
      </c>
      <c r="F1786" s="12" t="n">
        <v>1.549999237060547</v>
      </c>
      <c r="G1786" s="4" t="n">
        <v>1</v>
      </c>
      <c r="H1786" s="4">
        <f>IF(OR(N(F1786)&gt;=0.5,G1786&gt;=4),3,IF(OR(N(F1786)&gt;=0.3,G1786=3),2,IF(OR(N(F1786)&gt;=0.1,G1786&gt;=1),1,0)))</f>
        <v/>
      </c>
      <c r="I1786" s="4">
        <f>CHOOSE(H1786+1,"Kein Risiko","Gering","Mittel","Hoch")</f>
        <v/>
      </c>
    </row>
    <row r="1787">
      <c r="A1787" s="4" t="n">
        <v>1783</v>
      </c>
      <c r="B1787" s="4" t="inlineStr">
        <is>
          <t>yes</t>
        </is>
      </c>
      <c r="C1787" s="4" t="inlineStr">
        <is>
          <t>Gillesweg</t>
        </is>
      </c>
      <c r="D1787" s="4" t="inlineStr">
        <is>
          <t>11</t>
        </is>
      </c>
      <c r="E1787" s="13" t="n">
        <v>86.90000000000001</v>
      </c>
      <c r="F1787" s="12" t="n">
        <v>0</v>
      </c>
      <c r="G1787" s="4" t="n">
        <v>0</v>
      </c>
      <c r="H1787" s="4">
        <f>IF(OR(N(F1787)&gt;=0.5,G1787&gt;=4),3,IF(OR(N(F1787)&gt;=0.3,G1787=3),2,IF(OR(N(F1787)&gt;=0.1,G1787&gt;=1),1,0)))</f>
        <v/>
      </c>
      <c r="I1787" s="4">
        <f>CHOOSE(H1787+1,"Kein Risiko","Gering","Mittel","Hoch")</f>
        <v/>
      </c>
    </row>
    <row r="1788">
      <c r="A1788" s="4" t="n">
        <v>1784</v>
      </c>
      <c r="B1788" s="4" t="inlineStr">
        <is>
          <t>yes</t>
        </is>
      </c>
      <c r="C1788" s="4" t="inlineStr">
        <is>
          <t>Hinsbecker Berg</t>
        </is>
      </c>
      <c r="D1788" s="4" t="inlineStr">
        <is>
          <t>11</t>
        </is>
      </c>
      <c r="E1788" s="13" t="n">
        <v>136.8</v>
      </c>
      <c r="F1788" s="12" t="n">
        <v>0</v>
      </c>
      <c r="G1788" s="4" t="n">
        <v>1</v>
      </c>
      <c r="H1788" s="4">
        <f>IF(OR(N(F1788)&gt;=0.5,G1788&gt;=4),3,IF(OR(N(F1788)&gt;=0.3,G1788=3),2,IF(OR(N(F1788)&gt;=0.1,G1788&gt;=1),1,0)))</f>
        <v/>
      </c>
      <c r="I1788" s="4">
        <f>CHOOSE(H1788+1,"Kein Risiko","Gering","Mittel","Hoch")</f>
        <v/>
      </c>
    </row>
    <row r="1789">
      <c r="A1789" s="4" t="n">
        <v>1785</v>
      </c>
      <c r="B1789" s="4" t="inlineStr">
        <is>
          <t>house</t>
        </is>
      </c>
      <c r="C1789" s="4" t="inlineStr">
        <is>
          <t>Zementstraße</t>
        </is>
      </c>
      <c r="D1789" s="4" t="inlineStr">
        <is>
          <t>11</t>
        </is>
      </c>
      <c r="E1789" s="13" t="n">
        <v>64.90000000000001</v>
      </c>
      <c r="F1789" s="12" t="n">
        <v>0.01000213623046875</v>
      </c>
      <c r="G1789" s="4" t="n">
        <v>0</v>
      </c>
      <c r="H1789" s="4">
        <f>IF(OR(N(F1789)&gt;=0.5,G1789&gt;=4),3,IF(OR(N(F1789)&gt;=0.3,G1789=3),2,IF(OR(N(F1789)&gt;=0.1,G1789&gt;=1),1,0)))</f>
        <v/>
      </c>
      <c r="I1789" s="4">
        <f>CHOOSE(H1789+1,"Kein Risiko","Gering","Mittel","Hoch")</f>
        <v/>
      </c>
    </row>
    <row r="1790">
      <c r="A1790" s="4" t="n">
        <v>1786</v>
      </c>
      <c r="B1790" s="4" t="inlineStr">
        <is>
          <t>house</t>
        </is>
      </c>
      <c r="C1790" s="4" t="inlineStr">
        <is>
          <t>Schliepersberg</t>
        </is>
      </c>
      <c r="D1790" s="4" t="inlineStr">
        <is>
          <t>110</t>
        </is>
      </c>
      <c r="E1790" s="13" t="n">
        <v>120.6</v>
      </c>
      <c r="F1790" s="12" t="n">
        <v>0</v>
      </c>
      <c r="G1790" s="4" t="n">
        <v>0</v>
      </c>
      <c r="H1790" s="4">
        <f>IF(OR(N(F1790)&gt;=0.5,G1790&gt;=4),3,IF(OR(N(F1790)&gt;=0.3,G1790=3),2,IF(OR(N(F1790)&gt;=0.1,G1790&gt;=1),1,0)))</f>
        <v/>
      </c>
      <c r="I1790" s="4">
        <f>CHOOSE(H1790+1,"Kein Risiko","Gering","Mittel","Hoch")</f>
        <v/>
      </c>
    </row>
    <row r="1791">
      <c r="A1791" s="4" t="n">
        <v>1787</v>
      </c>
      <c r="B1791" s="4" t="inlineStr">
        <is>
          <t>yes</t>
        </is>
      </c>
      <c r="C1791" s="4" t="inlineStr">
        <is>
          <t>Schliepersberg</t>
        </is>
      </c>
      <c r="D1791" s="4" t="inlineStr">
        <is>
          <t>112</t>
        </is>
      </c>
      <c r="E1791" s="13" t="n">
        <v>172.3</v>
      </c>
      <c r="F1791" s="12" t="n">
        <v>0.0099945068359375</v>
      </c>
      <c r="G1791" s="4" t="n">
        <v>0</v>
      </c>
      <c r="H1791" s="4">
        <f>IF(OR(N(F1791)&gt;=0.5,G1791&gt;=4),3,IF(OR(N(F1791)&gt;=0.3,G1791=3),2,IF(OR(N(F1791)&gt;=0.1,G1791&gt;=1),1,0)))</f>
        <v/>
      </c>
      <c r="I1791" s="4">
        <f>CHOOSE(H1791+1,"Kein Risiko","Gering","Mittel","Hoch")</f>
        <v/>
      </c>
    </row>
    <row r="1792">
      <c r="A1792" s="4" t="n">
        <v>1788</v>
      </c>
      <c r="B1792" s="4" t="inlineStr">
        <is>
          <t>house</t>
        </is>
      </c>
      <c r="C1792" s="4" t="inlineStr">
        <is>
          <t>Schliepersberg</t>
        </is>
      </c>
      <c r="D1792" s="4" t="inlineStr">
        <is>
          <t>116</t>
        </is>
      </c>
      <c r="E1792" s="13" t="n">
        <v>99.2</v>
      </c>
      <c r="F1792" s="12" t="n">
        <v>0</v>
      </c>
      <c r="G1792" s="4" t="n">
        <v>0</v>
      </c>
      <c r="H1792" s="4">
        <f>IF(OR(N(F1792)&gt;=0.5,G1792&gt;=4),3,IF(OR(N(F1792)&gt;=0.3,G1792=3),2,IF(OR(N(F1792)&gt;=0.1,G1792&gt;=1),1,0)))</f>
        <v/>
      </c>
      <c r="I1792" s="4">
        <f>CHOOSE(H1792+1,"Kein Risiko","Gering","Mittel","Hoch")</f>
        <v/>
      </c>
    </row>
    <row r="1793">
      <c r="A1793" s="4" t="n">
        <v>1789</v>
      </c>
      <c r="B1793" s="4" t="inlineStr">
        <is>
          <t>house</t>
        </is>
      </c>
      <c r="C1793" s="4" t="inlineStr">
        <is>
          <t>Schliepersberg</t>
        </is>
      </c>
      <c r="D1793" s="4" t="inlineStr">
        <is>
          <t>118</t>
        </is>
      </c>
      <c r="E1793" s="13" t="n">
        <v>100.1</v>
      </c>
      <c r="F1793" s="12" t="n">
        <v>0</v>
      </c>
      <c r="G1793" s="4" t="n">
        <v>0</v>
      </c>
      <c r="H1793" s="4">
        <f>IF(OR(N(F1793)&gt;=0.5,G1793&gt;=4),3,IF(OR(N(F1793)&gt;=0.3,G1793=3),2,IF(OR(N(F1793)&gt;=0.1,G1793&gt;=1),1,0)))</f>
        <v/>
      </c>
      <c r="I1793" s="4">
        <f>CHOOSE(H1793+1,"Kein Risiko","Gering","Mittel","Hoch")</f>
        <v/>
      </c>
    </row>
    <row r="1794">
      <c r="A1794" s="4" t="n">
        <v>1790</v>
      </c>
      <c r="B1794" s="4" t="inlineStr">
        <is>
          <t>yes</t>
        </is>
      </c>
      <c r="C1794" s="4" t="inlineStr">
        <is>
          <t>Reulsbergweg</t>
        </is>
      </c>
      <c r="D1794" s="4" t="inlineStr">
        <is>
          <t>11e</t>
        </is>
      </c>
      <c r="E1794" s="13" t="n">
        <v>95.90000000000001</v>
      </c>
      <c r="F1794" s="12" t="n">
        <v>0</v>
      </c>
      <c r="G1794" s="4" t="n">
        <v>1</v>
      </c>
      <c r="H1794" s="4">
        <f>IF(OR(N(F1794)&gt;=0.5,G1794&gt;=4),3,IF(OR(N(F1794)&gt;=0.3,G1794=3),2,IF(OR(N(F1794)&gt;=0.1,G1794&gt;=1),1,0)))</f>
        <v/>
      </c>
      <c r="I1794" s="4">
        <f>CHOOSE(H1794+1,"Kein Risiko","Gering","Mittel","Hoch")</f>
        <v/>
      </c>
    </row>
    <row r="1795">
      <c r="A1795" s="4" t="n">
        <v>1791</v>
      </c>
      <c r="B1795" s="4" t="inlineStr">
        <is>
          <t>yes</t>
        </is>
      </c>
      <c r="C1795" s="4" t="inlineStr">
        <is>
          <t>Bovermanns Kamp</t>
        </is>
      </c>
      <c r="D1795" s="4" t="inlineStr">
        <is>
          <t>12</t>
        </is>
      </c>
      <c r="E1795" s="13" t="n">
        <v>107.9</v>
      </c>
      <c r="F1795" s="12" t="n">
        <v>0.0099945068359375</v>
      </c>
      <c r="G1795" s="4" t="n">
        <v>1</v>
      </c>
      <c r="H1795" s="4">
        <f>IF(OR(N(F1795)&gt;=0.5,G1795&gt;=4),3,IF(OR(N(F1795)&gt;=0.3,G1795=3),2,IF(OR(N(F1795)&gt;=0.1,G1795&gt;=1),1,0)))</f>
        <v/>
      </c>
      <c r="I1795" s="4">
        <f>CHOOSE(H1795+1,"Kein Risiko","Gering","Mittel","Hoch")</f>
        <v/>
      </c>
    </row>
    <row r="1796">
      <c r="A1796" s="4" t="n">
        <v>1792</v>
      </c>
      <c r="B1796" s="4" t="inlineStr">
        <is>
          <t>apartments</t>
        </is>
      </c>
      <c r="C1796" s="4" t="inlineStr">
        <is>
          <t>Dixbäume</t>
        </is>
      </c>
      <c r="D1796" s="4" t="inlineStr">
        <is>
          <t>12</t>
        </is>
      </c>
      <c r="E1796" s="13" t="n">
        <v>89.59999999999999</v>
      </c>
      <c r="F1796" s="12" t="n">
        <v>0</v>
      </c>
      <c r="G1796" s="4" t="n">
        <v>0</v>
      </c>
      <c r="H1796" s="4">
        <f>IF(OR(N(F1796)&gt;=0.5,G1796&gt;=4),3,IF(OR(N(F1796)&gt;=0.3,G1796=3),2,IF(OR(N(F1796)&gt;=0.1,G1796&gt;=1),1,0)))</f>
        <v/>
      </c>
      <c r="I1796" s="4">
        <f>CHOOSE(H1796+1,"Kein Risiko","Gering","Mittel","Hoch")</f>
        <v/>
      </c>
    </row>
    <row r="1797">
      <c r="A1797" s="4" t="n">
        <v>1793</v>
      </c>
      <c r="B1797" s="4" t="inlineStr">
        <is>
          <t>semidetached_house</t>
        </is>
      </c>
      <c r="C1797" s="4" t="inlineStr">
        <is>
          <t>Heidenreichberg</t>
        </is>
      </c>
      <c r="D1797" s="4" t="inlineStr">
        <is>
          <t>12</t>
        </is>
      </c>
      <c r="E1797" s="13" t="n">
        <v>72.8</v>
      </c>
      <c r="F1797" s="12" t="n">
        <v>0.01000213623046875</v>
      </c>
      <c r="G1797" s="4" t="n">
        <v>0</v>
      </c>
      <c r="H1797" s="4">
        <f>IF(OR(N(F1797)&gt;=0.5,G1797&gt;=4),3,IF(OR(N(F1797)&gt;=0.3,G1797=3),2,IF(OR(N(F1797)&gt;=0.1,G1797&gt;=1),1,0)))</f>
        <v/>
      </c>
      <c r="I1797" s="4">
        <f>CHOOSE(H1797+1,"Kein Risiko","Gering","Mittel","Hoch")</f>
        <v/>
      </c>
    </row>
    <row r="1798">
      <c r="A1798" s="4" t="n">
        <v>1794</v>
      </c>
      <c r="B1798" s="4" t="inlineStr">
        <is>
          <t>yes</t>
        </is>
      </c>
      <c r="C1798" s="4" t="inlineStr">
        <is>
          <t>Hinsbecker Berg</t>
        </is>
      </c>
      <c r="D1798" s="4" t="inlineStr">
        <is>
          <t>12</t>
        </is>
      </c>
      <c r="E1798" s="13" t="n">
        <v>157.5</v>
      </c>
      <c r="F1798" s="12" t="n">
        <v>0.01999664306640625</v>
      </c>
      <c r="G1798" s="4" t="n">
        <v>1</v>
      </c>
      <c r="H1798" s="4">
        <f>IF(OR(N(F1798)&gt;=0.5,G1798&gt;=4),3,IF(OR(N(F1798)&gt;=0.3,G1798=3),2,IF(OR(N(F1798)&gt;=0.1,G1798&gt;=1),1,0)))</f>
        <v/>
      </c>
      <c r="I1798" s="4">
        <f>CHOOSE(H1798+1,"Kein Risiko","Gering","Mittel","Hoch")</f>
        <v/>
      </c>
    </row>
    <row r="1799">
      <c r="A1799" s="4" t="n">
        <v>1795</v>
      </c>
      <c r="B1799" s="4" t="inlineStr">
        <is>
          <t>yes</t>
        </is>
      </c>
      <c r="C1799" s="4" t="inlineStr">
        <is>
          <t>Wohlgemuthweg</t>
        </is>
      </c>
      <c r="D1799" s="4" t="inlineStr">
        <is>
          <t>12</t>
        </is>
      </c>
      <c r="E1799" s="13" t="n">
        <v>134.6</v>
      </c>
      <c r="F1799" s="12" t="n">
        <v>0</v>
      </c>
      <c r="G1799" s="4" t="n">
        <v>2</v>
      </c>
      <c r="H1799" s="4">
        <f>IF(OR(N(F1799)&gt;=0.5,G1799&gt;=4),3,IF(OR(N(F1799)&gt;=0.3,G1799=3),2,IF(OR(N(F1799)&gt;=0.1,G1799&gt;=1),1,0)))</f>
        <v/>
      </c>
      <c r="I1799" s="4">
        <f>CHOOSE(H1799+1,"Kein Risiko","Gering","Mittel","Hoch")</f>
        <v/>
      </c>
    </row>
    <row r="1800">
      <c r="A1800" s="4" t="n">
        <v>1796</v>
      </c>
      <c r="B1800" s="4" t="inlineStr">
        <is>
          <t>house</t>
        </is>
      </c>
      <c r="C1800" s="4" t="inlineStr">
        <is>
          <t>Schliepersberg</t>
        </is>
      </c>
      <c r="D1800" s="4" t="inlineStr">
        <is>
          <t>120</t>
        </is>
      </c>
      <c r="E1800" s="13" t="n">
        <v>100.8</v>
      </c>
      <c r="F1800" s="12" t="n">
        <v>0</v>
      </c>
      <c r="G1800" s="4" t="n">
        <v>0</v>
      </c>
      <c r="H1800" s="4">
        <f>IF(OR(N(F1800)&gt;=0.5,G1800&gt;=4),3,IF(OR(N(F1800)&gt;=0.3,G1800=3),2,IF(OR(N(F1800)&gt;=0.1,G1800&gt;=1),1,0)))</f>
        <v/>
      </c>
      <c r="I1800" s="4">
        <f>CHOOSE(H1800+1,"Kein Risiko","Gering","Mittel","Hoch")</f>
        <v/>
      </c>
    </row>
    <row r="1801">
      <c r="A1801" s="4" t="n">
        <v>1797</v>
      </c>
      <c r="B1801" s="4" t="inlineStr">
        <is>
          <t>yes</t>
        </is>
      </c>
      <c r="C1801" s="4" t="inlineStr">
        <is>
          <t>Reulsbergweg</t>
        </is>
      </c>
      <c r="D1801" s="4" t="inlineStr">
        <is>
          <t>122</t>
        </is>
      </c>
      <c r="E1801" s="13" t="n">
        <v>54.6</v>
      </c>
      <c r="F1801" s="12" t="n">
        <v>0</v>
      </c>
      <c r="G1801" s="4" t="n">
        <v>0</v>
      </c>
      <c r="H1801" s="4">
        <f>IF(OR(N(F1801)&gt;=0.5,G1801&gt;=4),3,IF(OR(N(F1801)&gt;=0.3,G1801=3),2,IF(OR(N(F1801)&gt;=0.1,G1801&gt;=1),1,0)))</f>
        <v/>
      </c>
      <c r="I1801" s="4">
        <f>CHOOSE(H1801+1,"Kein Risiko","Gering","Mittel","Hoch")</f>
        <v/>
      </c>
    </row>
    <row r="1802">
      <c r="A1802" s="4" t="n">
        <v>1798</v>
      </c>
      <c r="B1802" s="4" t="inlineStr">
        <is>
          <t>yes</t>
        </is>
      </c>
      <c r="C1802" s="4" t="inlineStr">
        <is>
          <t>Schliepersberg</t>
        </is>
      </c>
      <c r="D1802" s="4" t="inlineStr">
        <is>
          <t>122</t>
        </is>
      </c>
      <c r="E1802" s="13" t="n">
        <v>163.6</v>
      </c>
      <c r="F1802" s="12" t="n">
        <v>0</v>
      </c>
      <c r="G1802" s="4" t="n">
        <v>0</v>
      </c>
      <c r="H1802" s="4">
        <f>IF(OR(N(F1802)&gt;=0.5,G1802&gt;=4),3,IF(OR(N(F1802)&gt;=0.3,G1802=3),2,IF(OR(N(F1802)&gt;=0.1,G1802&gt;=1),1,0)))</f>
        <v/>
      </c>
      <c r="I1802" s="4">
        <f>CHOOSE(H1802+1,"Kein Risiko","Gering","Mittel","Hoch")</f>
        <v/>
      </c>
    </row>
    <row r="1803">
      <c r="A1803" s="4" t="n">
        <v>1799</v>
      </c>
      <c r="B1803" s="4" t="inlineStr">
        <is>
          <t>yes</t>
        </is>
      </c>
      <c r="C1803" s="4" t="inlineStr">
        <is>
          <t>Reulsbergweg</t>
        </is>
      </c>
      <c r="D1803" s="4" t="inlineStr">
        <is>
          <t>128</t>
        </is>
      </c>
      <c r="E1803" s="13" t="n">
        <v>123.4</v>
      </c>
      <c r="F1803" s="12" t="n">
        <v>0.0399932861328125</v>
      </c>
      <c r="G1803" s="4" t="n">
        <v>2</v>
      </c>
      <c r="H1803" s="4">
        <f>IF(OR(N(F1803)&gt;=0.5,G1803&gt;=4),3,IF(OR(N(F1803)&gt;=0.3,G1803=3),2,IF(OR(N(F1803)&gt;=0.1,G1803&gt;=1),1,0)))</f>
        <v/>
      </c>
      <c r="I1803" s="4">
        <f>CHOOSE(H1803+1,"Kein Risiko","Gering","Mittel","Hoch")</f>
        <v/>
      </c>
    </row>
    <row r="1804">
      <c r="A1804" s="4" t="n">
        <v>1800</v>
      </c>
      <c r="B1804" s="4" t="inlineStr">
        <is>
          <t>apartments</t>
        </is>
      </c>
      <c r="C1804" s="4" t="inlineStr">
        <is>
          <t>Colsmanstraße</t>
        </is>
      </c>
      <c r="D1804" s="4" t="inlineStr">
        <is>
          <t>13</t>
        </is>
      </c>
      <c r="E1804" s="13" t="n">
        <v>177.5</v>
      </c>
      <c r="F1804" s="12" t="n">
        <v>1.469997406005859</v>
      </c>
      <c r="G1804" s="4" t="n">
        <v>1</v>
      </c>
      <c r="H1804" s="4">
        <f>IF(OR(N(F1804)&gt;=0.5,G1804&gt;=4),3,IF(OR(N(F1804)&gt;=0.3,G1804=3),2,IF(OR(N(F1804)&gt;=0.1,G1804&gt;=1),1,0)))</f>
        <v/>
      </c>
      <c r="I1804" s="4">
        <f>CHOOSE(H1804+1,"Kein Risiko","Gering","Mittel","Hoch")</f>
        <v/>
      </c>
    </row>
    <row r="1805">
      <c r="A1805" s="4" t="n">
        <v>1801</v>
      </c>
      <c r="B1805" s="4" t="inlineStr">
        <is>
          <t>yes</t>
        </is>
      </c>
      <c r="C1805" s="4" t="inlineStr">
        <is>
          <t>Gillesweg</t>
        </is>
      </c>
      <c r="D1805" s="4" t="inlineStr">
        <is>
          <t>13</t>
        </is>
      </c>
      <c r="E1805" s="13" t="n">
        <v>65.90000000000001</v>
      </c>
      <c r="F1805" s="12" t="n">
        <v>0.05999755859375</v>
      </c>
      <c r="G1805" s="4" t="n">
        <v>1</v>
      </c>
      <c r="H1805" s="4">
        <f>IF(OR(N(F1805)&gt;=0.5,G1805&gt;=4),3,IF(OR(N(F1805)&gt;=0.3,G1805=3),2,IF(OR(N(F1805)&gt;=0.1,G1805&gt;=1),1,0)))</f>
        <v/>
      </c>
      <c r="I1805" s="4">
        <f>CHOOSE(H1805+1,"Kein Risiko","Gering","Mittel","Hoch")</f>
        <v/>
      </c>
    </row>
    <row r="1806">
      <c r="A1806" s="4" t="n">
        <v>1802</v>
      </c>
      <c r="B1806" s="4" t="inlineStr">
        <is>
          <t>house</t>
        </is>
      </c>
      <c r="C1806" s="4" t="inlineStr">
        <is>
          <t>Zementstraße</t>
        </is>
      </c>
      <c r="D1806" s="4" t="inlineStr">
        <is>
          <t>13</t>
        </is>
      </c>
      <c r="E1806" s="13" t="n">
        <v>61.6</v>
      </c>
      <c r="F1806" s="12" t="n">
        <v>0.1299972534179688</v>
      </c>
      <c r="G1806" s="4" t="n">
        <v>0</v>
      </c>
      <c r="H1806" s="4">
        <f>IF(OR(N(F1806)&gt;=0.5,G1806&gt;=4),3,IF(OR(N(F1806)&gt;=0.3,G1806=3),2,IF(OR(N(F1806)&gt;=0.1,G1806&gt;=1),1,0)))</f>
        <v/>
      </c>
      <c r="I1806" s="4">
        <f>CHOOSE(H1806+1,"Kein Risiko","Gering","Mittel","Hoch")</f>
        <v/>
      </c>
    </row>
    <row r="1807">
      <c r="A1807" s="4" t="n">
        <v>1803</v>
      </c>
      <c r="B1807" s="4" t="inlineStr">
        <is>
          <t>yes</t>
        </is>
      </c>
      <c r="C1807" s="4" t="inlineStr">
        <is>
          <t>Bovermanns Kamp</t>
        </is>
      </c>
      <c r="D1807" s="4" t="inlineStr">
        <is>
          <t>14</t>
        </is>
      </c>
      <c r="E1807" s="13" t="n">
        <v>89.7</v>
      </c>
      <c r="F1807" s="12" t="n">
        <v>0.01000213623046875</v>
      </c>
      <c r="G1807" s="4" t="n">
        <v>0</v>
      </c>
      <c r="H1807" s="4">
        <f>IF(OR(N(F1807)&gt;=0.5,G1807&gt;=4),3,IF(OR(N(F1807)&gt;=0.3,G1807=3),2,IF(OR(N(F1807)&gt;=0.1,G1807&gt;=1),1,0)))</f>
        <v/>
      </c>
      <c r="I1807" s="4">
        <f>CHOOSE(H1807+1,"Kein Risiko","Gering","Mittel","Hoch")</f>
        <v/>
      </c>
    </row>
    <row r="1808">
      <c r="A1808" s="4" t="n">
        <v>1804</v>
      </c>
      <c r="B1808" s="4" t="inlineStr">
        <is>
          <t>apartments</t>
        </is>
      </c>
      <c r="C1808" s="4" t="inlineStr">
        <is>
          <t>Dixbäume</t>
        </is>
      </c>
      <c r="D1808" s="4" t="inlineStr">
        <is>
          <t>14</t>
        </is>
      </c>
      <c r="E1808" s="13" t="n">
        <v>89.59999999999999</v>
      </c>
      <c r="F1808" s="12" t="n">
        <v>0</v>
      </c>
      <c r="G1808" s="4" t="n">
        <v>0</v>
      </c>
      <c r="H1808" s="4">
        <f>IF(OR(N(F1808)&gt;=0.5,G1808&gt;=4),3,IF(OR(N(F1808)&gt;=0.3,G1808=3),2,IF(OR(N(F1808)&gt;=0.1,G1808&gt;=1),1,0)))</f>
        <v/>
      </c>
      <c r="I1808" s="4">
        <f>CHOOSE(H1808+1,"Kein Risiko","Gering","Mittel","Hoch")</f>
        <v/>
      </c>
    </row>
    <row r="1809">
      <c r="A1809" s="4" t="n">
        <v>1805</v>
      </c>
      <c r="B1809" s="4" t="inlineStr">
        <is>
          <t>semidetached_house</t>
        </is>
      </c>
      <c r="C1809" s="4" t="inlineStr">
        <is>
          <t>Heidenreichberg</t>
        </is>
      </c>
      <c r="D1809" s="4" t="inlineStr">
        <is>
          <t>14</t>
        </is>
      </c>
      <c r="E1809" s="13" t="n">
        <v>72.90000000000001</v>
      </c>
      <c r="F1809" s="12" t="n">
        <v>0</v>
      </c>
      <c r="G1809" s="4" t="n">
        <v>0</v>
      </c>
      <c r="H1809" s="4">
        <f>IF(OR(N(F1809)&gt;=0.5,G1809&gt;=4),3,IF(OR(N(F1809)&gt;=0.3,G1809=3),2,IF(OR(N(F1809)&gt;=0.1,G1809&gt;=1),1,0)))</f>
        <v/>
      </c>
      <c r="I1809" s="4">
        <f>CHOOSE(H1809+1,"Kein Risiko","Gering","Mittel","Hoch")</f>
        <v/>
      </c>
    </row>
    <row r="1810">
      <c r="A1810" s="4" t="n">
        <v>1806</v>
      </c>
      <c r="B1810" s="4" t="inlineStr">
        <is>
          <t>yes</t>
        </is>
      </c>
      <c r="C1810" s="4" t="inlineStr">
        <is>
          <t>Wohlgemuthweg</t>
        </is>
      </c>
      <c r="D1810" s="4" t="inlineStr">
        <is>
          <t>14</t>
        </is>
      </c>
      <c r="E1810" s="13" t="n">
        <v>99.3</v>
      </c>
      <c r="F1810" s="12" t="n">
        <v>0</v>
      </c>
      <c r="G1810" s="4" t="n">
        <v>0</v>
      </c>
      <c r="H1810" s="4">
        <f>IF(OR(N(F1810)&gt;=0.5,G1810&gt;=4),3,IF(OR(N(F1810)&gt;=0.3,G1810=3),2,IF(OR(N(F1810)&gt;=0.1,G1810&gt;=1),1,0)))</f>
        <v/>
      </c>
      <c r="I1810" s="4">
        <f>CHOOSE(H1810+1,"Kein Risiko","Gering","Mittel","Hoch")</f>
        <v/>
      </c>
    </row>
    <row r="1811">
      <c r="A1811" s="4" t="n">
        <v>1807</v>
      </c>
      <c r="B1811" s="4" t="inlineStr">
        <is>
          <t>apartments</t>
        </is>
      </c>
      <c r="C1811" s="4" t="inlineStr">
        <is>
          <t>Colsmanstraße</t>
        </is>
      </c>
      <c r="D1811" s="4" t="inlineStr">
        <is>
          <t>15</t>
        </is>
      </c>
      <c r="E1811" s="13" t="n">
        <v>144.8</v>
      </c>
      <c r="F1811" s="12" t="n">
        <v>1.369998931884766</v>
      </c>
      <c r="G1811" s="4" t="n">
        <v>1</v>
      </c>
      <c r="H1811" s="4">
        <f>IF(OR(N(F1811)&gt;=0.5,G1811&gt;=4),3,IF(OR(N(F1811)&gt;=0.3,G1811=3),2,IF(OR(N(F1811)&gt;=0.1,G1811&gt;=1),1,0)))</f>
        <v/>
      </c>
      <c r="I1811" s="4">
        <f>CHOOSE(H1811+1,"Kein Risiko","Gering","Mittel","Hoch")</f>
        <v/>
      </c>
    </row>
    <row r="1812">
      <c r="A1812" s="4" t="n">
        <v>1808</v>
      </c>
      <c r="B1812" s="4" t="inlineStr">
        <is>
          <t>apartments</t>
        </is>
      </c>
      <c r="C1812" s="4" t="inlineStr">
        <is>
          <t>Dixbäume</t>
        </is>
      </c>
      <c r="D1812" s="4" t="inlineStr">
        <is>
          <t>15</t>
        </is>
      </c>
      <c r="E1812" s="13" t="n">
        <v>188.5</v>
      </c>
      <c r="F1812" s="12" t="n">
        <v>0</v>
      </c>
      <c r="G1812" s="4" t="n">
        <v>2</v>
      </c>
      <c r="H1812" s="4">
        <f>IF(OR(N(F1812)&gt;=0.5,G1812&gt;=4),3,IF(OR(N(F1812)&gt;=0.3,G1812=3),2,IF(OR(N(F1812)&gt;=0.1,G1812&gt;=1),1,0)))</f>
        <v/>
      </c>
      <c r="I1812" s="4">
        <f>CHOOSE(H1812+1,"Kein Risiko","Gering","Mittel","Hoch")</f>
        <v/>
      </c>
    </row>
    <row r="1813">
      <c r="A1813" s="4" t="n">
        <v>1809</v>
      </c>
      <c r="B1813" s="4" t="inlineStr">
        <is>
          <t>yes</t>
        </is>
      </c>
      <c r="C1813" s="4" t="inlineStr">
        <is>
          <t>Hinsbecker Berg</t>
        </is>
      </c>
      <c r="D1813" s="4" t="inlineStr">
        <is>
          <t>15</t>
        </is>
      </c>
      <c r="E1813" s="13" t="n">
        <v>69.40000000000001</v>
      </c>
      <c r="F1813" s="12" t="n">
        <v>0</v>
      </c>
      <c r="G1813" s="4" t="n">
        <v>0</v>
      </c>
      <c r="H1813" s="4">
        <f>IF(OR(N(F1813)&gt;=0.5,G1813&gt;=4),3,IF(OR(N(F1813)&gt;=0.3,G1813=3),2,IF(OR(N(F1813)&gt;=0.1,G1813&gt;=1),1,0)))</f>
        <v/>
      </c>
      <c r="I1813" s="4">
        <f>CHOOSE(H1813+1,"Kein Risiko","Gering","Mittel","Hoch")</f>
        <v/>
      </c>
    </row>
    <row r="1814">
      <c r="A1814" s="4" t="n">
        <v>1810</v>
      </c>
      <c r="B1814" s="4" t="inlineStr">
        <is>
          <t>yes</t>
        </is>
      </c>
      <c r="C1814" s="4" t="inlineStr">
        <is>
          <t>Sandstraße</t>
        </is>
      </c>
      <c r="D1814" s="4" t="inlineStr">
        <is>
          <t>15</t>
        </is>
      </c>
      <c r="E1814" s="13" t="n">
        <v>72</v>
      </c>
      <c r="F1814" s="12" t="n">
        <v>0</v>
      </c>
      <c r="G1814" s="4" t="n">
        <v>0</v>
      </c>
      <c r="H1814" s="4">
        <f>IF(OR(N(F1814)&gt;=0.5,G1814&gt;=4),3,IF(OR(N(F1814)&gt;=0.3,G1814=3),2,IF(OR(N(F1814)&gt;=0.1,G1814&gt;=1),1,0)))</f>
        <v/>
      </c>
      <c r="I1814" s="4">
        <f>CHOOSE(H1814+1,"Kein Risiko","Gering","Mittel","Hoch")</f>
        <v/>
      </c>
    </row>
    <row r="1815">
      <c r="A1815" s="4" t="n">
        <v>1811</v>
      </c>
      <c r="B1815" s="4" t="inlineStr">
        <is>
          <t>semidetached_house</t>
        </is>
      </c>
      <c r="C1815" s="4" t="inlineStr">
        <is>
          <t>Heidenreichberg</t>
        </is>
      </c>
      <c r="D1815" s="4" t="inlineStr">
        <is>
          <t>16</t>
        </is>
      </c>
      <c r="E1815" s="13" t="n">
        <v>71.2</v>
      </c>
      <c r="F1815" s="12" t="n">
        <v>0</v>
      </c>
      <c r="G1815" s="4" t="n">
        <v>0</v>
      </c>
      <c r="H1815" s="4">
        <f>IF(OR(N(F1815)&gt;=0.5,G1815&gt;=4),3,IF(OR(N(F1815)&gt;=0.3,G1815=3),2,IF(OR(N(F1815)&gt;=0.1,G1815&gt;=1),1,0)))</f>
        <v/>
      </c>
      <c r="I1815" s="4">
        <f>CHOOSE(H1815+1,"Kein Risiko","Gering","Mittel","Hoch")</f>
        <v/>
      </c>
    </row>
    <row r="1816">
      <c r="A1816" s="4" t="n">
        <v>1812</v>
      </c>
      <c r="B1816" s="4" t="inlineStr">
        <is>
          <t>apartments</t>
        </is>
      </c>
      <c r="C1816" s="4" t="inlineStr">
        <is>
          <t>Hinsbecker Berg</t>
        </is>
      </c>
      <c r="D1816" s="4" t="inlineStr">
        <is>
          <t>16</t>
        </is>
      </c>
      <c r="E1816" s="13" t="n">
        <v>151</v>
      </c>
      <c r="F1816" s="12" t="n">
        <v>0</v>
      </c>
      <c r="G1816" s="4" t="n">
        <v>0</v>
      </c>
      <c r="H1816" s="4">
        <f>IF(OR(N(F1816)&gt;=0.5,G1816&gt;=4),3,IF(OR(N(F1816)&gt;=0.3,G1816=3),2,IF(OR(N(F1816)&gt;=0.1,G1816&gt;=1),1,0)))</f>
        <v/>
      </c>
      <c r="I1816" s="4">
        <f>CHOOSE(H1816+1,"Kein Risiko","Gering","Mittel","Hoch")</f>
        <v/>
      </c>
    </row>
    <row r="1817">
      <c r="A1817" s="4" t="n">
        <v>1813</v>
      </c>
      <c r="B1817" s="4" t="inlineStr">
        <is>
          <t>yes</t>
        </is>
      </c>
      <c r="C1817" s="4" t="inlineStr">
        <is>
          <t>Reulsbergweg</t>
        </is>
      </c>
      <c r="D1817" s="4" t="inlineStr">
        <is>
          <t>16</t>
        </is>
      </c>
      <c r="E1817" s="13" t="n">
        <v>70.5</v>
      </c>
      <c r="F1817" s="12" t="n">
        <v>0</v>
      </c>
      <c r="G1817" s="4" t="n">
        <v>0</v>
      </c>
      <c r="H1817" s="4">
        <f>IF(OR(N(F1817)&gt;=0.5,G1817&gt;=4),3,IF(OR(N(F1817)&gt;=0.3,G1817=3),2,IF(OR(N(F1817)&gt;=0.1,G1817&gt;=1),1,0)))</f>
        <v/>
      </c>
      <c r="I1817" s="4">
        <f>CHOOSE(H1817+1,"Kein Risiko","Gering","Mittel","Hoch")</f>
        <v/>
      </c>
    </row>
    <row r="1818">
      <c r="A1818" s="4" t="n">
        <v>1814</v>
      </c>
      <c r="B1818" s="4" t="inlineStr">
        <is>
          <t>yes</t>
        </is>
      </c>
      <c r="C1818" s="4" t="inlineStr">
        <is>
          <t>Wohlgemuthweg</t>
        </is>
      </c>
      <c r="D1818" s="4" t="inlineStr">
        <is>
          <t>16</t>
        </is>
      </c>
      <c r="E1818" s="13" t="n">
        <v>99.2</v>
      </c>
      <c r="F1818" s="12" t="n">
        <v>0</v>
      </c>
      <c r="G1818" s="4" t="n">
        <v>1</v>
      </c>
      <c r="H1818" s="4">
        <f>IF(OR(N(F1818)&gt;=0.5,G1818&gt;=4),3,IF(OR(N(F1818)&gt;=0.3,G1818=3),2,IF(OR(N(F1818)&gt;=0.1,G1818&gt;=1),1,0)))</f>
        <v/>
      </c>
      <c r="I1818" s="4">
        <f>CHOOSE(H1818+1,"Kein Risiko","Gering","Mittel","Hoch")</f>
        <v/>
      </c>
    </row>
    <row r="1819">
      <c r="A1819" s="4" t="n">
        <v>1815</v>
      </c>
      <c r="B1819" s="4" t="inlineStr">
        <is>
          <t>apartments</t>
        </is>
      </c>
      <c r="C1819" s="4" t="inlineStr">
        <is>
          <t>Colsmanstraße</t>
        </is>
      </c>
      <c r="D1819" s="4" t="inlineStr">
        <is>
          <t>17</t>
        </is>
      </c>
      <c r="E1819" s="13" t="n">
        <v>190.5</v>
      </c>
      <c r="F1819" s="12" t="n">
        <v>1.319999694824219</v>
      </c>
      <c r="G1819" s="4" t="n">
        <v>1</v>
      </c>
      <c r="H1819" s="4">
        <f>IF(OR(N(F1819)&gt;=0.5,G1819&gt;=4),3,IF(OR(N(F1819)&gt;=0.3,G1819=3),2,IF(OR(N(F1819)&gt;=0.1,G1819&gt;=1),1,0)))</f>
        <v/>
      </c>
      <c r="I1819" s="4">
        <f>CHOOSE(H1819+1,"Kein Risiko","Gering","Mittel","Hoch")</f>
        <v/>
      </c>
    </row>
    <row r="1820">
      <c r="A1820" s="4" t="n">
        <v>1816</v>
      </c>
      <c r="B1820" s="4" t="inlineStr">
        <is>
          <t>yes</t>
        </is>
      </c>
      <c r="C1820" s="4" t="inlineStr">
        <is>
          <t>Gillesweg</t>
        </is>
      </c>
      <c r="D1820" s="4" t="inlineStr">
        <is>
          <t>17</t>
        </is>
      </c>
      <c r="E1820" s="13" t="n">
        <v>64</v>
      </c>
      <c r="F1820" s="12" t="n">
        <v>0</v>
      </c>
      <c r="G1820" s="4" t="n">
        <v>0</v>
      </c>
      <c r="H1820" s="4">
        <f>IF(OR(N(F1820)&gt;=0.5,G1820&gt;=4),3,IF(OR(N(F1820)&gt;=0.3,G1820=3),2,IF(OR(N(F1820)&gt;=0.1,G1820&gt;=1),1,0)))</f>
        <v/>
      </c>
      <c r="I1820" s="4">
        <f>CHOOSE(H1820+1,"Kein Risiko","Gering","Mittel","Hoch")</f>
        <v/>
      </c>
    </row>
    <row r="1821">
      <c r="A1821" s="4" t="n">
        <v>1817</v>
      </c>
      <c r="B1821" s="4" t="inlineStr">
        <is>
          <t>yes</t>
        </is>
      </c>
      <c r="C1821" s="4" t="inlineStr">
        <is>
          <t>Hinsbecker Berg</t>
        </is>
      </c>
      <c r="D1821" s="4" t="inlineStr">
        <is>
          <t>17</t>
        </is>
      </c>
      <c r="E1821" s="13" t="n">
        <v>70.5</v>
      </c>
      <c r="F1821" s="12" t="n">
        <v>0</v>
      </c>
      <c r="G1821" s="4" t="n">
        <v>0</v>
      </c>
      <c r="H1821" s="4">
        <f>IF(OR(N(F1821)&gt;=0.5,G1821&gt;=4),3,IF(OR(N(F1821)&gt;=0.3,G1821=3),2,IF(OR(N(F1821)&gt;=0.1,G1821&gt;=1),1,0)))</f>
        <v/>
      </c>
      <c r="I1821" s="4">
        <f>CHOOSE(H1821+1,"Kein Risiko","Gering","Mittel","Hoch")</f>
        <v/>
      </c>
    </row>
    <row r="1822">
      <c r="A1822" s="4" t="n">
        <v>1818</v>
      </c>
      <c r="B1822" s="4" t="inlineStr">
        <is>
          <t>yes</t>
        </is>
      </c>
      <c r="C1822" s="4" t="inlineStr">
        <is>
          <t>Provesthöhe</t>
        </is>
      </c>
      <c r="D1822" s="4" t="inlineStr">
        <is>
          <t>17</t>
        </is>
      </c>
      <c r="E1822" s="13" t="n">
        <v>214.5</v>
      </c>
      <c r="F1822" s="12" t="n">
        <v>0.0800018310546875</v>
      </c>
      <c r="G1822" s="4" t="n">
        <v>0</v>
      </c>
      <c r="H1822" s="4">
        <f>IF(OR(N(F1822)&gt;=0.5,G1822&gt;=4),3,IF(OR(N(F1822)&gt;=0.3,G1822=3),2,IF(OR(N(F1822)&gt;=0.1,G1822&gt;=1),1,0)))</f>
        <v/>
      </c>
      <c r="I1822" s="4">
        <f>CHOOSE(H1822+1,"Kein Risiko","Gering","Mittel","Hoch")</f>
        <v/>
      </c>
    </row>
    <row r="1823">
      <c r="A1823" s="4" t="n">
        <v>1819</v>
      </c>
      <c r="B1823" s="4" t="inlineStr">
        <is>
          <t>yes</t>
        </is>
      </c>
      <c r="C1823" s="4" t="inlineStr">
        <is>
          <t>Sandstraße</t>
        </is>
      </c>
      <c r="D1823" s="4" t="inlineStr">
        <is>
          <t>17</t>
        </is>
      </c>
      <c r="E1823" s="13" t="n">
        <v>72.7</v>
      </c>
      <c r="F1823" s="12" t="n">
        <v>0</v>
      </c>
      <c r="G1823" s="4" t="n">
        <v>0</v>
      </c>
      <c r="H1823" s="4">
        <f>IF(OR(N(F1823)&gt;=0.5,G1823&gt;=4),3,IF(OR(N(F1823)&gt;=0.3,G1823=3),2,IF(OR(N(F1823)&gt;=0.1,G1823&gt;=1),1,0)))</f>
        <v/>
      </c>
      <c r="I1823" s="4">
        <f>CHOOSE(H1823+1,"Kein Risiko","Gering","Mittel","Hoch")</f>
        <v/>
      </c>
    </row>
    <row r="1824">
      <c r="A1824" s="4" t="n">
        <v>1820</v>
      </c>
      <c r="B1824" s="4" t="inlineStr">
        <is>
          <t>yes</t>
        </is>
      </c>
      <c r="C1824" s="4" t="inlineStr">
        <is>
          <t>Reulsbergweg</t>
        </is>
      </c>
      <c r="D1824" s="4" t="inlineStr">
        <is>
          <t>17b</t>
        </is>
      </c>
      <c r="E1824" s="13" t="n">
        <v>80.90000000000001</v>
      </c>
      <c r="F1824" s="12" t="n">
        <v>0</v>
      </c>
      <c r="G1824" s="4" t="n">
        <v>0</v>
      </c>
      <c r="H1824" s="4">
        <f>IF(OR(N(F1824)&gt;=0.5,G1824&gt;=4),3,IF(OR(N(F1824)&gt;=0.3,G1824=3),2,IF(OR(N(F1824)&gt;=0.1,G1824&gt;=1),1,0)))</f>
        <v/>
      </c>
      <c r="I1824" s="4">
        <f>CHOOSE(H1824+1,"Kein Risiko","Gering","Mittel","Hoch")</f>
        <v/>
      </c>
    </row>
    <row r="1825">
      <c r="A1825" s="4" t="n">
        <v>1821</v>
      </c>
      <c r="B1825" s="4" t="inlineStr">
        <is>
          <t>yes</t>
        </is>
      </c>
      <c r="C1825" s="4" t="inlineStr">
        <is>
          <t>Reulsbergweg</t>
        </is>
      </c>
      <c r="D1825" s="4" t="inlineStr">
        <is>
          <t>17c</t>
        </is>
      </c>
      <c r="E1825" s="13" t="n">
        <v>82.40000000000001</v>
      </c>
      <c r="F1825" s="12" t="n">
        <v>0</v>
      </c>
      <c r="G1825" s="4" t="n">
        <v>0</v>
      </c>
      <c r="H1825" s="4">
        <f>IF(OR(N(F1825)&gt;=0.5,G1825&gt;=4),3,IF(OR(N(F1825)&gt;=0.3,G1825=3),2,IF(OR(N(F1825)&gt;=0.1,G1825&gt;=1),1,0)))</f>
        <v/>
      </c>
      <c r="I1825" s="4">
        <f>CHOOSE(H1825+1,"Kein Risiko","Gering","Mittel","Hoch")</f>
        <v/>
      </c>
    </row>
    <row r="1826">
      <c r="A1826" s="4" t="n">
        <v>1822</v>
      </c>
      <c r="B1826" s="4" t="inlineStr">
        <is>
          <t>yes</t>
        </is>
      </c>
      <c r="C1826" s="4" t="inlineStr">
        <is>
          <t>Reulsbergweg</t>
        </is>
      </c>
      <c r="D1826" s="4" t="inlineStr">
        <is>
          <t>17e</t>
        </is>
      </c>
      <c r="E1826" s="13" t="n">
        <v>62.1</v>
      </c>
      <c r="F1826" s="12" t="n">
        <v>0</v>
      </c>
      <c r="G1826" s="4" t="n">
        <v>0</v>
      </c>
      <c r="H1826" s="4">
        <f>IF(OR(N(F1826)&gt;=0.5,G1826&gt;=4),3,IF(OR(N(F1826)&gt;=0.3,G1826=3),2,IF(OR(N(F1826)&gt;=0.1,G1826&gt;=1),1,0)))</f>
        <v/>
      </c>
      <c r="I1826" s="4">
        <f>CHOOSE(H1826+1,"Kein Risiko","Gering","Mittel","Hoch")</f>
        <v/>
      </c>
    </row>
    <row r="1827">
      <c r="A1827" s="4" t="n">
        <v>1823</v>
      </c>
      <c r="B1827" s="4" t="inlineStr">
        <is>
          <t>semidetached_house</t>
        </is>
      </c>
      <c r="C1827" s="4" t="inlineStr">
        <is>
          <t>Heidenreichberg</t>
        </is>
      </c>
      <c r="D1827" s="4" t="inlineStr">
        <is>
          <t>18</t>
        </is>
      </c>
      <c r="E1827" s="13" t="n">
        <v>71.40000000000001</v>
      </c>
      <c r="F1827" s="12" t="n">
        <v>0</v>
      </c>
      <c r="G1827" s="4" t="n">
        <v>0</v>
      </c>
      <c r="H1827" s="4">
        <f>IF(OR(N(F1827)&gt;=0.5,G1827&gt;=4),3,IF(OR(N(F1827)&gt;=0.3,G1827=3),2,IF(OR(N(F1827)&gt;=0.1,G1827&gt;=1),1,0)))</f>
        <v/>
      </c>
      <c r="I1827" s="4">
        <f>CHOOSE(H1827+1,"Kein Risiko","Gering","Mittel","Hoch")</f>
        <v/>
      </c>
    </row>
    <row r="1828">
      <c r="A1828" s="4" t="n">
        <v>1824</v>
      </c>
      <c r="B1828" s="4" t="inlineStr">
        <is>
          <t>yes</t>
        </is>
      </c>
      <c r="C1828" s="4" t="inlineStr">
        <is>
          <t>Reulsbergweg</t>
        </is>
      </c>
      <c r="D1828" s="4" t="inlineStr">
        <is>
          <t>18</t>
        </is>
      </c>
      <c r="E1828" s="13" t="n">
        <v>70.59999999999999</v>
      </c>
      <c r="F1828" s="12" t="n">
        <v>0</v>
      </c>
      <c r="G1828" s="4" t="n">
        <v>0</v>
      </c>
      <c r="H1828" s="4">
        <f>IF(OR(N(F1828)&gt;=0.5,G1828&gt;=4),3,IF(OR(N(F1828)&gt;=0.3,G1828=3),2,IF(OR(N(F1828)&gt;=0.1,G1828&gt;=1),1,0)))</f>
        <v/>
      </c>
      <c r="I1828" s="4">
        <f>CHOOSE(H1828+1,"Kein Risiko","Gering","Mittel","Hoch")</f>
        <v/>
      </c>
    </row>
    <row r="1829">
      <c r="A1829" s="4" t="n">
        <v>1825</v>
      </c>
      <c r="B1829" s="4" t="inlineStr">
        <is>
          <t>yes</t>
        </is>
      </c>
      <c r="C1829" s="4" t="inlineStr">
        <is>
          <t>Sandstraße</t>
        </is>
      </c>
      <c r="D1829" s="4" t="inlineStr">
        <is>
          <t>18</t>
        </is>
      </c>
      <c r="E1829" s="13" t="n">
        <v>71</v>
      </c>
      <c r="F1829" s="12" t="n">
        <v>0</v>
      </c>
      <c r="G1829" s="4" t="n">
        <v>1</v>
      </c>
      <c r="H1829" s="4">
        <f>IF(OR(N(F1829)&gt;=0.5,G1829&gt;=4),3,IF(OR(N(F1829)&gt;=0.3,G1829=3),2,IF(OR(N(F1829)&gt;=0.1,G1829&gt;=1),1,0)))</f>
        <v/>
      </c>
      <c r="I1829" s="4">
        <f>CHOOSE(H1829+1,"Kein Risiko","Gering","Mittel","Hoch")</f>
        <v/>
      </c>
    </row>
    <row r="1830">
      <c r="A1830" s="4" t="n">
        <v>1826</v>
      </c>
      <c r="B1830" s="4" t="inlineStr">
        <is>
          <t>semidetached_house</t>
        </is>
      </c>
      <c r="C1830" s="4" t="inlineStr">
        <is>
          <t>Zementstraße</t>
        </is>
      </c>
      <c r="D1830" s="4" t="inlineStr">
        <is>
          <t>18</t>
        </is>
      </c>
      <c r="E1830" s="13" t="n">
        <v>70.8</v>
      </c>
      <c r="F1830" s="12" t="n">
        <v>0</v>
      </c>
      <c r="G1830" s="4" t="n">
        <v>0</v>
      </c>
      <c r="H1830" s="4">
        <f>IF(OR(N(F1830)&gt;=0.5,G1830&gt;=4),3,IF(OR(N(F1830)&gt;=0.3,G1830=3),2,IF(OR(N(F1830)&gt;=0.1,G1830&gt;=1),1,0)))</f>
        <v/>
      </c>
      <c r="I1830" s="4">
        <f>CHOOSE(H1830+1,"Kein Risiko","Gering","Mittel","Hoch")</f>
        <v/>
      </c>
    </row>
    <row r="1831">
      <c r="A1831" s="4" t="n">
        <v>1827</v>
      </c>
      <c r="B1831" s="4" t="inlineStr">
        <is>
          <t>yes</t>
        </is>
      </c>
      <c r="C1831" s="4" t="inlineStr">
        <is>
          <t>Bovermanns Kamp</t>
        </is>
      </c>
      <c r="D1831" s="4" t="inlineStr">
        <is>
          <t>18a</t>
        </is>
      </c>
      <c r="E1831" s="13" t="n">
        <v>99.59999999999999</v>
      </c>
      <c r="F1831" s="12" t="n">
        <v>0</v>
      </c>
      <c r="G1831" s="4" t="n">
        <v>0</v>
      </c>
      <c r="H1831" s="4">
        <f>IF(OR(N(F1831)&gt;=0.5,G1831&gt;=4),3,IF(OR(N(F1831)&gt;=0.3,G1831=3),2,IF(OR(N(F1831)&gt;=0.1,G1831&gt;=1),1,0)))</f>
        <v/>
      </c>
      <c r="I1831" s="4">
        <f>CHOOSE(H1831+1,"Kein Risiko","Gering","Mittel","Hoch")</f>
        <v/>
      </c>
    </row>
    <row r="1832">
      <c r="A1832" s="4" t="n">
        <v>1828</v>
      </c>
      <c r="B1832" s="4" t="inlineStr">
        <is>
          <t>semidetached_house</t>
        </is>
      </c>
      <c r="C1832" s="4" t="inlineStr">
        <is>
          <t>Schliepersberg</t>
        </is>
      </c>
      <c r="D1832" s="4" t="inlineStr">
        <is>
          <t>18a</t>
        </is>
      </c>
      <c r="E1832" s="13" t="n">
        <v>75.7</v>
      </c>
      <c r="F1832" s="12" t="n">
        <v>0</v>
      </c>
      <c r="G1832" s="4" t="n">
        <v>0</v>
      </c>
      <c r="H1832" s="4">
        <f>IF(OR(N(F1832)&gt;=0.5,G1832&gt;=4),3,IF(OR(N(F1832)&gt;=0.3,G1832=3),2,IF(OR(N(F1832)&gt;=0.1,G1832&gt;=1),1,0)))</f>
        <v/>
      </c>
      <c r="I1832" s="4">
        <f>CHOOSE(H1832+1,"Kein Risiko","Gering","Mittel","Hoch")</f>
        <v/>
      </c>
    </row>
    <row r="1833">
      <c r="A1833" s="4" t="n">
        <v>1829</v>
      </c>
      <c r="B1833" s="4" t="inlineStr">
        <is>
          <t>semidetached_house</t>
        </is>
      </c>
      <c r="C1833" s="4" t="inlineStr">
        <is>
          <t>Schliepersberg</t>
        </is>
      </c>
      <c r="D1833" s="4" t="inlineStr">
        <is>
          <t>18b</t>
        </is>
      </c>
      <c r="E1833" s="13" t="n">
        <v>75.8</v>
      </c>
      <c r="F1833" s="12" t="n">
        <v>0</v>
      </c>
      <c r="G1833" s="4" t="n">
        <v>0</v>
      </c>
      <c r="H1833" s="4">
        <f>IF(OR(N(F1833)&gt;=0.5,G1833&gt;=4),3,IF(OR(N(F1833)&gt;=0.3,G1833=3),2,IF(OR(N(F1833)&gt;=0.1,G1833&gt;=1),1,0)))</f>
        <v/>
      </c>
      <c r="I1833" s="4">
        <f>CHOOSE(H1833+1,"Kein Risiko","Gering","Mittel","Hoch")</f>
        <v/>
      </c>
    </row>
    <row r="1834">
      <c r="A1834" s="4" t="n">
        <v>1830</v>
      </c>
      <c r="B1834" s="4" t="inlineStr">
        <is>
          <t>yes</t>
        </is>
      </c>
      <c r="C1834" s="4" t="inlineStr">
        <is>
          <t>Gillesweg</t>
        </is>
      </c>
      <c r="D1834" s="4" t="inlineStr">
        <is>
          <t>19</t>
        </is>
      </c>
      <c r="E1834" s="13" t="n">
        <v>64.3</v>
      </c>
      <c r="F1834" s="12" t="n">
        <v>0</v>
      </c>
      <c r="G1834" s="4" t="n">
        <v>0</v>
      </c>
      <c r="H1834" s="4">
        <f>IF(OR(N(F1834)&gt;=0.5,G1834&gt;=4),3,IF(OR(N(F1834)&gt;=0.3,G1834=3),2,IF(OR(N(F1834)&gt;=0.1,G1834&gt;=1),1,0)))</f>
        <v/>
      </c>
      <c r="I1834" s="4">
        <f>CHOOSE(H1834+1,"Kein Risiko","Gering","Mittel","Hoch")</f>
        <v/>
      </c>
    </row>
    <row r="1835">
      <c r="A1835" s="4" t="n">
        <v>1831</v>
      </c>
      <c r="B1835" s="4" t="inlineStr">
        <is>
          <t>yes</t>
        </is>
      </c>
      <c r="C1835" s="4" t="inlineStr">
        <is>
          <t>Hinsbecker Berg</t>
        </is>
      </c>
      <c r="D1835" s="4" t="inlineStr">
        <is>
          <t>19</t>
        </is>
      </c>
      <c r="E1835" s="13" t="n">
        <v>70.3</v>
      </c>
      <c r="F1835" s="12" t="n">
        <v>0</v>
      </c>
      <c r="G1835" s="4" t="n">
        <v>0</v>
      </c>
      <c r="H1835" s="4">
        <f>IF(OR(N(F1835)&gt;=0.5,G1835&gt;=4),3,IF(OR(N(F1835)&gt;=0.3,G1835=3),2,IF(OR(N(F1835)&gt;=0.1,G1835&gt;=1),1,0)))</f>
        <v/>
      </c>
      <c r="I1835" s="4">
        <f>CHOOSE(H1835+1,"Kein Risiko","Gering","Mittel","Hoch")</f>
        <v/>
      </c>
    </row>
    <row r="1836">
      <c r="A1836" s="4" t="n">
        <v>1832</v>
      </c>
      <c r="B1836" s="4" t="inlineStr">
        <is>
          <t>yes</t>
        </is>
      </c>
      <c r="C1836" s="4" t="inlineStr">
        <is>
          <t>Sandstraße</t>
        </is>
      </c>
      <c r="D1836" s="4" t="inlineStr">
        <is>
          <t>19</t>
        </is>
      </c>
      <c r="E1836" s="13" t="n">
        <v>70.8</v>
      </c>
      <c r="F1836" s="12" t="n">
        <v>0</v>
      </c>
      <c r="G1836" s="4" t="n">
        <v>2</v>
      </c>
      <c r="H1836" s="4">
        <f>IF(OR(N(F1836)&gt;=0.5,G1836&gt;=4),3,IF(OR(N(F1836)&gt;=0.3,G1836=3),2,IF(OR(N(F1836)&gt;=0.1,G1836&gt;=1),1,0)))</f>
        <v/>
      </c>
      <c r="I1836" s="4">
        <f>CHOOSE(H1836+1,"Kein Risiko","Gering","Mittel","Hoch")</f>
        <v/>
      </c>
    </row>
    <row r="1837">
      <c r="A1837" s="4" t="n">
        <v>1833</v>
      </c>
      <c r="B1837" s="4" t="inlineStr">
        <is>
          <t>yes</t>
        </is>
      </c>
      <c r="C1837" s="4" t="inlineStr">
        <is>
          <t>Gillesweg</t>
        </is>
      </c>
      <c r="D1837" s="4" t="inlineStr">
        <is>
          <t>2</t>
        </is>
      </c>
      <c r="E1837" s="13" t="n">
        <v>104.5</v>
      </c>
      <c r="F1837" s="12" t="n">
        <v>0.0200042724609375</v>
      </c>
      <c r="G1837" s="4" t="n">
        <v>0</v>
      </c>
      <c r="H1837" s="4">
        <f>IF(OR(N(F1837)&gt;=0.5,G1837&gt;=4),3,IF(OR(N(F1837)&gt;=0.3,G1837=3),2,IF(OR(N(F1837)&gt;=0.1,G1837&gt;=1),1,0)))</f>
        <v/>
      </c>
      <c r="I1837" s="4">
        <f>CHOOSE(H1837+1,"Kein Risiko","Gering","Mittel","Hoch")</f>
        <v/>
      </c>
    </row>
    <row r="1838">
      <c r="A1838" s="4" t="n">
        <v>1834</v>
      </c>
      <c r="B1838" s="4" t="inlineStr">
        <is>
          <t>yes</t>
        </is>
      </c>
      <c r="C1838" s="4" t="inlineStr">
        <is>
          <t>Provesthöhe</t>
        </is>
      </c>
      <c r="D1838" s="4" t="inlineStr">
        <is>
          <t>2</t>
        </is>
      </c>
      <c r="E1838" s="13" t="n">
        <v>140.8</v>
      </c>
      <c r="F1838" s="12" t="n">
        <v>0.01000213623046875</v>
      </c>
      <c r="G1838" s="4" t="n">
        <v>2</v>
      </c>
      <c r="H1838" s="4">
        <f>IF(OR(N(F1838)&gt;=0.5,G1838&gt;=4),3,IF(OR(N(F1838)&gt;=0.3,G1838=3),2,IF(OR(N(F1838)&gt;=0.1,G1838&gt;=1),1,0)))</f>
        <v/>
      </c>
      <c r="I1838" s="4">
        <f>CHOOSE(H1838+1,"Kein Risiko","Gering","Mittel","Hoch")</f>
        <v/>
      </c>
    </row>
    <row r="1839">
      <c r="A1839" s="4" t="n">
        <v>1835</v>
      </c>
      <c r="B1839" s="4" t="inlineStr">
        <is>
          <t>yes</t>
        </is>
      </c>
      <c r="C1839" s="4" t="inlineStr">
        <is>
          <t>Bovermanns Kamp</t>
        </is>
      </c>
      <c r="D1839" s="4" t="inlineStr">
        <is>
          <t>20</t>
        </is>
      </c>
      <c r="E1839" s="13" t="n">
        <v>113.5</v>
      </c>
      <c r="F1839" s="12" t="n">
        <v>0</v>
      </c>
      <c r="G1839" s="4" t="n">
        <v>1</v>
      </c>
      <c r="H1839" s="4">
        <f>IF(OR(N(F1839)&gt;=0.5,G1839&gt;=4),3,IF(OR(N(F1839)&gt;=0.3,G1839=3),2,IF(OR(N(F1839)&gt;=0.1,G1839&gt;=1),1,0)))</f>
        <v/>
      </c>
      <c r="I1839" s="4">
        <f>CHOOSE(H1839+1,"Kein Risiko","Gering","Mittel","Hoch")</f>
        <v/>
      </c>
    </row>
    <row r="1840">
      <c r="A1840" s="4" t="n">
        <v>1836</v>
      </c>
      <c r="B1840" s="4" t="inlineStr">
        <is>
          <t>apartments</t>
        </is>
      </c>
      <c r="C1840" s="4" t="inlineStr">
        <is>
          <t>Dixbäume</t>
        </is>
      </c>
      <c r="D1840" s="4" t="inlineStr">
        <is>
          <t>20</t>
        </is>
      </c>
      <c r="E1840" s="13" t="n">
        <v>170.3</v>
      </c>
      <c r="F1840" s="12" t="n">
        <v>0.100006103515625</v>
      </c>
      <c r="G1840" s="4" t="n">
        <v>0</v>
      </c>
      <c r="H1840" s="4">
        <f>IF(OR(N(F1840)&gt;=0.5,G1840&gt;=4),3,IF(OR(N(F1840)&gt;=0.3,G1840=3),2,IF(OR(N(F1840)&gt;=0.1,G1840&gt;=1),1,0)))</f>
        <v/>
      </c>
      <c r="I1840" s="4">
        <f>CHOOSE(H1840+1,"Kein Risiko","Gering","Mittel","Hoch")</f>
        <v/>
      </c>
    </row>
    <row r="1841">
      <c r="A1841" s="4" t="n">
        <v>1837</v>
      </c>
      <c r="B1841" s="4" t="inlineStr">
        <is>
          <t>semidetached_house</t>
        </is>
      </c>
      <c r="C1841" s="4" t="inlineStr">
        <is>
          <t>Heidenreichberg</t>
        </is>
      </c>
      <c r="D1841" s="4" t="inlineStr">
        <is>
          <t>20</t>
        </is>
      </c>
      <c r="E1841" s="13" t="n">
        <v>72.3</v>
      </c>
      <c r="F1841" s="12" t="n">
        <v>0</v>
      </c>
      <c r="G1841" s="4" t="n">
        <v>0</v>
      </c>
      <c r="H1841" s="4">
        <f>IF(OR(N(F1841)&gt;=0.5,G1841&gt;=4),3,IF(OR(N(F1841)&gt;=0.3,G1841=3),2,IF(OR(N(F1841)&gt;=0.1,G1841&gt;=1),1,0)))</f>
        <v/>
      </c>
      <c r="I1841" s="4">
        <f>CHOOSE(H1841+1,"Kein Risiko","Gering","Mittel","Hoch")</f>
        <v/>
      </c>
    </row>
    <row r="1842">
      <c r="A1842" s="4" t="n">
        <v>1838</v>
      </c>
      <c r="B1842" s="4" t="inlineStr">
        <is>
          <t>yes</t>
        </is>
      </c>
      <c r="C1842" s="4" t="inlineStr">
        <is>
          <t>Sandstraße</t>
        </is>
      </c>
      <c r="D1842" s="4" t="inlineStr">
        <is>
          <t>20</t>
        </is>
      </c>
      <c r="E1842" s="13" t="n">
        <v>71.09999999999999</v>
      </c>
      <c r="F1842" s="12" t="n">
        <v>0</v>
      </c>
      <c r="G1842" s="4" t="n">
        <v>0</v>
      </c>
      <c r="H1842" s="4">
        <f>IF(OR(N(F1842)&gt;=0.5,G1842&gt;=4),3,IF(OR(N(F1842)&gt;=0.3,G1842=3),2,IF(OR(N(F1842)&gt;=0.1,G1842&gt;=1),1,0)))</f>
        <v/>
      </c>
      <c r="I1842" s="4">
        <f>CHOOSE(H1842+1,"Kein Risiko","Gering","Mittel","Hoch")</f>
        <v/>
      </c>
    </row>
    <row r="1843">
      <c r="A1843" s="4" t="n">
        <v>1839</v>
      </c>
      <c r="B1843" s="4" t="inlineStr">
        <is>
          <t>semidetached_house</t>
        </is>
      </c>
      <c r="C1843" s="4" t="inlineStr">
        <is>
          <t>Zementstraße</t>
        </is>
      </c>
      <c r="D1843" s="4" t="inlineStr">
        <is>
          <t>20</t>
        </is>
      </c>
      <c r="E1843" s="13" t="n">
        <v>68.5</v>
      </c>
      <c r="F1843" s="12" t="n">
        <v>0</v>
      </c>
      <c r="G1843" s="4" t="n">
        <v>1</v>
      </c>
      <c r="H1843" s="4">
        <f>IF(OR(N(F1843)&gt;=0.5,G1843&gt;=4),3,IF(OR(N(F1843)&gt;=0.3,G1843=3),2,IF(OR(N(F1843)&gt;=0.1,G1843&gt;=1),1,0)))</f>
        <v/>
      </c>
      <c r="I1843" s="4">
        <f>CHOOSE(H1843+1,"Kein Risiko","Gering","Mittel","Hoch")</f>
        <v/>
      </c>
    </row>
    <row r="1844">
      <c r="A1844" s="4" t="n">
        <v>1840</v>
      </c>
      <c r="B1844" s="4" t="inlineStr">
        <is>
          <t>semidetached_house</t>
        </is>
      </c>
      <c r="C1844" s="4" t="inlineStr">
        <is>
          <t>Schliepersberg</t>
        </is>
      </c>
      <c r="D1844" s="4" t="inlineStr">
        <is>
          <t>20a</t>
        </is>
      </c>
      <c r="E1844" s="13" t="n">
        <v>79.09999999999999</v>
      </c>
      <c r="F1844" s="12" t="n">
        <v>0</v>
      </c>
      <c r="G1844" s="4" t="n">
        <v>0</v>
      </c>
      <c r="H1844" s="4">
        <f>IF(OR(N(F1844)&gt;=0.5,G1844&gt;=4),3,IF(OR(N(F1844)&gt;=0.3,G1844=3),2,IF(OR(N(F1844)&gt;=0.1,G1844&gt;=1),1,0)))</f>
        <v/>
      </c>
      <c r="I1844" s="4">
        <f>CHOOSE(H1844+1,"Kein Risiko","Gering","Mittel","Hoch")</f>
        <v/>
      </c>
    </row>
    <row r="1845">
      <c r="A1845" s="4" t="n">
        <v>1841</v>
      </c>
      <c r="B1845" s="4" t="inlineStr">
        <is>
          <t>semidetached_house</t>
        </is>
      </c>
      <c r="C1845" s="4" t="inlineStr">
        <is>
          <t>Schliepersberg</t>
        </is>
      </c>
      <c r="D1845" s="4" t="inlineStr">
        <is>
          <t>20b</t>
        </is>
      </c>
      <c r="E1845" s="13" t="n">
        <v>79.2</v>
      </c>
      <c r="F1845" s="12" t="n">
        <v>0</v>
      </c>
      <c r="G1845" s="4" t="n">
        <v>0</v>
      </c>
      <c r="H1845" s="4">
        <f>IF(OR(N(F1845)&gt;=0.5,G1845&gt;=4),3,IF(OR(N(F1845)&gt;=0.3,G1845=3),2,IF(OR(N(F1845)&gt;=0.1,G1845&gt;=1),1,0)))</f>
        <v/>
      </c>
      <c r="I1845" s="4">
        <f>CHOOSE(H1845+1,"Kein Risiko","Gering","Mittel","Hoch")</f>
        <v/>
      </c>
    </row>
    <row r="1846">
      <c r="A1846" s="4" t="n">
        <v>1842</v>
      </c>
      <c r="B1846" s="4" t="inlineStr">
        <is>
          <t>yes</t>
        </is>
      </c>
      <c r="C1846" s="4" t="inlineStr">
        <is>
          <t>Gillesweg</t>
        </is>
      </c>
      <c r="D1846" s="4" t="inlineStr">
        <is>
          <t>21</t>
        </is>
      </c>
      <c r="E1846" s="13" t="n">
        <v>65.59999999999999</v>
      </c>
      <c r="F1846" s="12" t="n">
        <v>0</v>
      </c>
      <c r="G1846" s="4" t="n">
        <v>0</v>
      </c>
      <c r="H1846" s="4">
        <f>IF(OR(N(F1846)&gt;=0.5,G1846&gt;=4),3,IF(OR(N(F1846)&gt;=0.3,G1846=3),2,IF(OR(N(F1846)&gt;=0.1,G1846&gt;=1),1,0)))</f>
        <v/>
      </c>
      <c r="I1846" s="4">
        <f>CHOOSE(H1846+1,"Kein Risiko","Gering","Mittel","Hoch")</f>
        <v/>
      </c>
    </row>
    <row r="1847">
      <c r="A1847" s="4" t="n">
        <v>1843</v>
      </c>
      <c r="B1847" s="4" t="inlineStr">
        <is>
          <t>yes</t>
        </is>
      </c>
      <c r="C1847" s="4" t="inlineStr">
        <is>
          <t>Hinsbecker Berg</t>
        </is>
      </c>
      <c r="D1847" s="4" t="inlineStr">
        <is>
          <t>21</t>
        </is>
      </c>
      <c r="E1847" s="13" t="n">
        <v>67.2</v>
      </c>
      <c r="F1847" s="12" t="n">
        <v>0</v>
      </c>
      <c r="G1847" s="4" t="n">
        <v>0</v>
      </c>
      <c r="H1847" s="4">
        <f>IF(OR(N(F1847)&gt;=0.5,G1847&gt;=4),3,IF(OR(N(F1847)&gt;=0.3,G1847=3),2,IF(OR(N(F1847)&gt;=0.1,G1847&gt;=1),1,0)))</f>
        <v/>
      </c>
      <c r="I1847" s="4">
        <f>CHOOSE(H1847+1,"Kein Risiko","Gering","Mittel","Hoch")</f>
        <v/>
      </c>
    </row>
    <row r="1848">
      <c r="A1848" s="4" t="n">
        <v>1844</v>
      </c>
      <c r="B1848" s="4" t="inlineStr">
        <is>
          <t>yes</t>
        </is>
      </c>
      <c r="C1848" s="4" t="inlineStr">
        <is>
          <t>Reulsbergweg</t>
        </is>
      </c>
      <c r="D1848" s="4" t="inlineStr">
        <is>
          <t>21</t>
        </is>
      </c>
      <c r="E1848" s="13" t="n">
        <v>81.3</v>
      </c>
      <c r="F1848" s="12" t="n">
        <v>0</v>
      </c>
      <c r="G1848" s="4" t="n">
        <v>0</v>
      </c>
      <c r="H1848" s="4">
        <f>IF(OR(N(F1848)&gt;=0.5,G1848&gt;=4),3,IF(OR(N(F1848)&gt;=0.3,G1848=3),2,IF(OR(N(F1848)&gt;=0.1,G1848&gt;=1),1,0)))</f>
        <v/>
      </c>
      <c r="I1848" s="4">
        <f>CHOOSE(H1848+1,"Kein Risiko","Gering","Mittel","Hoch")</f>
        <v/>
      </c>
    </row>
    <row r="1849">
      <c r="A1849" s="4" t="n">
        <v>1845</v>
      </c>
      <c r="B1849" s="4" t="inlineStr">
        <is>
          <t>yes</t>
        </is>
      </c>
      <c r="C1849" s="4" t="inlineStr">
        <is>
          <t>Sandstraße</t>
        </is>
      </c>
      <c r="D1849" s="4" t="inlineStr">
        <is>
          <t>21</t>
        </is>
      </c>
      <c r="E1849" s="13" t="n">
        <v>71.3</v>
      </c>
      <c r="F1849" s="12" t="n">
        <v>0</v>
      </c>
      <c r="G1849" s="4" t="n">
        <v>2</v>
      </c>
      <c r="H1849" s="4">
        <f>IF(OR(N(F1849)&gt;=0.5,G1849&gt;=4),3,IF(OR(N(F1849)&gt;=0.3,G1849=3),2,IF(OR(N(F1849)&gt;=0.1,G1849&gt;=1),1,0)))</f>
        <v/>
      </c>
      <c r="I1849" s="4">
        <f>CHOOSE(H1849+1,"Kein Risiko","Gering","Mittel","Hoch")</f>
        <v/>
      </c>
    </row>
    <row r="1850">
      <c r="A1850" s="4" t="n">
        <v>1846</v>
      </c>
      <c r="B1850" s="4" t="inlineStr">
        <is>
          <t>semidetached_house</t>
        </is>
      </c>
      <c r="C1850" s="4" t="inlineStr">
        <is>
          <t>Heidenreichberg</t>
        </is>
      </c>
      <c r="D1850" s="4" t="inlineStr">
        <is>
          <t>22</t>
        </is>
      </c>
      <c r="E1850" s="13" t="n">
        <v>72.40000000000001</v>
      </c>
      <c r="F1850" s="12" t="n">
        <v>0.03000640869140625</v>
      </c>
      <c r="G1850" s="4" t="n">
        <v>0</v>
      </c>
      <c r="H1850" s="4">
        <f>IF(OR(N(F1850)&gt;=0.5,G1850&gt;=4),3,IF(OR(N(F1850)&gt;=0.3,G1850=3),2,IF(OR(N(F1850)&gt;=0.1,G1850&gt;=1),1,0)))</f>
        <v/>
      </c>
      <c r="I1850" s="4">
        <f>CHOOSE(H1850+1,"Kein Risiko","Gering","Mittel","Hoch")</f>
        <v/>
      </c>
    </row>
    <row r="1851">
      <c r="A1851" s="4" t="n">
        <v>1847</v>
      </c>
      <c r="B1851" s="4" t="inlineStr">
        <is>
          <t>yes</t>
        </is>
      </c>
      <c r="C1851" s="4" t="inlineStr">
        <is>
          <t>Sandstraße</t>
        </is>
      </c>
      <c r="D1851" s="4" t="inlineStr">
        <is>
          <t>22</t>
        </is>
      </c>
      <c r="E1851" s="13" t="n">
        <v>91.3</v>
      </c>
      <c r="F1851" s="12" t="n">
        <v>0</v>
      </c>
      <c r="G1851" s="4" t="n">
        <v>0</v>
      </c>
      <c r="H1851" s="4">
        <f>IF(OR(N(F1851)&gt;=0.5,G1851&gt;=4),3,IF(OR(N(F1851)&gt;=0.3,G1851=3),2,IF(OR(N(F1851)&gt;=0.1,G1851&gt;=1),1,0)))</f>
        <v/>
      </c>
      <c r="I1851" s="4">
        <f>CHOOSE(H1851+1,"Kein Risiko","Gering","Mittel","Hoch")</f>
        <v/>
      </c>
    </row>
    <row r="1852">
      <c r="A1852" s="4" t="n">
        <v>1848</v>
      </c>
      <c r="B1852" s="4" t="inlineStr">
        <is>
          <t>apartments</t>
        </is>
      </c>
      <c r="C1852" s="4" t="inlineStr"/>
      <c r="D1852" s="4" t="inlineStr"/>
      <c r="E1852" s="13" t="n">
        <v>260.6</v>
      </c>
      <c r="F1852" s="12" t="n">
        <v>0</v>
      </c>
      <c r="G1852" s="4" t="n">
        <v>0</v>
      </c>
      <c r="H1852" s="4">
        <f>IF(OR(N(F1852)&gt;=0.5,G1852&gt;=4),3,IF(OR(N(F1852)&gt;=0.3,G1852=3),2,IF(OR(N(F1852)&gt;=0.1,G1852&gt;=1),1,0)))</f>
        <v/>
      </c>
      <c r="I1852" s="4">
        <f>CHOOSE(H1852+1,"Kein Risiko","Gering","Mittel","Hoch")</f>
        <v/>
      </c>
    </row>
    <row r="1853">
      <c r="A1853" s="4" t="n">
        <v>1849</v>
      </c>
      <c r="B1853" s="4" t="inlineStr">
        <is>
          <t>semidetached_house</t>
        </is>
      </c>
      <c r="C1853" s="4" t="inlineStr">
        <is>
          <t>Schliepersberg</t>
        </is>
      </c>
      <c r="D1853" s="4" t="inlineStr">
        <is>
          <t>22a</t>
        </is>
      </c>
      <c r="E1853" s="13" t="n">
        <v>64.2</v>
      </c>
      <c r="F1853" s="12" t="n">
        <v>0.100006103515625</v>
      </c>
      <c r="G1853" s="4" t="n">
        <v>0</v>
      </c>
      <c r="H1853" s="4">
        <f>IF(OR(N(F1853)&gt;=0.5,G1853&gt;=4),3,IF(OR(N(F1853)&gt;=0.3,G1853=3),2,IF(OR(N(F1853)&gt;=0.1,G1853&gt;=1),1,0)))</f>
        <v/>
      </c>
      <c r="I1853" s="4">
        <f>CHOOSE(H1853+1,"Kein Risiko","Gering","Mittel","Hoch")</f>
        <v/>
      </c>
    </row>
    <row r="1854">
      <c r="A1854" s="4" t="n">
        <v>1850</v>
      </c>
      <c r="B1854" s="4" t="inlineStr">
        <is>
          <t>semidetached_house</t>
        </is>
      </c>
      <c r="C1854" s="4" t="inlineStr">
        <is>
          <t>Schliepersberg</t>
        </is>
      </c>
      <c r="D1854" s="4" t="inlineStr">
        <is>
          <t>22b</t>
        </is>
      </c>
      <c r="E1854" s="13" t="n">
        <v>64.2</v>
      </c>
      <c r="F1854" s="12" t="n">
        <v>0.089996337890625</v>
      </c>
      <c r="G1854" s="4" t="n">
        <v>0</v>
      </c>
      <c r="H1854" s="4">
        <f>IF(OR(N(F1854)&gt;=0.5,G1854&gt;=4),3,IF(OR(N(F1854)&gt;=0.3,G1854=3),2,IF(OR(N(F1854)&gt;=0.1,G1854&gt;=1),1,0)))</f>
        <v/>
      </c>
      <c r="I1854" s="4">
        <f>CHOOSE(H1854+1,"Kein Risiko","Gering","Mittel","Hoch")</f>
        <v/>
      </c>
    </row>
    <row r="1855">
      <c r="A1855" s="4" t="n">
        <v>1851</v>
      </c>
      <c r="B1855" s="4" t="inlineStr">
        <is>
          <t>semidetached_house</t>
        </is>
      </c>
      <c r="C1855" s="4" t="inlineStr">
        <is>
          <t>Benderstraße</t>
        </is>
      </c>
      <c r="D1855" s="4" t="inlineStr">
        <is>
          <t>23</t>
        </is>
      </c>
      <c r="E1855" s="13" t="n">
        <v>73.3</v>
      </c>
      <c r="F1855" s="12" t="n">
        <v>0.279998779296875</v>
      </c>
      <c r="G1855" s="4" t="n">
        <v>0</v>
      </c>
      <c r="H1855" s="4">
        <f>IF(OR(N(F1855)&gt;=0.5,G1855&gt;=4),3,IF(OR(N(F1855)&gt;=0.3,G1855=3),2,IF(OR(N(F1855)&gt;=0.1,G1855&gt;=1),1,0)))</f>
        <v/>
      </c>
      <c r="I1855" s="4">
        <f>CHOOSE(H1855+1,"Kein Risiko","Gering","Mittel","Hoch")</f>
        <v/>
      </c>
    </row>
    <row r="1856">
      <c r="A1856" s="4" t="n">
        <v>1852</v>
      </c>
      <c r="B1856" s="4" t="inlineStr">
        <is>
          <t>yes</t>
        </is>
      </c>
      <c r="C1856" s="4" t="inlineStr">
        <is>
          <t>Gillesweg</t>
        </is>
      </c>
      <c r="D1856" s="4" t="inlineStr">
        <is>
          <t>23</t>
        </is>
      </c>
      <c r="E1856" s="13" t="n">
        <v>67.7</v>
      </c>
      <c r="F1856" s="12" t="n">
        <v>0</v>
      </c>
      <c r="G1856" s="4" t="n">
        <v>0</v>
      </c>
      <c r="H1856" s="4">
        <f>IF(OR(N(F1856)&gt;=0.5,G1856&gt;=4),3,IF(OR(N(F1856)&gt;=0.3,G1856=3),2,IF(OR(N(F1856)&gt;=0.1,G1856&gt;=1),1,0)))</f>
        <v/>
      </c>
      <c r="I1856" s="4">
        <f>CHOOSE(H1856+1,"Kein Risiko","Gering","Mittel","Hoch")</f>
        <v/>
      </c>
    </row>
    <row r="1857">
      <c r="A1857" s="4" t="n">
        <v>1853</v>
      </c>
      <c r="B1857" s="4" t="inlineStr">
        <is>
          <t>yes</t>
        </is>
      </c>
      <c r="C1857" s="4" t="inlineStr">
        <is>
          <t>Sandstraße</t>
        </is>
      </c>
      <c r="D1857" s="4" t="inlineStr">
        <is>
          <t>23</t>
        </is>
      </c>
      <c r="E1857" s="13" t="n">
        <v>70.59999999999999</v>
      </c>
      <c r="F1857" s="12" t="n">
        <v>0</v>
      </c>
      <c r="G1857" s="4" t="n">
        <v>2</v>
      </c>
      <c r="H1857" s="4">
        <f>IF(OR(N(F1857)&gt;=0.5,G1857&gt;=4),3,IF(OR(N(F1857)&gt;=0.3,G1857=3),2,IF(OR(N(F1857)&gt;=0.1,G1857&gt;=1),1,0)))</f>
        <v/>
      </c>
      <c r="I1857" s="4">
        <f>CHOOSE(H1857+1,"Kein Risiko","Gering","Mittel","Hoch")</f>
        <v/>
      </c>
    </row>
    <row r="1858">
      <c r="A1858" s="4" t="n">
        <v>1854</v>
      </c>
      <c r="B1858" s="4" t="inlineStr">
        <is>
          <t>semidetached_house</t>
        </is>
      </c>
      <c r="C1858" s="4" t="inlineStr">
        <is>
          <t>Heidenreichberg</t>
        </is>
      </c>
      <c r="D1858" s="4" t="inlineStr">
        <is>
          <t>24</t>
        </is>
      </c>
      <c r="E1858" s="13" t="n">
        <v>74.09999999999999</v>
      </c>
      <c r="F1858" s="12" t="n">
        <v>0</v>
      </c>
      <c r="G1858" s="4" t="n">
        <v>0</v>
      </c>
      <c r="H1858" s="4">
        <f>IF(OR(N(F1858)&gt;=0.5,G1858&gt;=4),3,IF(OR(N(F1858)&gt;=0.3,G1858=3),2,IF(OR(N(F1858)&gt;=0.1,G1858&gt;=1),1,0)))</f>
        <v/>
      </c>
      <c r="I1858" s="4">
        <f>CHOOSE(H1858+1,"Kein Risiko","Gering","Mittel","Hoch")</f>
        <v/>
      </c>
    </row>
    <row r="1859">
      <c r="A1859" s="4" t="n">
        <v>1855</v>
      </c>
      <c r="B1859" s="4" t="inlineStr">
        <is>
          <t>yes</t>
        </is>
      </c>
      <c r="C1859" s="4" t="inlineStr">
        <is>
          <t>Provesthöhe</t>
        </is>
      </c>
      <c r="D1859" s="4" t="inlineStr">
        <is>
          <t>24</t>
        </is>
      </c>
      <c r="E1859" s="13" t="n">
        <v>90</v>
      </c>
      <c r="F1859" s="12" t="n">
        <v>0</v>
      </c>
      <c r="G1859" s="4" t="n">
        <v>0</v>
      </c>
      <c r="H1859" s="4">
        <f>IF(OR(N(F1859)&gt;=0.5,G1859&gt;=4),3,IF(OR(N(F1859)&gt;=0.3,G1859=3),2,IF(OR(N(F1859)&gt;=0.1,G1859&gt;=1),1,0)))</f>
        <v/>
      </c>
      <c r="I1859" s="4">
        <f>CHOOSE(H1859+1,"Kein Risiko","Gering","Mittel","Hoch")</f>
        <v/>
      </c>
    </row>
    <row r="1860">
      <c r="A1860" s="4" t="n">
        <v>1856</v>
      </c>
      <c r="B1860" s="4" t="inlineStr">
        <is>
          <t>yes</t>
        </is>
      </c>
      <c r="C1860" s="4" t="inlineStr">
        <is>
          <t>Sandstraße</t>
        </is>
      </c>
      <c r="D1860" s="4" t="inlineStr">
        <is>
          <t>24</t>
        </is>
      </c>
      <c r="E1860" s="13" t="n">
        <v>91.40000000000001</v>
      </c>
      <c r="F1860" s="12" t="n">
        <v>0</v>
      </c>
      <c r="G1860" s="4" t="n">
        <v>0</v>
      </c>
      <c r="H1860" s="4">
        <f>IF(OR(N(F1860)&gt;=0.5,G1860&gt;=4),3,IF(OR(N(F1860)&gt;=0.3,G1860=3),2,IF(OR(N(F1860)&gt;=0.1,G1860&gt;=1),1,0)))</f>
        <v/>
      </c>
      <c r="I1860" s="4">
        <f>CHOOSE(H1860+1,"Kein Risiko","Gering","Mittel","Hoch")</f>
        <v/>
      </c>
    </row>
    <row r="1861">
      <c r="A1861" s="4" t="n">
        <v>1857</v>
      </c>
      <c r="B1861" s="4" t="inlineStr">
        <is>
          <t>yes</t>
        </is>
      </c>
      <c r="C1861" s="4" t="inlineStr">
        <is>
          <t>Provesthöhe</t>
        </is>
      </c>
      <c r="D1861" s="4" t="inlineStr">
        <is>
          <t>24a</t>
        </is>
      </c>
      <c r="E1861" s="13" t="n">
        <v>90.09999999999999</v>
      </c>
      <c r="F1861" s="12" t="n">
        <v>0</v>
      </c>
      <c r="G1861" s="4" t="n">
        <v>0</v>
      </c>
      <c r="H1861" s="4">
        <f>IF(OR(N(F1861)&gt;=0.5,G1861&gt;=4),3,IF(OR(N(F1861)&gt;=0.3,G1861=3),2,IF(OR(N(F1861)&gt;=0.1,G1861&gt;=1),1,0)))</f>
        <v/>
      </c>
      <c r="I1861" s="4">
        <f>CHOOSE(H1861+1,"Kein Risiko","Gering","Mittel","Hoch")</f>
        <v/>
      </c>
    </row>
    <row r="1862">
      <c r="A1862" s="4" t="n">
        <v>1858</v>
      </c>
      <c r="B1862" s="4" t="inlineStr">
        <is>
          <t>semidetached_house</t>
        </is>
      </c>
      <c r="C1862" s="4" t="inlineStr">
        <is>
          <t>Benderstraße</t>
        </is>
      </c>
      <c r="D1862" s="4" t="inlineStr">
        <is>
          <t>25</t>
        </is>
      </c>
      <c r="E1862" s="13" t="n">
        <v>73.3</v>
      </c>
      <c r="F1862" s="12" t="n">
        <v>0</v>
      </c>
      <c r="G1862" s="4" t="n">
        <v>0</v>
      </c>
      <c r="H1862" s="4">
        <f>IF(OR(N(F1862)&gt;=0.5,G1862&gt;=4),3,IF(OR(N(F1862)&gt;=0.3,G1862=3),2,IF(OR(N(F1862)&gt;=0.1,G1862&gt;=1),1,0)))</f>
        <v/>
      </c>
      <c r="I1862" s="4">
        <f>CHOOSE(H1862+1,"Kein Risiko","Gering","Mittel","Hoch")</f>
        <v/>
      </c>
    </row>
    <row r="1863">
      <c r="A1863" s="4" t="n">
        <v>1859</v>
      </c>
      <c r="B1863" s="4" t="inlineStr">
        <is>
          <t>yes</t>
        </is>
      </c>
      <c r="C1863" s="4" t="inlineStr">
        <is>
          <t>Sandstraße</t>
        </is>
      </c>
      <c r="D1863" s="4" t="inlineStr">
        <is>
          <t>25</t>
        </is>
      </c>
      <c r="E1863" s="13" t="n">
        <v>71</v>
      </c>
      <c r="F1863" s="12" t="n">
        <v>0</v>
      </c>
      <c r="G1863" s="4" t="n">
        <v>2</v>
      </c>
      <c r="H1863" s="4">
        <f>IF(OR(N(F1863)&gt;=0.5,G1863&gt;=4),3,IF(OR(N(F1863)&gt;=0.3,G1863=3),2,IF(OR(N(F1863)&gt;=0.1,G1863&gt;=1),1,0)))</f>
        <v/>
      </c>
      <c r="I1863" s="4">
        <f>CHOOSE(H1863+1,"Kein Risiko","Gering","Mittel","Hoch")</f>
        <v/>
      </c>
    </row>
    <row r="1864">
      <c r="A1864" s="4" t="n">
        <v>1860</v>
      </c>
      <c r="B1864" s="4" t="inlineStr">
        <is>
          <t>yes</t>
        </is>
      </c>
      <c r="C1864" s="4" t="inlineStr">
        <is>
          <t>Bovermanns Kamp</t>
        </is>
      </c>
      <c r="D1864" s="4" t="inlineStr">
        <is>
          <t>26</t>
        </is>
      </c>
      <c r="E1864" s="13" t="n">
        <v>107.9</v>
      </c>
      <c r="F1864" s="12" t="n">
        <v>0</v>
      </c>
      <c r="G1864" s="4" t="n">
        <v>0</v>
      </c>
      <c r="H1864" s="4">
        <f>IF(OR(N(F1864)&gt;=0.5,G1864&gt;=4),3,IF(OR(N(F1864)&gt;=0.3,G1864=3),2,IF(OR(N(F1864)&gt;=0.1,G1864&gt;=1),1,0)))</f>
        <v/>
      </c>
      <c r="I1864" s="4">
        <f>CHOOSE(H1864+1,"Kein Risiko","Gering","Mittel","Hoch")</f>
        <v/>
      </c>
    </row>
    <row r="1865">
      <c r="A1865" s="4" t="n">
        <v>1861</v>
      </c>
      <c r="B1865" s="4" t="inlineStr">
        <is>
          <t>semidetached_house</t>
        </is>
      </c>
      <c r="C1865" s="4" t="inlineStr">
        <is>
          <t>Heidenreichberg</t>
        </is>
      </c>
      <c r="D1865" s="4" t="inlineStr">
        <is>
          <t>26</t>
        </is>
      </c>
      <c r="E1865" s="13" t="n">
        <v>74.09999999999999</v>
      </c>
      <c r="F1865" s="12" t="n">
        <v>0</v>
      </c>
      <c r="G1865" s="4" t="n">
        <v>0</v>
      </c>
      <c r="H1865" s="4">
        <f>IF(OR(N(F1865)&gt;=0.5,G1865&gt;=4),3,IF(OR(N(F1865)&gt;=0.3,G1865=3),2,IF(OR(N(F1865)&gt;=0.1,G1865&gt;=1),1,0)))</f>
        <v/>
      </c>
      <c r="I1865" s="4">
        <f>CHOOSE(H1865+1,"Kein Risiko","Gering","Mittel","Hoch")</f>
        <v/>
      </c>
    </row>
    <row r="1866">
      <c r="A1866" s="4" t="n">
        <v>1862</v>
      </c>
      <c r="B1866" s="4" t="inlineStr">
        <is>
          <t>yes</t>
        </is>
      </c>
      <c r="C1866" s="4" t="inlineStr">
        <is>
          <t>Provesthöhe</t>
        </is>
      </c>
      <c r="D1866" s="4" t="inlineStr">
        <is>
          <t>26</t>
        </is>
      </c>
      <c r="E1866" s="13" t="n">
        <v>90.09999999999999</v>
      </c>
      <c r="F1866" s="12" t="n">
        <v>0</v>
      </c>
      <c r="G1866" s="4" t="n">
        <v>0</v>
      </c>
      <c r="H1866" s="4">
        <f>IF(OR(N(F1866)&gt;=0.5,G1866&gt;=4),3,IF(OR(N(F1866)&gt;=0.3,G1866=3),2,IF(OR(N(F1866)&gt;=0.1,G1866&gt;=1),1,0)))</f>
        <v/>
      </c>
      <c r="I1866" s="4">
        <f>CHOOSE(H1866+1,"Kein Risiko","Gering","Mittel","Hoch")</f>
        <v/>
      </c>
    </row>
    <row r="1867">
      <c r="A1867" s="4" t="n">
        <v>1863</v>
      </c>
      <c r="B1867" s="4" t="inlineStr">
        <is>
          <t>yes</t>
        </is>
      </c>
      <c r="C1867" s="4" t="inlineStr">
        <is>
          <t>Sandstraße</t>
        </is>
      </c>
      <c r="D1867" s="4" t="inlineStr">
        <is>
          <t>26</t>
        </is>
      </c>
      <c r="E1867" s="13" t="n">
        <v>83.8</v>
      </c>
      <c r="F1867" s="12" t="n">
        <v>0</v>
      </c>
      <c r="G1867" s="4" t="n">
        <v>0</v>
      </c>
      <c r="H1867" s="4">
        <f>IF(OR(N(F1867)&gt;=0.5,G1867&gt;=4),3,IF(OR(N(F1867)&gt;=0.3,G1867=3),2,IF(OR(N(F1867)&gt;=0.1,G1867&gt;=1),1,0)))</f>
        <v/>
      </c>
      <c r="I1867" s="4">
        <f>CHOOSE(H1867+1,"Kein Risiko","Gering","Mittel","Hoch")</f>
        <v/>
      </c>
    </row>
    <row r="1868">
      <c r="A1868" s="4" t="n">
        <v>1864</v>
      </c>
      <c r="B1868" s="4" t="inlineStr">
        <is>
          <t>yes</t>
        </is>
      </c>
      <c r="C1868" s="4" t="inlineStr">
        <is>
          <t>Zementstraße</t>
        </is>
      </c>
      <c r="D1868" s="4" t="inlineStr">
        <is>
          <t>26</t>
        </is>
      </c>
      <c r="E1868" s="13" t="n">
        <v>66.3</v>
      </c>
      <c r="F1868" s="12" t="n">
        <v>0</v>
      </c>
      <c r="G1868" s="4" t="n">
        <v>0</v>
      </c>
      <c r="H1868" s="4">
        <f>IF(OR(N(F1868)&gt;=0.5,G1868&gt;=4),3,IF(OR(N(F1868)&gt;=0.3,G1868=3),2,IF(OR(N(F1868)&gt;=0.1,G1868&gt;=1),1,0)))</f>
        <v/>
      </c>
      <c r="I1868" s="4">
        <f>CHOOSE(H1868+1,"Kein Risiko","Gering","Mittel","Hoch")</f>
        <v/>
      </c>
    </row>
    <row r="1869">
      <c r="A1869" s="4" t="n">
        <v>1865</v>
      </c>
      <c r="B1869" s="4" t="inlineStr">
        <is>
          <t>semidetached_house</t>
        </is>
      </c>
      <c r="C1869" s="4" t="inlineStr">
        <is>
          <t>Benderstraße</t>
        </is>
      </c>
      <c r="D1869" s="4" t="inlineStr">
        <is>
          <t>27</t>
        </is>
      </c>
      <c r="E1869" s="13" t="n">
        <v>72.2</v>
      </c>
      <c r="F1869" s="12" t="n">
        <v>0</v>
      </c>
      <c r="G1869" s="4" t="n">
        <v>0</v>
      </c>
      <c r="H1869" s="4">
        <f>IF(OR(N(F1869)&gt;=0.5,G1869&gt;=4),3,IF(OR(N(F1869)&gt;=0.3,G1869=3),2,IF(OR(N(F1869)&gt;=0.1,G1869&gt;=1),1,0)))</f>
        <v/>
      </c>
      <c r="I1869" s="4">
        <f>CHOOSE(H1869+1,"Kein Risiko","Gering","Mittel","Hoch")</f>
        <v/>
      </c>
    </row>
    <row r="1870">
      <c r="A1870" s="4" t="n">
        <v>1866</v>
      </c>
      <c r="B1870" s="4" t="inlineStr">
        <is>
          <t>yes</t>
        </is>
      </c>
      <c r="C1870" s="4" t="inlineStr">
        <is>
          <t>Sandstraße</t>
        </is>
      </c>
      <c r="D1870" s="4" t="inlineStr">
        <is>
          <t>28</t>
        </is>
      </c>
      <c r="E1870" s="13" t="n">
        <v>83.90000000000001</v>
      </c>
      <c r="F1870" s="12" t="n">
        <v>0</v>
      </c>
      <c r="G1870" s="4" t="n">
        <v>0</v>
      </c>
      <c r="H1870" s="4">
        <f>IF(OR(N(F1870)&gt;=0.5,G1870&gt;=4),3,IF(OR(N(F1870)&gt;=0.3,G1870=3),2,IF(OR(N(F1870)&gt;=0.1,G1870&gt;=1),1,0)))</f>
        <v/>
      </c>
      <c r="I1870" s="4">
        <f>CHOOSE(H1870+1,"Kein Risiko","Gering","Mittel","Hoch")</f>
        <v/>
      </c>
    </row>
    <row r="1871">
      <c r="A1871" s="4" t="n">
        <v>1867</v>
      </c>
      <c r="B1871" s="4" t="inlineStr">
        <is>
          <t>yes</t>
        </is>
      </c>
      <c r="C1871" s="4" t="inlineStr">
        <is>
          <t>Zementstraße</t>
        </is>
      </c>
      <c r="D1871" s="4" t="inlineStr">
        <is>
          <t>28</t>
        </is>
      </c>
      <c r="E1871" s="13" t="n">
        <v>75.09999999999999</v>
      </c>
      <c r="F1871" s="12" t="n">
        <v>0</v>
      </c>
      <c r="G1871" s="4" t="n">
        <v>0</v>
      </c>
      <c r="H1871" s="4">
        <f>IF(OR(N(F1871)&gt;=0.5,G1871&gt;=4),3,IF(OR(N(F1871)&gt;=0.3,G1871=3),2,IF(OR(N(F1871)&gt;=0.1,G1871&gt;=1),1,0)))</f>
        <v/>
      </c>
      <c r="I1871" s="4">
        <f>CHOOSE(H1871+1,"Kein Risiko","Gering","Mittel","Hoch")</f>
        <v/>
      </c>
    </row>
    <row r="1872">
      <c r="A1872" s="4" t="n">
        <v>1868</v>
      </c>
      <c r="B1872" s="4" t="inlineStr">
        <is>
          <t>yes</t>
        </is>
      </c>
      <c r="C1872" s="4" t="inlineStr">
        <is>
          <t>Kupferdreher Straße</t>
        </is>
      </c>
      <c r="D1872" s="4" t="inlineStr">
        <is>
          <t>285a</t>
        </is>
      </c>
      <c r="E1872" s="13" t="n">
        <v>118.9</v>
      </c>
      <c r="F1872" s="12" t="n">
        <v>0</v>
      </c>
      <c r="G1872" s="4" t="n">
        <v>0</v>
      </c>
      <c r="H1872" s="4">
        <f>IF(OR(N(F1872)&gt;=0.5,G1872&gt;=4),3,IF(OR(N(F1872)&gt;=0.3,G1872=3),2,IF(OR(N(F1872)&gt;=0.1,G1872&gt;=1),1,0)))</f>
        <v/>
      </c>
      <c r="I1872" s="4">
        <f>CHOOSE(H1872+1,"Kein Risiko","Gering","Mittel","Hoch")</f>
        <v/>
      </c>
    </row>
    <row r="1873">
      <c r="A1873" s="4" t="n">
        <v>1869</v>
      </c>
      <c r="B1873" s="4" t="inlineStr">
        <is>
          <t>semidetached_house</t>
        </is>
      </c>
      <c r="C1873" s="4" t="inlineStr">
        <is>
          <t>Benderstraße</t>
        </is>
      </c>
      <c r="D1873" s="4" t="inlineStr">
        <is>
          <t>29</t>
        </is>
      </c>
      <c r="E1873" s="13" t="n">
        <v>73.59999999999999</v>
      </c>
      <c r="F1873" s="12" t="n">
        <v>0</v>
      </c>
      <c r="G1873" s="4" t="n">
        <v>0</v>
      </c>
      <c r="H1873" s="4">
        <f>IF(OR(N(F1873)&gt;=0.5,G1873&gt;=4),3,IF(OR(N(F1873)&gt;=0.3,G1873=3),2,IF(OR(N(F1873)&gt;=0.1,G1873&gt;=1),1,0)))</f>
        <v/>
      </c>
      <c r="I1873" s="4">
        <f>CHOOSE(H1873+1,"Kein Risiko","Gering","Mittel","Hoch")</f>
        <v/>
      </c>
    </row>
    <row r="1874">
      <c r="A1874" s="4" t="n">
        <v>1870</v>
      </c>
      <c r="B1874" s="4" t="inlineStr">
        <is>
          <t>yes</t>
        </is>
      </c>
      <c r="C1874" s="4" t="inlineStr">
        <is>
          <t>Kupferdreher Straße</t>
        </is>
      </c>
      <c r="D1874" s="4" t="inlineStr">
        <is>
          <t>29</t>
        </is>
      </c>
      <c r="E1874" s="13" t="n">
        <v>263.2</v>
      </c>
      <c r="F1874" s="12" t="n">
        <v>0</v>
      </c>
      <c r="G1874" s="4" t="n">
        <v>2</v>
      </c>
      <c r="H1874" s="4">
        <f>IF(OR(N(F1874)&gt;=0.5,G1874&gt;=4),3,IF(OR(N(F1874)&gt;=0.3,G1874=3),2,IF(OR(N(F1874)&gt;=0.1,G1874&gt;=1),1,0)))</f>
        <v/>
      </c>
      <c r="I1874" s="4">
        <f>CHOOSE(H1874+1,"Kein Risiko","Gering","Mittel","Hoch")</f>
        <v/>
      </c>
    </row>
    <row r="1875">
      <c r="A1875" s="4" t="n">
        <v>1871</v>
      </c>
      <c r="B1875" s="4" t="inlineStr">
        <is>
          <t>semidetached_house</t>
        </is>
      </c>
      <c r="C1875" s="4" t="inlineStr">
        <is>
          <t>Zementstraße</t>
        </is>
      </c>
      <c r="D1875" s="4" t="inlineStr">
        <is>
          <t>29</t>
        </is>
      </c>
      <c r="E1875" s="13" t="n">
        <v>130.9</v>
      </c>
      <c r="F1875" s="12" t="n">
        <v>0</v>
      </c>
      <c r="G1875" s="4" t="n">
        <v>0</v>
      </c>
      <c r="H1875" s="4">
        <f>IF(OR(N(F1875)&gt;=0.5,G1875&gt;=4),3,IF(OR(N(F1875)&gt;=0.3,G1875=3),2,IF(OR(N(F1875)&gt;=0.1,G1875&gt;=1),1,0)))</f>
        <v/>
      </c>
      <c r="I1875" s="4">
        <f>CHOOSE(H1875+1,"Kein Risiko","Gering","Mittel","Hoch")</f>
        <v/>
      </c>
    </row>
    <row r="1876">
      <c r="A1876" s="4" t="n">
        <v>1872</v>
      </c>
      <c r="B1876" s="4" t="inlineStr">
        <is>
          <t>yes</t>
        </is>
      </c>
      <c r="C1876" s="4" t="inlineStr">
        <is>
          <t>Hinsbecker Hang</t>
        </is>
      </c>
      <c r="D1876" s="4" t="inlineStr">
        <is>
          <t>3</t>
        </is>
      </c>
      <c r="E1876" s="13" t="n">
        <v>101.7</v>
      </c>
      <c r="F1876" s="12" t="n">
        <v>0.09000396728515625</v>
      </c>
      <c r="G1876" s="4" t="n">
        <v>1</v>
      </c>
      <c r="H1876" s="4">
        <f>IF(OR(N(F1876)&gt;=0.5,G1876&gt;=4),3,IF(OR(N(F1876)&gt;=0.3,G1876=3),2,IF(OR(N(F1876)&gt;=0.1,G1876&gt;=1),1,0)))</f>
        <v/>
      </c>
      <c r="I1876" s="4">
        <f>CHOOSE(H1876+1,"Kein Risiko","Gering","Mittel","Hoch")</f>
        <v/>
      </c>
    </row>
    <row r="1877">
      <c r="A1877" s="4" t="n">
        <v>1873</v>
      </c>
      <c r="B1877" s="4" t="inlineStr">
        <is>
          <t>yes</t>
        </is>
      </c>
      <c r="C1877" s="4" t="inlineStr">
        <is>
          <t>Zementstraße</t>
        </is>
      </c>
      <c r="D1877" s="4" t="inlineStr">
        <is>
          <t>30</t>
        </is>
      </c>
      <c r="E1877" s="13" t="n">
        <v>60.8</v>
      </c>
      <c r="F1877" s="12" t="n">
        <v>0</v>
      </c>
      <c r="G1877" s="4" t="n">
        <v>0</v>
      </c>
      <c r="H1877" s="4">
        <f>IF(OR(N(F1877)&gt;=0.5,G1877&gt;=4),3,IF(OR(N(F1877)&gt;=0.3,G1877=3),2,IF(OR(N(F1877)&gt;=0.1,G1877&gt;=1),1,0)))</f>
        <v/>
      </c>
      <c r="I1877" s="4">
        <f>CHOOSE(H1877+1,"Kein Risiko","Gering","Mittel","Hoch")</f>
        <v/>
      </c>
    </row>
    <row r="1878">
      <c r="A1878" s="4" t="n">
        <v>1874</v>
      </c>
      <c r="B1878" s="4" t="inlineStr">
        <is>
          <t>semidetached_house</t>
        </is>
      </c>
      <c r="C1878" s="4" t="inlineStr">
        <is>
          <t>Benderstraße</t>
        </is>
      </c>
      <c r="D1878" s="4" t="inlineStr">
        <is>
          <t>31</t>
        </is>
      </c>
      <c r="E1878" s="13" t="n">
        <v>76.2</v>
      </c>
      <c r="F1878" s="12" t="n">
        <v>0</v>
      </c>
      <c r="G1878" s="4" t="n">
        <v>0</v>
      </c>
      <c r="H1878" s="4">
        <f>IF(OR(N(F1878)&gt;=0.5,G1878&gt;=4),3,IF(OR(N(F1878)&gt;=0.3,G1878=3),2,IF(OR(N(F1878)&gt;=0.1,G1878&gt;=1),1,0)))</f>
        <v/>
      </c>
      <c r="I1878" s="4">
        <f>CHOOSE(H1878+1,"Kein Risiko","Gering","Mittel","Hoch")</f>
        <v/>
      </c>
    </row>
    <row r="1879">
      <c r="A1879" s="4" t="n">
        <v>1875</v>
      </c>
      <c r="B1879" s="4" t="inlineStr">
        <is>
          <t>house</t>
        </is>
      </c>
      <c r="C1879" s="4" t="inlineStr">
        <is>
          <t>Heidenreichberg</t>
        </is>
      </c>
      <c r="D1879" s="4" t="inlineStr">
        <is>
          <t>31</t>
        </is>
      </c>
      <c r="E1879" s="13" t="n">
        <v>115.3</v>
      </c>
      <c r="F1879" s="12" t="n">
        <v>0.0500030517578125</v>
      </c>
      <c r="G1879" s="4" t="n">
        <v>0</v>
      </c>
      <c r="H1879" s="4">
        <f>IF(OR(N(F1879)&gt;=0.5,G1879&gt;=4),3,IF(OR(N(F1879)&gt;=0.3,G1879=3),2,IF(OR(N(F1879)&gt;=0.1,G1879&gt;=1),1,0)))</f>
        <v/>
      </c>
      <c r="I1879" s="4">
        <f>CHOOSE(H1879+1,"Kein Risiko","Gering","Mittel","Hoch")</f>
        <v/>
      </c>
    </row>
    <row r="1880">
      <c r="A1880" s="4" t="n">
        <v>1876</v>
      </c>
      <c r="B1880" s="4" t="inlineStr">
        <is>
          <t>semidetached_house</t>
        </is>
      </c>
      <c r="C1880" s="4" t="inlineStr">
        <is>
          <t>Zementstraße</t>
        </is>
      </c>
      <c r="D1880" s="4" t="inlineStr">
        <is>
          <t>31</t>
        </is>
      </c>
      <c r="E1880" s="13" t="n">
        <v>82.59999999999999</v>
      </c>
      <c r="F1880" s="12" t="n">
        <v>0</v>
      </c>
      <c r="G1880" s="4" t="n">
        <v>0</v>
      </c>
      <c r="H1880" s="4">
        <f>IF(OR(N(F1880)&gt;=0.5,G1880&gt;=4),3,IF(OR(N(F1880)&gt;=0.3,G1880=3),2,IF(OR(N(F1880)&gt;=0.1,G1880&gt;=1),1,0)))</f>
        <v/>
      </c>
      <c r="I1880" s="4">
        <f>CHOOSE(H1880+1,"Kein Risiko","Gering","Mittel","Hoch")</f>
        <v/>
      </c>
    </row>
    <row r="1881">
      <c r="A1881" s="4" t="n">
        <v>1877</v>
      </c>
      <c r="B1881" s="4" t="inlineStr">
        <is>
          <t>yes</t>
        </is>
      </c>
      <c r="C1881" s="4" t="inlineStr">
        <is>
          <t>Bovermanns Kamp</t>
        </is>
      </c>
      <c r="D1881" s="4" t="inlineStr">
        <is>
          <t>32</t>
        </is>
      </c>
      <c r="E1881" s="13" t="n">
        <v>104.4</v>
      </c>
      <c r="F1881" s="12" t="n">
        <v>0</v>
      </c>
      <c r="G1881" s="4" t="n">
        <v>0</v>
      </c>
      <c r="H1881" s="4">
        <f>IF(OR(N(F1881)&gt;=0.5,G1881&gt;=4),3,IF(OR(N(F1881)&gt;=0.3,G1881=3),2,IF(OR(N(F1881)&gt;=0.1,G1881&gt;=1),1,0)))</f>
        <v/>
      </c>
      <c r="I1881" s="4">
        <f>CHOOSE(H1881+1,"Kein Risiko","Gering","Mittel","Hoch")</f>
        <v/>
      </c>
    </row>
    <row r="1882">
      <c r="A1882" s="4" t="n">
        <v>1878</v>
      </c>
      <c r="B1882" s="4" t="inlineStr">
        <is>
          <t>semidetached_house</t>
        </is>
      </c>
      <c r="C1882" s="4" t="inlineStr">
        <is>
          <t>Benderstraße</t>
        </is>
      </c>
      <c r="D1882" s="4" t="inlineStr">
        <is>
          <t>33</t>
        </is>
      </c>
      <c r="E1882" s="13" t="n">
        <v>76.09999999999999</v>
      </c>
      <c r="F1882" s="12" t="n">
        <v>0</v>
      </c>
      <c r="G1882" s="4" t="n">
        <v>0</v>
      </c>
      <c r="H1882" s="4">
        <f>IF(OR(N(F1882)&gt;=0.5,G1882&gt;=4),3,IF(OR(N(F1882)&gt;=0.3,G1882=3),2,IF(OR(N(F1882)&gt;=0.1,G1882&gt;=1),1,0)))</f>
        <v/>
      </c>
      <c r="I1882" s="4">
        <f>CHOOSE(H1882+1,"Kein Risiko","Gering","Mittel","Hoch")</f>
        <v/>
      </c>
    </row>
    <row r="1883">
      <c r="A1883" s="4" t="n">
        <v>1879</v>
      </c>
      <c r="B1883" s="4" t="inlineStr">
        <is>
          <t>house</t>
        </is>
      </c>
      <c r="C1883" s="4" t="inlineStr">
        <is>
          <t>Heidenreichberg</t>
        </is>
      </c>
      <c r="D1883" s="4" t="inlineStr">
        <is>
          <t>33</t>
        </is>
      </c>
      <c r="E1883" s="13" t="n">
        <v>115.4</v>
      </c>
      <c r="F1883" s="12" t="n">
        <v>0</v>
      </c>
      <c r="G1883" s="4" t="n">
        <v>0</v>
      </c>
      <c r="H1883" s="4">
        <f>IF(OR(N(F1883)&gt;=0.5,G1883&gt;=4),3,IF(OR(N(F1883)&gt;=0.3,G1883=3),2,IF(OR(N(F1883)&gt;=0.1,G1883&gt;=1),1,0)))</f>
        <v/>
      </c>
      <c r="I1883" s="4">
        <f>CHOOSE(H1883+1,"Kein Risiko","Gering","Mittel","Hoch")</f>
        <v/>
      </c>
    </row>
    <row r="1884">
      <c r="A1884" s="4" t="n">
        <v>1880</v>
      </c>
      <c r="B1884" s="4" t="inlineStr">
        <is>
          <t>yes</t>
        </is>
      </c>
      <c r="C1884" s="4" t="inlineStr">
        <is>
          <t>Kupferdreher Straße</t>
        </is>
      </c>
      <c r="D1884" s="4" t="inlineStr">
        <is>
          <t>33</t>
        </is>
      </c>
      <c r="E1884" s="13" t="n">
        <v>246.7</v>
      </c>
      <c r="F1884" s="12" t="n">
        <v>0</v>
      </c>
      <c r="G1884" s="4" t="n">
        <v>0</v>
      </c>
      <c r="H1884" s="4">
        <f>IF(OR(N(F1884)&gt;=0.5,G1884&gt;=4),3,IF(OR(N(F1884)&gt;=0.3,G1884=3),2,IF(OR(N(F1884)&gt;=0.1,G1884&gt;=1),1,0)))</f>
        <v/>
      </c>
      <c r="I1884" s="4">
        <f>CHOOSE(H1884+1,"Kein Risiko","Gering","Mittel","Hoch")</f>
        <v/>
      </c>
    </row>
    <row r="1885">
      <c r="A1885" s="4" t="n">
        <v>1881</v>
      </c>
      <c r="B1885" s="4" t="inlineStr">
        <is>
          <t>yes</t>
        </is>
      </c>
      <c r="C1885" s="4" t="inlineStr">
        <is>
          <t>Hinsbecker Berg</t>
        </is>
      </c>
      <c r="D1885" s="4" t="inlineStr">
        <is>
          <t>33a</t>
        </is>
      </c>
      <c r="E1885" s="13" t="n">
        <v>165</v>
      </c>
      <c r="F1885" s="12" t="n">
        <v>0.01000213623046875</v>
      </c>
      <c r="G1885" s="4" t="n">
        <v>0</v>
      </c>
      <c r="H1885" s="4">
        <f>IF(OR(N(F1885)&gt;=0.5,G1885&gt;=4),3,IF(OR(N(F1885)&gt;=0.3,G1885=3),2,IF(OR(N(F1885)&gt;=0.1,G1885&gt;=1),1,0)))</f>
        <v/>
      </c>
      <c r="I1885" s="4">
        <f>CHOOSE(H1885+1,"Kein Risiko","Gering","Mittel","Hoch")</f>
        <v/>
      </c>
    </row>
    <row r="1886">
      <c r="A1886" s="4" t="n">
        <v>1882</v>
      </c>
      <c r="B1886" s="4" t="inlineStr">
        <is>
          <t>yes</t>
        </is>
      </c>
      <c r="C1886" s="4" t="inlineStr">
        <is>
          <t>Zementstraße</t>
        </is>
      </c>
      <c r="D1886" s="4" t="inlineStr">
        <is>
          <t>34</t>
        </is>
      </c>
      <c r="E1886" s="13" t="n">
        <v>64.90000000000001</v>
      </c>
      <c r="F1886" s="12" t="n">
        <v>0</v>
      </c>
      <c r="G1886" s="4" t="n">
        <v>0</v>
      </c>
      <c r="H1886" s="4">
        <f>IF(OR(N(F1886)&gt;=0.5,G1886&gt;=4),3,IF(OR(N(F1886)&gt;=0.3,G1886=3),2,IF(OR(N(F1886)&gt;=0.1,G1886&gt;=1),1,0)))</f>
        <v/>
      </c>
      <c r="I1886" s="4">
        <f>CHOOSE(H1886+1,"Kein Risiko","Gering","Mittel","Hoch")</f>
        <v/>
      </c>
    </row>
    <row r="1887">
      <c r="A1887" s="4" t="n">
        <v>1883</v>
      </c>
      <c r="B1887" s="4" t="inlineStr">
        <is>
          <t>house</t>
        </is>
      </c>
      <c r="C1887" s="4" t="inlineStr">
        <is>
          <t>Heidenreichberg</t>
        </is>
      </c>
      <c r="D1887" s="4" t="inlineStr">
        <is>
          <t>35</t>
        </is>
      </c>
      <c r="E1887" s="13" t="n">
        <v>115.3</v>
      </c>
      <c r="F1887" s="12" t="n">
        <v>0.04000091552734375</v>
      </c>
      <c r="G1887" s="4" t="n">
        <v>0</v>
      </c>
      <c r="H1887" s="4">
        <f>IF(OR(N(F1887)&gt;=0.5,G1887&gt;=4),3,IF(OR(N(F1887)&gt;=0.3,G1887=3),2,IF(OR(N(F1887)&gt;=0.1,G1887&gt;=1),1,0)))</f>
        <v/>
      </c>
      <c r="I1887" s="4">
        <f>CHOOSE(H1887+1,"Kein Risiko","Gering","Mittel","Hoch")</f>
        <v/>
      </c>
    </row>
    <row r="1888">
      <c r="A1888" s="4" t="n">
        <v>1884</v>
      </c>
      <c r="B1888" s="4" t="inlineStr">
        <is>
          <t>yes</t>
        </is>
      </c>
      <c r="C1888" s="4" t="inlineStr">
        <is>
          <t>Zementstraße</t>
        </is>
      </c>
      <c r="D1888" s="4" t="inlineStr">
        <is>
          <t>36</t>
        </is>
      </c>
      <c r="E1888" s="13" t="n">
        <v>65.5</v>
      </c>
      <c r="F1888" s="12" t="n">
        <v>0</v>
      </c>
      <c r="G1888" s="4" t="n">
        <v>1</v>
      </c>
      <c r="H1888" s="4">
        <f>IF(OR(N(F1888)&gt;=0.5,G1888&gt;=4),3,IF(OR(N(F1888)&gt;=0.3,G1888=3),2,IF(OR(N(F1888)&gt;=0.1,G1888&gt;=1),1,0)))</f>
        <v/>
      </c>
      <c r="I1888" s="4">
        <f>CHOOSE(H1888+1,"Kein Risiko","Gering","Mittel","Hoch")</f>
        <v/>
      </c>
    </row>
    <row r="1889">
      <c r="A1889" s="4" t="n">
        <v>1885</v>
      </c>
      <c r="B1889" s="4" t="inlineStr">
        <is>
          <t>yes</t>
        </is>
      </c>
      <c r="C1889" s="4" t="inlineStr">
        <is>
          <t>Schliepersberg</t>
        </is>
      </c>
      <c r="D1889" s="4" t="inlineStr">
        <is>
          <t>36a</t>
        </is>
      </c>
      <c r="E1889" s="13" t="n">
        <v>85.2</v>
      </c>
      <c r="F1889" s="12" t="n">
        <v>0</v>
      </c>
      <c r="G1889" s="4" t="n">
        <v>0</v>
      </c>
      <c r="H1889" s="4">
        <f>IF(OR(N(F1889)&gt;=0.5,G1889&gt;=4),3,IF(OR(N(F1889)&gt;=0.3,G1889=3),2,IF(OR(N(F1889)&gt;=0.1,G1889&gt;=1),1,0)))</f>
        <v/>
      </c>
      <c r="I1889" s="4">
        <f>CHOOSE(H1889+1,"Kein Risiko","Gering","Mittel","Hoch")</f>
        <v/>
      </c>
    </row>
    <row r="1890">
      <c r="A1890" s="4" t="n">
        <v>1886</v>
      </c>
      <c r="B1890" s="4" t="inlineStr">
        <is>
          <t>yes</t>
        </is>
      </c>
      <c r="C1890" s="4" t="inlineStr">
        <is>
          <t>Zementstraße</t>
        </is>
      </c>
      <c r="D1890" s="4" t="inlineStr">
        <is>
          <t>36a</t>
        </is>
      </c>
      <c r="E1890" s="13" t="n">
        <v>71.5</v>
      </c>
      <c r="F1890" s="12" t="n">
        <v>0</v>
      </c>
      <c r="G1890" s="4" t="n">
        <v>1</v>
      </c>
      <c r="H1890" s="4">
        <f>IF(OR(N(F1890)&gt;=0.5,G1890&gt;=4),3,IF(OR(N(F1890)&gt;=0.3,G1890=3),2,IF(OR(N(F1890)&gt;=0.1,G1890&gt;=1),1,0)))</f>
        <v/>
      </c>
      <c r="I1890" s="4">
        <f>CHOOSE(H1890+1,"Kein Risiko","Gering","Mittel","Hoch")</f>
        <v/>
      </c>
    </row>
    <row r="1891">
      <c r="A1891" s="4" t="n">
        <v>1887</v>
      </c>
      <c r="B1891" s="4" t="inlineStr">
        <is>
          <t>semidetached_house</t>
        </is>
      </c>
      <c r="C1891" s="4" t="inlineStr">
        <is>
          <t>Zementstraße</t>
        </is>
      </c>
      <c r="D1891" s="4" t="inlineStr">
        <is>
          <t>37</t>
        </is>
      </c>
      <c r="E1891" s="13" t="n">
        <v>70.40000000000001</v>
      </c>
      <c r="F1891" s="12" t="n">
        <v>0</v>
      </c>
      <c r="G1891" s="4" t="n">
        <v>0</v>
      </c>
      <c r="H1891" s="4">
        <f>IF(OR(N(F1891)&gt;=0.5,G1891&gt;=4),3,IF(OR(N(F1891)&gt;=0.3,G1891=3),2,IF(OR(N(F1891)&gt;=0.1,G1891&gt;=1),1,0)))</f>
        <v/>
      </c>
      <c r="I1891" s="4">
        <f>CHOOSE(H1891+1,"Kein Risiko","Gering","Mittel","Hoch")</f>
        <v/>
      </c>
    </row>
    <row r="1892">
      <c r="A1892" s="4" t="n">
        <v>1888</v>
      </c>
      <c r="B1892" s="4" t="inlineStr">
        <is>
          <t>house</t>
        </is>
      </c>
      <c r="C1892" s="4" t="inlineStr">
        <is>
          <t>Zementstraße</t>
        </is>
      </c>
      <c r="D1892" s="4" t="inlineStr">
        <is>
          <t>38</t>
        </is>
      </c>
      <c r="E1892" s="13" t="n">
        <v>73.2</v>
      </c>
      <c r="F1892" s="12" t="n">
        <v>0</v>
      </c>
      <c r="G1892" s="4" t="n">
        <v>0</v>
      </c>
      <c r="H1892" s="4">
        <f>IF(OR(N(F1892)&gt;=0.5,G1892&gt;=4),3,IF(OR(N(F1892)&gt;=0.3,G1892=3),2,IF(OR(N(F1892)&gt;=0.1,G1892&gt;=1),1,0)))</f>
        <v/>
      </c>
      <c r="I1892" s="4">
        <f>CHOOSE(H1892+1,"Kein Risiko","Gering","Mittel","Hoch")</f>
        <v/>
      </c>
    </row>
    <row r="1893">
      <c r="A1893" s="4" t="n">
        <v>1889</v>
      </c>
      <c r="B1893" s="4" t="inlineStr">
        <is>
          <t>apartments</t>
        </is>
      </c>
      <c r="C1893" s="4" t="inlineStr">
        <is>
          <t>Dixbäume</t>
        </is>
      </c>
      <c r="D1893" s="4" t="inlineStr">
        <is>
          <t>39</t>
        </is>
      </c>
      <c r="E1893" s="13" t="n">
        <v>151</v>
      </c>
      <c r="F1893" s="12" t="n">
        <v>0</v>
      </c>
      <c r="G1893" s="4" t="n">
        <v>3</v>
      </c>
      <c r="H1893" s="4">
        <f>IF(OR(N(F1893)&gt;=0.5,G1893&gt;=4),3,IF(OR(N(F1893)&gt;=0.3,G1893=3),2,IF(OR(N(F1893)&gt;=0.1,G1893&gt;=1),1,0)))</f>
        <v/>
      </c>
      <c r="I1893" s="4">
        <f>CHOOSE(H1893+1,"Kein Risiko","Gering","Mittel","Hoch")</f>
        <v/>
      </c>
    </row>
    <row r="1894">
      <c r="A1894" s="4" t="n">
        <v>1890</v>
      </c>
      <c r="B1894" s="4" t="inlineStr">
        <is>
          <t>semidetached_house</t>
        </is>
      </c>
      <c r="C1894" s="4" t="inlineStr">
        <is>
          <t>Zementstraße</t>
        </is>
      </c>
      <c r="D1894" s="4" t="inlineStr">
        <is>
          <t>39</t>
        </is>
      </c>
      <c r="E1894" s="13" t="n">
        <v>109.1</v>
      </c>
      <c r="F1894" s="12" t="n">
        <v>0</v>
      </c>
      <c r="G1894" s="4" t="n">
        <v>0</v>
      </c>
      <c r="H1894" s="4">
        <f>IF(OR(N(F1894)&gt;=0.5,G1894&gt;=4),3,IF(OR(N(F1894)&gt;=0.3,G1894=3),2,IF(OR(N(F1894)&gt;=0.1,G1894&gt;=1),1,0)))</f>
        <v/>
      </c>
      <c r="I1894" s="4">
        <f>CHOOSE(H1894+1,"Kein Risiko","Gering","Mittel","Hoch")</f>
        <v/>
      </c>
    </row>
    <row r="1895">
      <c r="A1895" s="4" t="n">
        <v>1891</v>
      </c>
      <c r="B1895" s="4" t="inlineStr">
        <is>
          <t>yes</t>
        </is>
      </c>
      <c r="C1895" s="4" t="inlineStr">
        <is>
          <t>Anstockstraße</t>
        </is>
      </c>
      <c r="D1895" s="4" t="inlineStr">
        <is>
          <t>4</t>
        </is>
      </c>
      <c r="E1895" s="13" t="n">
        <v>62.9</v>
      </c>
      <c r="F1895" s="12" t="n">
        <v>0.02000045776367188</v>
      </c>
      <c r="G1895" s="4" t="n">
        <v>1</v>
      </c>
      <c r="H1895" s="4">
        <f>IF(OR(N(F1895)&gt;=0.5,G1895&gt;=4),3,IF(OR(N(F1895)&gt;=0.3,G1895=3),2,IF(OR(N(F1895)&gt;=0.1,G1895&gt;=1),1,0)))</f>
        <v/>
      </c>
      <c r="I1895" s="4">
        <f>CHOOSE(H1895+1,"Kein Risiko","Gering","Mittel","Hoch")</f>
        <v/>
      </c>
    </row>
    <row r="1896">
      <c r="A1896" s="4" t="n">
        <v>1892</v>
      </c>
      <c r="B1896" s="4" t="inlineStr">
        <is>
          <t>apartments</t>
        </is>
      </c>
      <c r="C1896" s="4" t="inlineStr">
        <is>
          <t>Dixbäume</t>
        </is>
      </c>
      <c r="D1896" s="4" t="inlineStr">
        <is>
          <t>4</t>
        </is>
      </c>
      <c r="E1896" s="13" t="n">
        <v>89.59999999999999</v>
      </c>
      <c r="F1896" s="12" t="n">
        <v>0</v>
      </c>
      <c r="G1896" s="4" t="n">
        <v>0</v>
      </c>
      <c r="H1896" s="4">
        <f>IF(OR(N(F1896)&gt;=0.5,G1896&gt;=4),3,IF(OR(N(F1896)&gt;=0.3,G1896=3),2,IF(OR(N(F1896)&gt;=0.1,G1896&gt;=1),1,0)))</f>
        <v/>
      </c>
      <c r="I1896" s="4">
        <f>CHOOSE(H1896+1,"Kein Risiko","Gering","Mittel","Hoch")</f>
        <v/>
      </c>
    </row>
    <row r="1897">
      <c r="A1897" s="4" t="n">
        <v>1893</v>
      </c>
      <c r="B1897" s="4" t="inlineStr">
        <is>
          <t>yes</t>
        </is>
      </c>
      <c r="C1897" s="4" t="inlineStr">
        <is>
          <t>Gillesweg</t>
        </is>
      </c>
      <c r="D1897" s="4" t="inlineStr">
        <is>
          <t>4</t>
        </is>
      </c>
      <c r="E1897" s="13" t="n">
        <v>99.7</v>
      </c>
      <c r="F1897" s="12" t="n">
        <v>0</v>
      </c>
      <c r="G1897" s="4" t="n">
        <v>0</v>
      </c>
      <c r="H1897" s="4">
        <f>IF(OR(N(F1897)&gt;=0.5,G1897&gt;=4),3,IF(OR(N(F1897)&gt;=0.3,G1897=3),2,IF(OR(N(F1897)&gt;=0.1,G1897&gt;=1),1,0)))</f>
        <v/>
      </c>
      <c r="I1897" s="4">
        <f>CHOOSE(H1897+1,"Kein Risiko","Gering","Mittel","Hoch")</f>
        <v/>
      </c>
    </row>
    <row r="1898">
      <c r="A1898" s="4" t="n">
        <v>1894</v>
      </c>
      <c r="B1898" s="4" t="inlineStr">
        <is>
          <t>yes</t>
        </is>
      </c>
      <c r="C1898" s="4" t="inlineStr">
        <is>
          <t>Hinsbecker Hang</t>
        </is>
      </c>
      <c r="D1898" s="4" t="inlineStr">
        <is>
          <t>4</t>
        </is>
      </c>
      <c r="E1898" s="13" t="n">
        <v>84</v>
      </c>
      <c r="F1898" s="12" t="n">
        <v>0</v>
      </c>
      <c r="G1898" s="4" t="n">
        <v>1</v>
      </c>
      <c r="H1898" s="4">
        <f>IF(OR(N(F1898)&gt;=0.5,G1898&gt;=4),3,IF(OR(N(F1898)&gt;=0.3,G1898=3),2,IF(OR(N(F1898)&gt;=0.1,G1898&gt;=1),1,0)))</f>
        <v/>
      </c>
      <c r="I1898" s="4">
        <f>CHOOSE(H1898+1,"Kein Risiko","Gering","Mittel","Hoch")</f>
        <v/>
      </c>
    </row>
    <row r="1899">
      <c r="A1899" s="4" t="n">
        <v>1895</v>
      </c>
      <c r="B1899" s="4" t="inlineStr">
        <is>
          <t>apartments</t>
        </is>
      </c>
      <c r="C1899" s="4" t="inlineStr">
        <is>
          <t>Reulsbergweg</t>
        </is>
      </c>
      <c r="D1899" s="4" t="inlineStr">
        <is>
          <t>4</t>
        </is>
      </c>
      <c r="E1899" s="13" t="n">
        <v>145.1</v>
      </c>
      <c r="F1899" s="12" t="n">
        <v>0</v>
      </c>
      <c r="G1899" s="4" t="n">
        <v>0</v>
      </c>
      <c r="H1899" s="4">
        <f>IF(OR(N(F1899)&gt;=0.5,G1899&gt;=4),3,IF(OR(N(F1899)&gt;=0.3,G1899=3),2,IF(OR(N(F1899)&gt;=0.1,G1899&gt;=1),1,0)))</f>
        <v/>
      </c>
      <c r="I1899" s="4">
        <f>CHOOSE(H1899+1,"Kein Risiko","Gering","Mittel","Hoch")</f>
        <v/>
      </c>
    </row>
    <row r="1900">
      <c r="A1900" s="4" t="n">
        <v>1896</v>
      </c>
      <c r="B1900" s="4" t="inlineStr">
        <is>
          <t>house</t>
        </is>
      </c>
      <c r="C1900" s="4" t="inlineStr">
        <is>
          <t>Zementstraße</t>
        </is>
      </c>
      <c r="D1900" s="4" t="inlineStr">
        <is>
          <t>40</t>
        </is>
      </c>
      <c r="E1900" s="13" t="n">
        <v>70.8</v>
      </c>
      <c r="F1900" s="12" t="n">
        <v>0</v>
      </c>
      <c r="G1900" s="4" t="n">
        <v>0</v>
      </c>
      <c r="H1900" s="4">
        <f>IF(OR(N(F1900)&gt;=0.5,G1900&gt;=4),3,IF(OR(N(F1900)&gt;=0.3,G1900=3),2,IF(OR(N(F1900)&gt;=0.1,G1900&gt;=1),1,0)))</f>
        <v/>
      </c>
      <c r="I1900" s="4">
        <f>CHOOSE(H1900+1,"Kein Risiko","Gering","Mittel","Hoch")</f>
        <v/>
      </c>
    </row>
    <row r="1901">
      <c r="A1901" s="4" t="n">
        <v>1897</v>
      </c>
      <c r="B1901" s="4" t="inlineStr">
        <is>
          <t>apartments</t>
        </is>
      </c>
      <c r="C1901" s="4" t="inlineStr">
        <is>
          <t>Dixbäume</t>
        </is>
      </c>
      <c r="D1901" s="4" t="inlineStr">
        <is>
          <t>41</t>
        </is>
      </c>
      <c r="E1901" s="13" t="n">
        <v>151.1</v>
      </c>
      <c r="F1901" s="12" t="n">
        <v>0</v>
      </c>
      <c r="G1901" s="4" t="n">
        <v>2</v>
      </c>
      <c r="H1901" s="4">
        <f>IF(OR(N(F1901)&gt;=0.5,G1901&gt;=4),3,IF(OR(N(F1901)&gt;=0.3,G1901=3),2,IF(OR(N(F1901)&gt;=0.1,G1901&gt;=1),1,0)))</f>
        <v/>
      </c>
      <c r="I1901" s="4">
        <f>CHOOSE(H1901+1,"Kein Risiko","Gering","Mittel","Hoch")</f>
        <v/>
      </c>
    </row>
    <row r="1902">
      <c r="A1902" s="4" t="n">
        <v>1898</v>
      </c>
      <c r="B1902" s="4" t="inlineStr">
        <is>
          <t>yes</t>
        </is>
      </c>
      <c r="C1902" s="4" t="inlineStr">
        <is>
          <t>Hinsbecker Berg</t>
        </is>
      </c>
      <c r="D1902" s="4" t="inlineStr">
        <is>
          <t>42</t>
        </is>
      </c>
      <c r="E1902" s="13" t="n">
        <v>190.3</v>
      </c>
      <c r="F1902" s="12" t="n">
        <v>0.01000213623046875</v>
      </c>
      <c r="G1902" s="4" t="n">
        <v>1</v>
      </c>
      <c r="H1902" s="4">
        <f>IF(OR(N(F1902)&gt;=0.5,G1902&gt;=4),3,IF(OR(N(F1902)&gt;=0.3,G1902=3),2,IF(OR(N(F1902)&gt;=0.1,G1902&gt;=1),1,0)))</f>
        <v/>
      </c>
      <c r="I1902" s="4">
        <f>CHOOSE(H1902+1,"Kein Risiko","Gering","Mittel","Hoch")</f>
        <v/>
      </c>
    </row>
    <row r="1903">
      <c r="A1903" s="4" t="n">
        <v>1899</v>
      </c>
      <c r="B1903" s="4" t="inlineStr">
        <is>
          <t>house</t>
        </is>
      </c>
      <c r="C1903" s="4" t="inlineStr">
        <is>
          <t>Zementstraße</t>
        </is>
      </c>
      <c r="D1903" s="4" t="inlineStr">
        <is>
          <t>42</t>
        </is>
      </c>
      <c r="E1903" s="13" t="n">
        <v>72.2</v>
      </c>
      <c r="F1903" s="12" t="n">
        <v>0</v>
      </c>
      <c r="G1903" s="4" t="n">
        <v>0</v>
      </c>
      <c r="H1903" s="4">
        <f>IF(OR(N(F1903)&gt;=0.5,G1903&gt;=4),3,IF(OR(N(F1903)&gt;=0.3,G1903=3),2,IF(OR(N(F1903)&gt;=0.1,G1903&gt;=1),1,0)))</f>
        <v/>
      </c>
      <c r="I1903" s="4">
        <f>CHOOSE(H1903+1,"Kein Risiko","Gering","Mittel","Hoch")</f>
        <v/>
      </c>
    </row>
    <row r="1904">
      <c r="A1904" s="4" t="n">
        <v>1900</v>
      </c>
      <c r="B1904" s="4" t="inlineStr">
        <is>
          <t>house</t>
        </is>
      </c>
      <c r="C1904" s="4" t="inlineStr">
        <is>
          <t>Zementstraße</t>
        </is>
      </c>
      <c r="D1904" s="4" t="inlineStr">
        <is>
          <t>44</t>
        </is>
      </c>
      <c r="E1904" s="13" t="n">
        <v>70.8</v>
      </c>
      <c r="F1904" s="12" t="n">
        <v>0</v>
      </c>
      <c r="G1904" s="4" t="n">
        <v>0</v>
      </c>
      <c r="H1904" s="4">
        <f>IF(OR(N(F1904)&gt;=0.5,G1904&gt;=4),3,IF(OR(N(F1904)&gt;=0.3,G1904=3),2,IF(OR(N(F1904)&gt;=0.1,G1904&gt;=1),1,0)))</f>
        <v/>
      </c>
      <c r="I1904" s="4">
        <f>CHOOSE(H1904+1,"Kein Risiko","Gering","Mittel","Hoch")</f>
        <v/>
      </c>
    </row>
    <row r="1905">
      <c r="A1905" s="4" t="n">
        <v>1901</v>
      </c>
      <c r="B1905" s="4" t="inlineStr">
        <is>
          <t>yes</t>
        </is>
      </c>
      <c r="C1905" s="4" t="inlineStr">
        <is>
          <t>Zementstraße</t>
        </is>
      </c>
      <c r="D1905" s="4" t="inlineStr">
        <is>
          <t>45</t>
        </is>
      </c>
      <c r="E1905" s="13" t="n">
        <v>127.6</v>
      </c>
      <c r="F1905" s="12" t="n">
        <v>0.029998779296875</v>
      </c>
      <c r="G1905" s="4" t="n">
        <v>0</v>
      </c>
      <c r="H1905" s="4">
        <f>IF(OR(N(F1905)&gt;=0.5,G1905&gt;=4),3,IF(OR(N(F1905)&gt;=0.3,G1905=3),2,IF(OR(N(F1905)&gt;=0.1,G1905&gt;=1),1,0)))</f>
        <v/>
      </c>
      <c r="I1905" s="4">
        <f>CHOOSE(H1905+1,"Kein Risiko","Gering","Mittel","Hoch")</f>
        <v/>
      </c>
    </row>
    <row r="1906">
      <c r="A1906" s="4" t="n">
        <v>1902</v>
      </c>
      <c r="B1906" s="4" t="inlineStr">
        <is>
          <t>yes</t>
        </is>
      </c>
      <c r="C1906" s="4" t="inlineStr">
        <is>
          <t>Zementstraße</t>
        </is>
      </c>
      <c r="D1906" s="4" t="inlineStr">
        <is>
          <t>47</t>
        </is>
      </c>
      <c r="E1906" s="13" t="n">
        <v>66.3</v>
      </c>
      <c r="F1906" s="12" t="n">
        <v>0</v>
      </c>
      <c r="G1906" s="4" t="n">
        <v>0</v>
      </c>
      <c r="H1906" s="4">
        <f>IF(OR(N(F1906)&gt;=0.5,G1906&gt;=4),3,IF(OR(N(F1906)&gt;=0.3,G1906=3),2,IF(OR(N(F1906)&gt;=0.1,G1906&gt;=1),1,0)))</f>
        <v/>
      </c>
      <c r="I1906" s="4">
        <f>CHOOSE(H1906+1,"Kein Risiko","Gering","Mittel","Hoch")</f>
        <v/>
      </c>
    </row>
    <row r="1907">
      <c r="A1907" s="4" t="n">
        <v>1903</v>
      </c>
      <c r="B1907" s="4" t="inlineStr">
        <is>
          <t>apartments</t>
        </is>
      </c>
      <c r="C1907" s="4" t="inlineStr">
        <is>
          <t>Zementstraße</t>
        </is>
      </c>
      <c r="D1907" s="4" t="inlineStr">
        <is>
          <t>48</t>
        </is>
      </c>
      <c r="E1907" s="13" t="n">
        <v>166.8</v>
      </c>
      <c r="F1907" s="12" t="n">
        <v>0</v>
      </c>
      <c r="G1907" s="4" t="n">
        <v>0</v>
      </c>
      <c r="H1907" s="4">
        <f>IF(OR(N(F1907)&gt;=0.5,G1907&gt;=4),3,IF(OR(N(F1907)&gt;=0.3,G1907=3),2,IF(OR(N(F1907)&gt;=0.1,G1907&gt;=1),1,0)))</f>
        <v/>
      </c>
      <c r="I1907" s="4">
        <f>CHOOSE(H1907+1,"Kein Risiko","Gering","Mittel","Hoch")</f>
        <v/>
      </c>
    </row>
    <row r="1908">
      <c r="A1908" s="4" t="n">
        <v>1904</v>
      </c>
      <c r="B1908" s="4" t="inlineStr">
        <is>
          <t>apartments</t>
        </is>
      </c>
      <c r="C1908" s="4" t="inlineStr">
        <is>
          <t>Zementstraße</t>
        </is>
      </c>
      <c r="D1908" s="4" t="inlineStr">
        <is>
          <t>50</t>
        </is>
      </c>
      <c r="E1908" s="13" t="n">
        <v>166.8</v>
      </c>
      <c r="F1908" s="12" t="n">
        <v>0</v>
      </c>
      <c r="G1908" s="4" t="n">
        <v>1</v>
      </c>
      <c r="H1908" s="4">
        <f>IF(OR(N(F1908)&gt;=0.5,G1908&gt;=4),3,IF(OR(N(F1908)&gt;=0.3,G1908=3),2,IF(OR(N(F1908)&gt;=0.1,G1908&gt;=1),1,0)))</f>
        <v/>
      </c>
      <c r="I1908" s="4">
        <f>CHOOSE(H1908+1,"Kein Risiko","Gering","Mittel","Hoch")</f>
        <v/>
      </c>
    </row>
    <row r="1909">
      <c r="A1909" s="4" t="n">
        <v>1905</v>
      </c>
      <c r="B1909" s="4" t="inlineStr">
        <is>
          <t>yes</t>
        </is>
      </c>
      <c r="C1909" s="4" t="inlineStr">
        <is>
          <t>Schliepersberg</t>
        </is>
      </c>
      <c r="D1909" s="4" t="inlineStr">
        <is>
          <t>50a</t>
        </is>
      </c>
      <c r="E1909" s="13" t="n">
        <v>92.3</v>
      </c>
      <c r="F1909" s="12" t="n">
        <v>0.089996337890625</v>
      </c>
      <c r="G1909" s="4" t="n">
        <v>0</v>
      </c>
      <c r="H1909" s="4">
        <f>IF(OR(N(F1909)&gt;=0.5,G1909&gt;=4),3,IF(OR(N(F1909)&gt;=0.3,G1909=3),2,IF(OR(N(F1909)&gt;=0.1,G1909&gt;=1),1,0)))</f>
        <v/>
      </c>
      <c r="I1909" s="4">
        <f>CHOOSE(H1909+1,"Kein Risiko","Gering","Mittel","Hoch")</f>
        <v/>
      </c>
    </row>
    <row r="1910">
      <c r="A1910" s="4" t="n">
        <v>1906</v>
      </c>
      <c r="B1910" s="4" t="inlineStr">
        <is>
          <t>apartments</t>
        </is>
      </c>
      <c r="C1910" s="4" t="inlineStr">
        <is>
          <t>Zementstraße</t>
        </is>
      </c>
      <c r="D1910" s="4" t="inlineStr">
        <is>
          <t>51</t>
        </is>
      </c>
      <c r="E1910" s="13" t="n">
        <v>172.4</v>
      </c>
      <c r="F1910" s="12" t="n">
        <v>0</v>
      </c>
      <c r="G1910" s="4" t="n">
        <v>3</v>
      </c>
      <c r="H1910" s="4">
        <f>IF(OR(N(F1910)&gt;=0.5,G1910&gt;=4),3,IF(OR(N(F1910)&gt;=0.3,G1910=3),2,IF(OR(N(F1910)&gt;=0.1,G1910&gt;=1),1,0)))</f>
        <v/>
      </c>
      <c r="I1910" s="4">
        <f>CHOOSE(H1910+1,"Kein Risiko","Gering","Mittel","Hoch")</f>
        <v/>
      </c>
    </row>
    <row r="1911">
      <c r="A1911" s="4" t="n">
        <v>1907</v>
      </c>
      <c r="B1911" s="4" t="inlineStr">
        <is>
          <t>semidetached_house</t>
        </is>
      </c>
      <c r="C1911" s="4" t="inlineStr">
        <is>
          <t>Dixbäume</t>
        </is>
      </c>
      <c r="D1911" s="4" t="inlineStr">
        <is>
          <t>51a</t>
        </is>
      </c>
      <c r="E1911" s="13" t="n">
        <v>66.40000000000001</v>
      </c>
      <c r="F1911" s="12" t="n">
        <v>0.029998779296875</v>
      </c>
      <c r="G1911" s="4" t="n">
        <v>0</v>
      </c>
      <c r="H1911" s="4">
        <f>IF(OR(N(F1911)&gt;=0.5,G1911&gt;=4),3,IF(OR(N(F1911)&gt;=0.3,G1911=3),2,IF(OR(N(F1911)&gt;=0.1,G1911&gt;=1),1,0)))</f>
        <v/>
      </c>
      <c r="I1911" s="4">
        <f>CHOOSE(H1911+1,"Kein Risiko","Gering","Mittel","Hoch")</f>
        <v/>
      </c>
    </row>
    <row r="1912">
      <c r="A1912" s="4" t="n">
        <v>1908</v>
      </c>
      <c r="B1912" s="4" t="inlineStr">
        <is>
          <t>semidetached_house</t>
        </is>
      </c>
      <c r="C1912" s="4" t="inlineStr">
        <is>
          <t>Dixbäume</t>
        </is>
      </c>
      <c r="D1912" s="4" t="inlineStr">
        <is>
          <t>51b</t>
        </is>
      </c>
      <c r="E1912" s="13" t="n">
        <v>66.40000000000001</v>
      </c>
      <c r="F1912" s="12" t="n">
        <v>0.0200042724609375</v>
      </c>
      <c r="G1912" s="4" t="n">
        <v>0</v>
      </c>
      <c r="H1912" s="4">
        <f>IF(OR(N(F1912)&gt;=0.5,G1912&gt;=4),3,IF(OR(N(F1912)&gt;=0.3,G1912=3),2,IF(OR(N(F1912)&gt;=0.1,G1912&gt;=1),1,0)))</f>
        <v/>
      </c>
      <c r="I1912" s="4">
        <f>CHOOSE(H1912+1,"Kein Risiko","Gering","Mittel","Hoch")</f>
        <v/>
      </c>
    </row>
    <row r="1913">
      <c r="A1913" s="4" t="n">
        <v>1909</v>
      </c>
      <c r="B1913" s="4" t="inlineStr">
        <is>
          <t>yes</t>
        </is>
      </c>
      <c r="C1913" s="4" t="inlineStr">
        <is>
          <t>Hinsbecker Berg</t>
        </is>
      </c>
      <c r="D1913" s="4" t="inlineStr">
        <is>
          <t>52</t>
        </is>
      </c>
      <c r="E1913" s="13" t="n">
        <v>125.9</v>
      </c>
      <c r="F1913" s="12" t="n">
        <v>0</v>
      </c>
      <c r="G1913" s="4" t="n">
        <v>1</v>
      </c>
      <c r="H1913" s="4">
        <f>IF(OR(N(F1913)&gt;=0.5,G1913&gt;=4),3,IF(OR(N(F1913)&gt;=0.3,G1913=3),2,IF(OR(N(F1913)&gt;=0.1,G1913&gt;=1),1,0)))</f>
        <v/>
      </c>
      <c r="I1913" s="4">
        <f>CHOOSE(H1913+1,"Kein Risiko","Gering","Mittel","Hoch")</f>
        <v/>
      </c>
    </row>
    <row r="1914">
      <c r="A1914" s="4" t="n">
        <v>1910</v>
      </c>
      <c r="B1914" s="4" t="inlineStr">
        <is>
          <t>detached</t>
        </is>
      </c>
      <c r="C1914" s="4" t="inlineStr">
        <is>
          <t>Dixbäume</t>
        </is>
      </c>
      <c r="D1914" s="4" t="inlineStr">
        <is>
          <t>53</t>
        </is>
      </c>
      <c r="E1914" s="13" t="n">
        <v>198.5</v>
      </c>
      <c r="F1914" s="12" t="n">
        <v>0.029998779296875</v>
      </c>
      <c r="G1914" s="4" t="n">
        <v>1</v>
      </c>
      <c r="H1914" s="4">
        <f>IF(OR(N(F1914)&gt;=0.5,G1914&gt;=4),3,IF(OR(N(F1914)&gt;=0.3,G1914=3),2,IF(OR(N(F1914)&gt;=0.1,G1914&gt;=1),1,0)))</f>
        <v/>
      </c>
      <c r="I1914" s="4">
        <f>CHOOSE(H1914+1,"Kein Risiko","Gering","Mittel","Hoch")</f>
        <v/>
      </c>
    </row>
    <row r="1915">
      <c r="A1915" s="4" t="n">
        <v>1911</v>
      </c>
      <c r="B1915" s="4" t="inlineStr">
        <is>
          <t>yes</t>
        </is>
      </c>
      <c r="C1915" s="4" t="inlineStr">
        <is>
          <t>Hinsbecker Berg</t>
        </is>
      </c>
      <c r="D1915" s="4" t="inlineStr">
        <is>
          <t>56</t>
        </is>
      </c>
      <c r="E1915" s="13" t="n">
        <v>160.5</v>
      </c>
      <c r="F1915" s="12" t="n">
        <v>0.01000213623046875</v>
      </c>
      <c r="G1915" s="4" t="n">
        <v>1</v>
      </c>
      <c r="H1915" s="4">
        <f>IF(OR(N(F1915)&gt;=0.5,G1915&gt;=4),3,IF(OR(N(F1915)&gt;=0.3,G1915=3),2,IF(OR(N(F1915)&gt;=0.1,G1915&gt;=1),1,0)))</f>
        <v/>
      </c>
      <c r="I1915" s="4">
        <f>CHOOSE(H1915+1,"Kein Risiko","Gering","Mittel","Hoch")</f>
        <v/>
      </c>
    </row>
    <row r="1916">
      <c r="A1916" s="4" t="n">
        <v>1912</v>
      </c>
      <c r="B1916" s="4" t="inlineStr">
        <is>
          <t>semidetached_house</t>
        </is>
      </c>
      <c r="C1916" s="4" t="inlineStr">
        <is>
          <t>Schwermannstraße</t>
        </is>
      </c>
      <c r="D1916" s="4" t="inlineStr">
        <is>
          <t>57</t>
        </is>
      </c>
      <c r="E1916" s="13" t="n">
        <v>100.5</v>
      </c>
      <c r="F1916" s="12" t="n">
        <v>0</v>
      </c>
      <c r="G1916" s="4" t="n">
        <v>0</v>
      </c>
      <c r="H1916" s="4">
        <f>IF(OR(N(F1916)&gt;=0.5,G1916&gt;=4),3,IF(OR(N(F1916)&gt;=0.3,G1916=3),2,IF(OR(N(F1916)&gt;=0.1,G1916&gt;=1),1,0)))</f>
        <v/>
      </c>
      <c r="I1916" s="4">
        <f>CHOOSE(H1916+1,"Kein Risiko","Gering","Mittel","Hoch")</f>
        <v/>
      </c>
    </row>
    <row r="1917">
      <c r="A1917" s="4" t="n">
        <v>1913</v>
      </c>
      <c r="B1917" s="4" t="inlineStr">
        <is>
          <t>yes</t>
        </is>
      </c>
      <c r="C1917" s="4" t="inlineStr">
        <is>
          <t>Schliepersberg</t>
        </is>
      </c>
      <c r="D1917" s="4" t="inlineStr">
        <is>
          <t>58</t>
        </is>
      </c>
      <c r="E1917" s="13" t="n">
        <v>76.90000000000001</v>
      </c>
      <c r="F1917" s="12" t="n">
        <v>0</v>
      </c>
      <c r="G1917" s="4" t="n">
        <v>0</v>
      </c>
      <c r="H1917" s="4">
        <f>IF(OR(N(F1917)&gt;=0.5,G1917&gt;=4),3,IF(OR(N(F1917)&gt;=0.3,G1917=3),2,IF(OR(N(F1917)&gt;=0.1,G1917&gt;=1),1,0)))</f>
        <v/>
      </c>
      <c r="I1917" s="4">
        <f>CHOOSE(H1917+1,"Kein Risiko","Gering","Mittel","Hoch")</f>
        <v/>
      </c>
    </row>
    <row r="1918">
      <c r="A1918" s="4" t="n">
        <v>1914</v>
      </c>
      <c r="B1918" s="4" t="inlineStr">
        <is>
          <t>yes</t>
        </is>
      </c>
      <c r="C1918" s="4" t="inlineStr">
        <is>
          <t>Schliepersberg</t>
        </is>
      </c>
      <c r="D1918" s="4" t="inlineStr">
        <is>
          <t>58a</t>
        </is>
      </c>
      <c r="E1918" s="13" t="n">
        <v>90.2</v>
      </c>
      <c r="F1918" s="12" t="n">
        <v>0</v>
      </c>
      <c r="G1918" s="4" t="n">
        <v>0</v>
      </c>
      <c r="H1918" s="4">
        <f>IF(OR(N(F1918)&gt;=0.5,G1918&gt;=4),3,IF(OR(N(F1918)&gt;=0.3,G1918=3),2,IF(OR(N(F1918)&gt;=0.1,G1918&gt;=1),1,0)))</f>
        <v/>
      </c>
      <c r="I1918" s="4">
        <f>CHOOSE(H1918+1,"Kein Risiko","Gering","Mittel","Hoch")</f>
        <v/>
      </c>
    </row>
    <row r="1919">
      <c r="A1919" s="4" t="n">
        <v>1915</v>
      </c>
      <c r="B1919" s="4" t="inlineStr">
        <is>
          <t>yes</t>
        </is>
      </c>
      <c r="C1919" s="4" t="inlineStr">
        <is>
          <t>Schliepersberg</t>
        </is>
      </c>
      <c r="D1919" s="4" t="inlineStr">
        <is>
          <t>58b</t>
        </is>
      </c>
      <c r="E1919" s="13" t="n">
        <v>89.8</v>
      </c>
      <c r="F1919" s="12" t="n">
        <v>0</v>
      </c>
      <c r="G1919" s="4" t="n">
        <v>0</v>
      </c>
      <c r="H1919" s="4">
        <f>IF(OR(N(F1919)&gt;=0.5,G1919&gt;=4),3,IF(OR(N(F1919)&gt;=0.3,G1919=3),2,IF(OR(N(F1919)&gt;=0.1,G1919&gt;=1),1,0)))</f>
        <v/>
      </c>
      <c r="I1919" s="4">
        <f>CHOOSE(H1919+1,"Kein Risiko","Gering","Mittel","Hoch")</f>
        <v/>
      </c>
    </row>
    <row r="1920">
      <c r="A1920" s="4" t="n">
        <v>1916</v>
      </c>
      <c r="B1920" s="4" t="inlineStr">
        <is>
          <t>apartments</t>
        </is>
      </c>
      <c r="C1920" s="4" t="inlineStr">
        <is>
          <t>Kupferdreher Straße</t>
        </is>
      </c>
      <c r="D1920" s="4" t="inlineStr">
        <is>
          <t>59</t>
        </is>
      </c>
      <c r="E1920" s="13" t="n">
        <v>154.8</v>
      </c>
      <c r="F1920" s="12" t="n">
        <v>0.1300010681152344</v>
      </c>
      <c r="G1920" s="4" t="n">
        <v>1</v>
      </c>
      <c r="H1920" s="4">
        <f>IF(OR(N(F1920)&gt;=0.5,G1920&gt;=4),3,IF(OR(N(F1920)&gt;=0.3,G1920=3),2,IF(OR(N(F1920)&gt;=0.1,G1920&gt;=1),1,0)))</f>
        <v/>
      </c>
      <c r="I1920" s="4">
        <f>CHOOSE(H1920+1,"Kein Risiko","Gering","Mittel","Hoch")</f>
        <v/>
      </c>
    </row>
    <row r="1921">
      <c r="A1921" s="4" t="n">
        <v>1917</v>
      </c>
      <c r="B1921" s="4" t="inlineStr">
        <is>
          <t>house</t>
        </is>
      </c>
      <c r="C1921" s="4" t="inlineStr">
        <is>
          <t>Schliepersberg</t>
        </is>
      </c>
      <c r="D1921" s="4" t="inlineStr">
        <is>
          <t>59</t>
        </is>
      </c>
      <c r="E1921" s="13" t="n">
        <v>92</v>
      </c>
      <c r="F1921" s="12" t="n">
        <v>0.0099945068359375</v>
      </c>
      <c r="G1921" s="4" t="n">
        <v>0</v>
      </c>
      <c r="H1921" s="4">
        <f>IF(OR(N(F1921)&gt;=0.5,G1921&gt;=4),3,IF(OR(N(F1921)&gt;=0.3,G1921=3),2,IF(OR(N(F1921)&gt;=0.1,G1921&gt;=1),1,0)))</f>
        <v/>
      </c>
      <c r="I1921" s="4">
        <f>CHOOSE(H1921+1,"Kein Risiko","Gering","Mittel","Hoch")</f>
        <v/>
      </c>
    </row>
    <row r="1922">
      <c r="A1922" s="4" t="n">
        <v>1918</v>
      </c>
      <c r="B1922" s="4" t="inlineStr">
        <is>
          <t>semidetached_house</t>
        </is>
      </c>
      <c r="C1922" s="4" t="inlineStr">
        <is>
          <t>Schwermannstraße</t>
        </is>
      </c>
      <c r="D1922" s="4" t="inlineStr">
        <is>
          <t>59</t>
        </is>
      </c>
      <c r="E1922" s="13" t="n">
        <v>93.5</v>
      </c>
      <c r="F1922" s="12" t="n">
        <v>0.029998779296875</v>
      </c>
      <c r="G1922" s="4" t="n">
        <v>0</v>
      </c>
      <c r="H1922" s="4">
        <f>IF(OR(N(F1922)&gt;=0.5,G1922&gt;=4),3,IF(OR(N(F1922)&gt;=0.3,G1922=3),2,IF(OR(N(F1922)&gt;=0.1,G1922&gt;=1),1,0)))</f>
        <v/>
      </c>
      <c r="I1922" s="4">
        <f>CHOOSE(H1922+1,"Kein Risiko","Gering","Mittel","Hoch")</f>
        <v/>
      </c>
    </row>
    <row r="1923">
      <c r="A1923" s="4" t="n">
        <v>1919</v>
      </c>
      <c r="B1923" s="4" t="inlineStr">
        <is>
          <t>apartments</t>
        </is>
      </c>
      <c r="C1923" s="4" t="inlineStr">
        <is>
          <t>Dixbäume</t>
        </is>
      </c>
      <c r="D1923" s="4" t="inlineStr">
        <is>
          <t>6</t>
        </is>
      </c>
      <c r="E1923" s="13" t="n">
        <v>89.59999999999999</v>
      </c>
      <c r="F1923" s="12" t="n">
        <v>0</v>
      </c>
      <c r="G1923" s="4" t="n">
        <v>3</v>
      </c>
      <c r="H1923" s="4">
        <f>IF(OR(N(F1923)&gt;=0.5,G1923&gt;=4),3,IF(OR(N(F1923)&gt;=0.3,G1923=3),2,IF(OR(N(F1923)&gt;=0.1,G1923&gt;=1),1,0)))</f>
        <v/>
      </c>
      <c r="I1923" s="4">
        <f>CHOOSE(H1923+1,"Kein Risiko","Gering","Mittel","Hoch")</f>
        <v/>
      </c>
    </row>
    <row r="1924">
      <c r="A1924" s="4" t="n">
        <v>1920</v>
      </c>
      <c r="B1924" s="4" t="inlineStr">
        <is>
          <t>yes</t>
        </is>
      </c>
      <c r="C1924" s="4" t="inlineStr">
        <is>
          <t>Gillesweg</t>
        </is>
      </c>
      <c r="D1924" s="4" t="inlineStr">
        <is>
          <t>6</t>
        </is>
      </c>
      <c r="E1924" s="13" t="n">
        <v>103.8</v>
      </c>
      <c r="F1924" s="12" t="n">
        <v>0</v>
      </c>
      <c r="G1924" s="4" t="n">
        <v>0</v>
      </c>
      <c r="H1924" s="4">
        <f>IF(OR(N(F1924)&gt;=0.5,G1924&gt;=4),3,IF(OR(N(F1924)&gt;=0.3,G1924=3),2,IF(OR(N(F1924)&gt;=0.1,G1924&gt;=1),1,0)))</f>
        <v/>
      </c>
      <c r="I1924" s="4">
        <f>CHOOSE(H1924+1,"Kein Risiko","Gering","Mittel","Hoch")</f>
        <v/>
      </c>
    </row>
    <row r="1925">
      <c r="A1925" s="4" t="n">
        <v>1921</v>
      </c>
      <c r="B1925" s="4" t="inlineStr">
        <is>
          <t>yes</t>
        </is>
      </c>
      <c r="C1925" s="4" t="inlineStr">
        <is>
          <t>Hinsbecker Hang</t>
        </is>
      </c>
      <c r="D1925" s="4" t="inlineStr">
        <is>
          <t>6</t>
        </is>
      </c>
      <c r="E1925" s="13" t="n">
        <v>89</v>
      </c>
      <c r="F1925" s="12" t="n">
        <v>0</v>
      </c>
      <c r="G1925" s="4" t="n">
        <v>0</v>
      </c>
      <c r="H1925" s="4">
        <f>IF(OR(N(F1925)&gt;=0.5,G1925&gt;=4),3,IF(OR(N(F1925)&gt;=0.3,G1925=3),2,IF(OR(N(F1925)&gt;=0.1,G1925&gt;=1),1,0)))</f>
        <v/>
      </c>
      <c r="I1925" s="4">
        <f>CHOOSE(H1925+1,"Kein Risiko","Gering","Mittel","Hoch")</f>
        <v/>
      </c>
    </row>
    <row r="1926">
      <c r="A1926" s="4" t="n">
        <v>1922</v>
      </c>
      <c r="B1926" s="4" t="inlineStr">
        <is>
          <t>apartments</t>
        </is>
      </c>
      <c r="C1926" s="4" t="inlineStr">
        <is>
          <t>Reulsbergweg</t>
        </is>
      </c>
      <c r="D1926" s="4" t="inlineStr">
        <is>
          <t>6</t>
        </is>
      </c>
      <c r="E1926" s="13" t="n">
        <v>122.1</v>
      </c>
      <c r="F1926" s="12" t="n">
        <v>0</v>
      </c>
      <c r="G1926" s="4" t="n">
        <v>0</v>
      </c>
      <c r="H1926" s="4">
        <f>IF(OR(N(F1926)&gt;=0.5,G1926&gt;=4),3,IF(OR(N(F1926)&gt;=0.3,G1926=3),2,IF(OR(N(F1926)&gt;=0.1,G1926&gt;=1),1,0)))</f>
        <v/>
      </c>
      <c r="I1926" s="4">
        <f>CHOOSE(H1926+1,"Kein Risiko","Gering","Mittel","Hoch")</f>
        <v/>
      </c>
    </row>
    <row r="1927">
      <c r="A1927" s="4" t="n">
        <v>1923</v>
      </c>
      <c r="B1927" s="4" t="inlineStr">
        <is>
          <t>yes</t>
        </is>
      </c>
      <c r="C1927" s="4" t="inlineStr">
        <is>
          <t>Schliepersberg</t>
        </is>
      </c>
      <c r="D1927" s="4" t="inlineStr">
        <is>
          <t>60</t>
        </is>
      </c>
      <c r="E1927" s="13" t="n">
        <v>113.9</v>
      </c>
      <c r="F1927" s="12" t="n">
        <v>0</v>
      </c>
      <c r="G1927" s="4" t="n">
        <v>0</v>
      </c>
      <c r="H1927" s="4">
        <f>IF(OR(N(F1927)&gt;=0.5,G1927&gt;=4),3,IF(OR(N(F1927)&gt;=0.3,G1927=3),2,IF(OR(N(F1927)&gt;=0.1,G1927&gt;=1),1,0)))</f>
        <v/>
      </c>
      <c r="I1927" s="4">
        <f>CHOOSE(H1927+1,"Kein Risiko","Gering","Mittel","Hoch")</f>
        <v/>
      </c>
    </row>
    <row r="1928">
      <c r="A1928" s="4" t="n">
        <v>1924</v>
      </c>
      <c r="B1928" s="4" t="inlineStr">
        <is>
          <t>yes</t>
        </is>
      </c>
      <c r="C1928" s="4" t="inlineStr">
        <is>
          <t>Reulsbergweg</t>
        </is>
      </c>
      <c r="D1928" s="4" t="inlineStr">
        <is>
          <t>60a</t>
        </is>
      </c>
      <c r="E1928" s="13" t="n">
        <v>59.3</v>
      </c>
      <c r="F1928" s="12" t="n">
        <v>0</v>
      </c>
      <c r="G1928" s="4" t="n">
        <v>0</v>
      </c>
      <c r="H1928" s="4">
        <f>IF(OR(N(F1928)&gt;=0.5,G1928&gt;=4),3,IF(OR(N(F1928)&gt;=0.3,G1928=3),2,IF(OR(N(F1928)&gt;=0.1,G1928&gt;=1),1,0)))</f>
        <v/>
      </c>
      <c r="I1928" s="4">
        <f>CHOOSE(H1928+1,"Kein Risiko","Gering","Mittel","Hoch")</f>
        <v/>
      </c>
    </row>
    <row r="1929">
      <c r="A1929" s="4" t="n">
        <v>1925</v>
      </c>
      <c r="B1929" s="4" t="inlineStr">
        <is>
          <t>retail</t>
        </is>
      </c>
      <c r="C1929" s="4" t="inlineStr">
        <is>
          <t>Kupferdreher Straße</t>
        </is>
      </c>
      <c r="D1929" s="4" t="inlineStr">
        <is>
          <t>61</t>
        </is>
      </c>
      <c r="E1929" s="13" t="n">
        <v>330.7</v>
      </c>
      <c r="F1929" s="12" t="n">
        <v>0.07999801635742188</v>
      </c>
      <c r="G1929" s="4" t="n">
        <v>1</v>
      </c>
      <c r="H1929" s="4">
        <f>IF(OR(N(F1929)&gt;=0.5,G1929&gt;=4),3,IF(OR(N(F1929)&gt;=0.3,G1929=3),2,IF(OR(N(F1929)&gt;=0.1,G1929&gt;=1),1,0)))</f>
        <v/>
      </c>
      <c r="I1929" s="4">
        <f>CHOOSE(H1929+1,"Kein Risiko","Gering","Mittel","Hoch")</f>
        <v/>
      </c>
    </row>
    <row r="1930">
      <c r="A1930" s="4" t="n">
        <v>1926</v>
      </c>
      <c r="B1930" s="4" t="inlineStr">
        <is>
          <t>house</t>
        </is>
      </c>
      <c r="C1930" s="4" t="inlineStr">
        <is>
          <t>Schliepersberg</t>
        </is>
      </c>
      <c r="D1930" s="4" t="inlineStr">
        <is>
          <t>63</t>
        </is>
      </c>
      <c r="E1930" s="13" t="n">
        <v>92.09999999999999</v>
      </c>
      <c r="F1930" s="12" t="n">
        <v>0</v>
      </c>
      <c r="G1930" s="4" t="n">
        <v>0</v>
      </c>
      <c r="H1930" s="4">
        <f>IF(OR(N(F1930)&gt;=0.5,G1930&gt;=4),3,IF(OR(N(F1930)&gt;=0.3,G1930=3),2,IF(OR(N(F1930)&gt;=0.1,G1930&gt;=1),1,0)))</f>
        <v/>
      </c>
      <c r="I1930" s="4">
        <f>CHOOSE(H1930+1,"Kein Risiko","Gering","Mittel","Hoch")</f>
        <v/>
      </c>
    </row>
    <row r="1931">
      <c r="A1931" s="4" t="n">
        <v>1927</v>
      </c>
      <c r="B1931" s="4" t="inlineStr">
        <is>
          <t>apartments</t>
        </is>
      </c>
      <c r="C1931" s="4" t="inlineStr">
        <is>
          <t>Schwermannstraße</t>
        </is>
      </c>
      <c r="D1931" s="4" t="inlineStr">
        <is>
          <t>63</t>
        </is>
      </c>
      <c r="E1931" s="13" t="n">
        <v>191.2</v>
      </c>
      <c r="F1931" s="12" t="n">
        <v>0.04000091552734375</v>
      </c>
      <c r="G1931" s="4" t="n">
        <v>0</v>
      </c>
      <c r="H1931" s="4">
        <f>IF(OR(N(F1931)&gt;=0.5,G1931&gt;=4),3,IF(OR(N(F1931)&gt;=0.3,G1931=3),2,IF(OR(N(F1931)&gt;=0.1,G1931&gt;=1),1,0)))</f>
        <v/>
      </c>
      <c r="I1931" s="4">
        <f>CHOOSE(H1931+1,"Kein Risiko","Gering","Mittel","Hoch")</f>
        <v/>
      </c>
    </row>
    <row r="1932">
      <c r="A1932" s="4" t="n">
        <v>1928</v>
      </c>
      <c r="B1932" s="4" t="inlineStr">
        <is>
          <t>house</t>
        </is>
      </c>
      <c r="C1932" s="4" t="inlineStr">
        <is>
          <t>Schliepersberg</t>
        </is>
      </c>
      <c r="D1932" s="4" t="inlineStr">
        <is>
          <t>65</t>
        </is>
      </c>
      <c r="E1932" s="13" t="n">
        <v>102.8</v>
      </c>
      <c r="F1932" s="12" t="n">
        <v>0</v>
      </c>
      <c r="G1932" s="4" t="n">
        <v>0</v>
      </c>
      <c r="H1932" s="4">
        <f>IF(OR(N(F1932)&gt;=0.5,G1932&gt;=4),3,IF(OR(N(F1932)&gt;=0.3,G1932=3),2,IF(OR(N(F1932)&gt;=0.1,G1932&gt;=1),1,0)))</f>
        <v/>
      </c>
      <c r="I1932" s="4">
        <f>CHOOSE(H1932+1,"Kein Risiko","Gering","Mittel","Hoch")</f>
        <v/>
      </c>
    </row>
    <row r="1933">
      <c r="A1933" s="4" t="n">
        <v>1929</v>
      </c>
      <c r="B1933" s="4" t="inlineStr">
        <is>
          <t>yes</t>
        </is>
      </c>
      <c r="C1933" s="4" t="inlineStr">
        <is>
          <t>Schliepersberg</t>
        </is>
      </c>
      <c r="D1933" s="4" t="inlineStr">
        <is>
          <t>67</t>
        </is>
      </c>
      <c r="E1933" s="13" t="n">
        <v>143.5</v>
      </c>
      <c r="F1933" s="12" t="n">
        <v>0.1500091552734375</v>
      </c>
      <c r="G1933" s="4" t="n">
        <v>0</v>
      </c>
      <c r="H1933" s="4">
        <f>IF(OR(N(F1933)&gt;=0.5,G1933&gt;=4),3,IF(OR(N(F1933)&gt;=0.3,G1933=3),2,IF(OR(N(F1933)&gt;=0.1,G1933&gt;=1),1,0)))</f>
        <v/>
      </c>
      <c r="I1933" s="4">
        <f>CHOOSE(H1933+1,"Kein Risiko","Gering","Mittel","Hoch")</f>
        <v/>
      </c>
    </row>
    <row r="1934">
      <c r="A1934" s="4" t="n">
        <v>1930</v>
      </c>
      <c r="B1934" s="4" t="inlineStr">
        <is>
          <t>apartments</t>
        </is>
      </c>
      <c r="C1934" s="4" t="inlineStr">
        <is>
          <t>Schwermannstraße</t>
        </is>
      </c>
      <c r="D1934" s="4" t="inlineStr">
        <is>
          <t>68</t>
        </is>
      </c>
      <c r="E1934" s="13" t="n">
        <v>110.2</v>
      </c>
      <c r="F1934" s="12" t="n">
        <v>0.0099945068359375</v>
      </c>
      <c r="G1934" s="4" t="n">
        <v>0</v>
      </c>
      <c r="H1934" s="4">
        <f>IF(OR(N(F1934)&gt;=0.5,G1934&gt;=4),3,IF(OR(N(F1934)&gt;=0.3,G1934=3),2,IF(OR(N(F1934)&gt;=0.1,G1934&gt;=1),1,0)))</f>
        <v/>
      </c>
      <c r="I1934" s="4">
        <f>CHOOSE(H1934+1,"Kein Risiko","Gering","Mittel","Hoch")</f>
        <v/>
      </c>
    </row>
    <row r="1935">
      <c r="A1935" s="4" t="n">
        <v>1931</v>
      </c>
      <c r="B1935" s="4" t="inlineStr">
        <is>
          <t>yes</t>
        </is>
      </c>
      <c r="C1935" s="4" t="inlineStr">
        <is>
          <t>Hinsbecker Hang</t>
        </is>
      </c>
      <c r="D1935" s="4" t="inlineStr">
        <is>
          <t>7</t>
        </is>
      </c>
      <c r="E1935" s="13" t="n">
        <v>100.3</v>
      </c>
      <c r="F1935" s="12" t="n">
        <v>0</v>
      </c>
      <c r="G1935" s="4" t="n">
        <v>1</v>
      </c>
      <c r="H1935" s="4">
        <f>IF(OR(N(F1935)&gt;=0.5,G1935&gt;=4),3,IF(OR(N(F1935)&gt;=0.3,G1935=3),2,IF(OR(N(F1935)&gt;=0.1,G1935&gt;=1),1,0)))</f>
        <v/>
      </c>
      <c r="I1935" s="4">
        <f>CHOOSE(H1935+1,"Kein Risiko","Gering","Mittel","Hoch")</f>
        <v/>
      </c>
    </row>
    <row r="1936">
      <c r="A1936" s="4" t="n">
        <v>1932</v>
      </c>
      <c r="B1936" s="4" t="inlineStr">
        <is>
          <t>yes</t>
        </is>
      </c>
      <c r="C1936" s="4" t="inlineStr">
        <is>
          <t>Provesthöhe</t>
        </is>
      </c>
      <c r="D1936" s="4" t="inlineStr">
        <is>
          <t>7</t>
        </is>
      </c>
      <c r="E1936" s="13" t="n">
        <v>76.5</v>
      </c>
      <c r="F1936" s="12" t="n">
        <v>0</v>
      </c>
      <c r="G1936" s="4" t="n">
        <v>0</v>
      </c>
      <c r="H1936" s="4">
        <f>IF(OR(N(F1936)&gt;=0.5,G1936&gt;=4),3,IF(OR(N(F1936)&gt;=0.3,G1936=3),2,IF(OR(N(F1936)&gt;=0.1,G1936&gt;=1),1,0)))</f>
        <v/>
      </c>
      <c r="I1936" s="4">
        <f>CHOOSE(H1936+1,"Kein Risiko","Gering","Mittel","Hoch")</f>
        <v/>
      </c>
    </row>
    <row r="1937">
      <c r="A1937" s="4" t="n">
        <v>1933</v>
      </c>
      <c r="B1937" s="4" t="inlineStr">
        <is>
          <t>yes</t>
        </is>
      </c>
      <c r="C1937" s="4" t="inlineStr">
        <is>
          <t>Schliepersberg</t>
        </is>
      </c>
      <c r="D1937" s="4" t="inlineStr">
        <is>
          <t>71</t>
        </is>
      </c>
      <c r="E1937" s="13" t="n">
        <v>126.1</v>
      </c>
      <c r="F1937" s="12" t="n">
        <v>0</v>
      </c>
      <c r="G1937" s="4" t="n">
        <v>0</v>
      </c>
      <c r="H1937" s="4">
        <f>IF(OR(N(F1937)&gt;=0.5,G1937&gt;=4),3,IF(OR(N(F1937)&gt;=0.3,G1937=3),2,IF(OR(N(F1937)&gt;=0.1,G1937&gt;=1),1,0)))</f>
        <v/>
      </c>
      <c r="I1937" s="4">
        <f>CHOOSE(H1937+1,"Kein Risiko","Gering","Mittel","Hoch")</f>
        <v/>
      </c>
    </row>
    <row r="1938">
      <c r="A1938" s="4" t="n">
        <v>1934</v>
      </c>
      <c r="B1938" s="4" t="inlineStr">
        <is>
          <t>apartments</t>
        </is>
      </c>
      <c r="C1938" s="4" t="inlineStr"/>
      <c r="D1938" s="4" t="inlineStr"/>
      <c r="E1938" s="13" t="n">
        <v>257.4</v>
      </c>
      <c r="F1938" s="12" t="n">
        <v>0.03000259399414062</v>
      </c>
      <c r="G1938" s="4" t="n">
        <v>1</v>
      </c>
      <c r="H1938" s="4">
        <f>IF(OR(N(F1938)&gt;=0.5,G1938&gt;=4),3,IF(OR(N(F1938)&gt;=0.3,G1938=3),2,IF(OR(N(F1938)&gt;=0.1,G1938&gt;=1),1,0)))</f>
        <v/>
      </c>
      <c r="I1938" s="4">
        <f>CHOOSE(H1938+1,"Kein Risiko","Gering","Mittel","Hoch")</f>
        <v/>
      </c>
    </row>
    <row r="1939">
      <c r="A1939" s="4" t="n">
        <v>1935</v>
      </c>
      <c r="B1939" s="4" t="inlineStr">
        <is>
          <t>apartments</t>
        </is>
      </c>
      <c r="C1939" s="4" t="inlineStr">
        <is>
          <t>Kupferdreher Straße</t>
        </is>
      </c>
      <c r="D1939" s="4" t="inlineStr">
        <is>
          <t>73</t>
        </is>
      </c>
      <c r="E1939" s="13" t="n">
        <v>140.1</v>
      </c>
      <c r="F1939" s="12" t="n">
        <v>0.09999847412109375</v>
      </c>
      <c r="G1939" s="4" t="n">
        <v>1</v>
      </c>
      <c r="H1939" s="4">
        <f>IF(OR(N(F1939)&gt;=0.5,G1939&gt;=4),3,IF(OR(N(F1939)&gt;=0.3,G1939=3),2,IF(OR(N(F1939)&gt;=0.1,G1939&gt;=1),1,0)))</f>
        <v/>
      </c>
      <c r="I1939" s="4">
        <f>CHOOSE(H1939+1,"Kein Risiko","Gering","Mittel","Hoch")</f>
        <v/>
      </c>
    </row>
    <row r="1940">
      <c r="A1940" s="4" t="n">
        <v>1936</v>
      </c>
      <c r="B1940" s="4" t="inlineStr">
        <is>
          <t>apartments</t>
        </is>
      </c>
      <c r="C1940" s="4" t="inlineStr">
        <is>
          <t>Kupferdreher Straße</t>
        </is>
      </c>
      <c r="D1940" s="4" t="inlineStr">
        <is>
          <t>75</t>
        </is>
      </c>
      <c r="E1940" s="13" t="n">
        <v>194.6</v>
      </c>
      <c r="F1940" s="12" t="n">
        <v>0.0800018310546875</v>
      </c>
      <c r="G1940" s="4" t="n">
        <v>1</v>
      </c>
      <c r="H1940" s="4">
        <f>IF(OR(N(F1940)&gt;=0.5,G1940&gt;=4),3,IF(OR(N(F1940)&gt;=0.3,G1940=3),2,IF(OR(N(F1940)&gt;=0.1,G1940&gt;=1),1,0)))</f>
        <v/>
      </c>
      <c r="I1940" s="4">
        <f>CHOOSE(H1940+1,"Kein Risiko","Gering","Mittel","Hoch")</f>
        <v/>
      </c>
    </row>
    <row r="1941">
      <c r="A1941" s="4" t="n">
        <v>1937</v>
      </c>
      <c r="B1941" s="4" t="inlineStr">
        <is>
          <t>yes</t>
        </is>
      </c>
      <c r="C1941" s="4" t="inlineStr">
        <is>
          <t>Schliepersberg</t>
        </is>
      </c>
      <c r="D1941" s="4" t="inlineStr">
        <is>
          <t>75</t>
        </is>
      </c>
      <c r="E1941" s="13" t="n">
        <v>102.5</v>
      </c>
      <c r="F1941" s="12" t="n">
        <v>0</v>
      </c>
      <c r="G1941" s="4" t="n">
        <v>0</v>
      </c>
      <c r="H1941" s="4">
        <f>IF(OR(N(F1941)&gt;=0.5,G1941&gt;=4),3,IF(OR(N(F1941)&gt;=0.3,G1941=3),2,IF(OR(N(F1941)&gt;=0.1,G1941&gt;=1),1,0)))</f>
        <v/>
      </c>
      <c r="I1941" s="4">
        <f>CHOOSE(H1941+1,"Kein Risiko","Gering","Mittel","Hoch")</f>
        <v/>
      </c>
    </row>
    <row r="1942">
      <c r="A1942" s="4" t="n">
        <v>1938</v>
      </c>
      <c r="B1942" s="4" t="inlineStr">
        <is>
          <t>apartments</t>
        </is>
      </c>
      <c r="C1942" s="4" t="inlineStr">
        <is>
          <t>Kupferdreher Straße</t>
        </is>
      </c>
      <c r="D1942" s="4" t="inlineStr">
        <is>
          <t>77</t>
        </is>
      </c>
      <c r="E1942" s="13" t="n">
        <v>169</v>
      </c>
      <c r="F1942" s="12" t="n">
        <v>0.07000350952148438</v>
      </c>
      <c r="G1942" s="4" t="n">
        <v>1</v>
      </c>
      <c r="H1942" s="4">
        <f>IF(OR(N(F1942)&gt;=0.5,G1942&gt;=4),3,IF(OR(N(F1942)&gt;=0.3,G1942=3),2,IF(OR(N(F1942)&gt;=0.1,G1942&gt;=1),1,0)))</f>
        <v/>
      </c>
      <c r="I1942" s="4">
        <f>CHOOSE(H1942+1,"Kein Risiko","Gering","Mittel","Hoch")</f>
        <v/>
      </c>
    </row>
    <row r="1943">
      <c r="A1943" s="4" t="n">
        <v>1939</v>
      </c>
      <c r="B1943" s="4" t="inlineStr">
        <is>
          <t>yes</t>
        </is>
      </c>
      <c r="C1943" s="4" t="inlineStr">
        <is>
          <t>Schliepersberg</t>
        </is>
      </c>
      <c r="D1943" s="4" t="inlineStr">
        <is>
          <t>77</t>
        </is>
      </c>
      <c r="E1943" s="13" t="n">
        <v>116.1</v>
      </c>
      <c r="F1943" s="12" t="n">
        <v>0</v>
      </c>
      <c r="G1943" s="4" t="n">
        <v>0</v>
      </c>
      <c r="H1943" s="4">
        <f>IF(OR(N(F1943)&gt;=0.5,G1943&gt;=4),3,IF(OR(N(F1943)&gt;=0.3,G1943=3),2,IF(OR(N(F1943)&gt;=0.1,G1943&gt;=1),1,0)))</f>
        <v/>
      </c>
      <c r="I1943" s="4">
        <f>CHOOSE(H1943+1,"Kein Risiko","Gering","Mittel","Hoch")</f>
        <v/>
      </c>
    </row>
    <row r="1944">
      <c r="A1944" s="4" t="n">
        <v>1940</v>
      </c>
      <c r="B1944" s="4" t="inlineStr">
        <is>
          <t>apartments</t>
        </is>
      </c>
      <c r="C1944" s="4" t="inlineStr">
        <is>
          <t>Kupferdreher Straße</t>
        </is>
      </c>
      <c r="D1944" s="4" t="inlineStr">
        <is>
          <t>79</t>
        </is>
      </c>
      <c r="E1944" s="13" t="n">
        <v>148.1</v>
      </c>
      <c r="F1944" s="12" t="n">
        <v>0</v>
      </c>
      <c r="G1944" s="4" t="n">
        <v>2</v>
      </c>
      <c r="H1944" s="4">
        <f>IF(OR(N(F1944)&gt;=0.5,G1944&gt;=4),3,IF(OR(N(F1944)&gt;=0.3,G1944=3),2,IF(OR(N(F1944)&gt;=0.1,G1944&gt;=1),1,0)))</f>
        <v/>
      </c>
      <c r="I1944" s="4">
        <f>CHOOSE(H1944+1,"Kein Risiko","Gering","Mittel","Hoch")</f>
        <v/>
      </c>
    </row>
    <row r="1945">
      <c r="A1945" s="4" t="n">
        <v>1941</v>
      </c>
      <c r="B1945" s="4" t="inlineStr">
        <is>
          <t>yes</t>
        </is>
      </c>
      <c r="C1945" s="4" t="inlineStr">
        <is>
          <t>Anstockstraße</t>
        </is>
      </c>
      <c r="D1945" s="4" t="inlineStr">
        <is>
          <t>8</t>
        </is>
      </c>
      <c r="E1945" s="13" t="n">
        <v>101.1</v>
      </c>
      <c r="F1945" s="12" t="n">
        <v>0.029998779296875</v>
      </c>
      <c r="G1945" s="4" t="n">
        <v>0</v>
      </c>
      <c r="H1945" s="4">
        <f>IF(OR(N(F1945)&gt;=0.5,G1945&gt;=4),3,IF(OR(N(F1945)&gt;=0.3,G1945=3),2,IF(OR(N(F1945)&gt;=0.1,G1945&gt;=1),1,0)))</f>
        <v/>
      </c>
      <c r="I1945" s="4">
        <f>CHOOSE(H1945+1,"Kein Risiko","Gering","Mittel","Hoch")</f>
        <v/>
      </c>
    </row>
    <row r="1946">
      <c r="A1946" s="4" t="n">
        <v>1942</v>
      </c>
      <c r="B1946" s="4" t="inlineStr">
        <is>
          <t>apartments</t>
        </is>
      </c>
      <c r="C1946" s="4" t="inlineStr">
        <is>
          <t>Dixbäume</t>
        </is>
      </c>
      <c r="D1946" s="4" t="inlineStr">
        <is>
          <t>8</t>
        </is>
      </c>
      <c r="E1946" s="13" t="n">
        <v>89.59999999999999</v>
      </c>
      <c r="F1946" s="12" t="n">
        <v>0</v>
      </c>
      <c r="G1946" s="4" t="n">
        <v>0</v>
      </c>
      <c r="H1946" s="4">
        <f>IF(OR(N(F1946)&gt;=0.5,G1946&gt;=4),3,IF(OR(N(F1946)&gt;=0.3,G1946=3),2,IF(OR(N(F1946)&gt;=0.1,G1946&gt;=1),1,0)))</f>
        <v/>
      </c>
      <c r="I1946" s="4">
        <f>CHOOSE(H1946+1,"Kein Risiko","Gering","Mittel","Hoch")</f>
        <v/>
      </c>
    </row>
    <row r="1947">
      <c r="A1947" s="4" t="n">
        <v>1943</v>
      </c>
      <c r="B1947" s="4" t="inlineStr">
        <is>
          <t>yes</t>
        </is>
      </c>
      <c r="C1947" s="4" t="inlineStr">
        <is>
          <t>Gillesweg</t>
        </is>
      </c>
      <c r="D1947" s="4" t="inlineStr">
        <is>
          <t>8</t>
        </is>
      </c>
      <c r="E1947" s="13" t="n">
        <v>104.6</v>
      </c>
      <c r="F1947" s="12" t="n">
        <v>0</v>
      </c>
      <c r="G1947" s="4" t="n">
        <v>2</v>
      </c>
      <c r="H1947" s="4">
        <f>IF(OR(N(F1947)&gt;=0.5,G1947&gt;=4),3,IF(OR(N(F1947)&gt;=0.3,G1947=3),2,IF(OR(N(F1947)&gt;=0.1,G1947&gt;=1),1,0)))</f>
        <v/>
      </c>
      <c r="I1947" s="4">
        <f>CHOOSE(H1947+1,"Kein Risiko","Gering","Mittel","Hoch")</f>
        <v/>
      </c>
    </row>
    <row r="1948">
      <c r="A1948" s="4" t="n">
        <v>1944</v>
      </c>
      <c r="B1948" s="4" t="inlineStr">
        <is>
          <t>semidetached_house</t>
        </is>
      </c>
      <c r="C1948" s="4" t="inlineStr">
        <is>
          <t>Heidenreichberg</t>
        </is>
      </c>
      <c r="D1948" s="4" t="inlineStr">
        <is>
          <t>8</t>
        </is>
      </c>
      <c r="E1948" s="13" t="n">
        <v>71.90000000000001</v>
      </c>
      <c r="F1948" s="12" t="n">
        <v>0</v>
      </c>
      <c r="G1948" s="4" t="n">
        <v>0</v>
      </c>
      <c r="H1948" s="4">
        <f>IF(OR(N(F1948)&gt;=0.5,G1948&gt;=4),3,IF(OR(N(F1948)&gt;=0.3,G1948=3),2,IF(OR(N(F1948)&gt;=0.1,G1948&gt;=1),1,0)))</f>
        <v/>
      </c>
      <c r="I1948" s="4">
        <f>CHOOSE(H1948+1,"Kein Risiko","Gering","Mittel","Hoch")</f>
        <v/>
      </c>
    </row>
    <row r="1949">
      <c r="A1949" s="4" t="n">
        <v>1945</v>
      </c>
      <c r="B1949" s="4" t="inlineStr">
        <is>
          <t>yes</t>
        </is>
      </c>
      <c r="C1949" s="4" t="inlineStr">
        <is>
          <t>Hinsbecker Berg</t>
        </is>
      </c>
      <c r="D1949" s="4" t="inlineStr">
        <is>
          <t>8</t>
        </is>
      </c>
      <c r="E1949" s="13" t="n">
        <v>154.4</v>
      </c>
      <c r="F1949" s="12" t="n">
        <v>0.01999664306640625</v>
      </c>
      <c r="G1949" s="4" t="n">
        <v>1</v>
      </c>
      <c r="H1949" s="4">
        <f>IF(OR(N(F1949)&gt;=0.5,G1949&gt;=4),3,IF(OR(N(F1949)&gt;=0.3,G1949=3),2,IF(OR(N(F1949)&gt;=0.1,G1949&gt;=1),1,0)))</f>
        <v/>
      </c>
      <c r="I1949" s="4">
        <f>CHOOSE(H1949+1,"Kein Risiko","Gering","Mittel","Hoch")</f>
        <v/>
      </c>
    </row>
    <row r="1950">
      <c r="A1950" s="4" t="n">
        <v>1946</v>
      </c>
      <c r="B1950" s="4" t="inlineStr">
        <is>
          <t>yes</t>
        </is>
      </c>
      <c r="C1950" s="4" t="inlineStr">
        <is>
          <t>Sandstraße</t>
        </is>
      </c>
      <c r="D1950" s="4" t="inlineStr">
        <is>
          <t>8</t>
        </is>
      </c>
      <c r="E1950" s="13" t="n">
        <v>72.90000000000001</v>
      </c>
      <c r="F1950" s="12" t="n">
        <v>0.2399978637695312</v>
      </c>
      <c r="G1950" s="4" t="n">
        <v>0</v>
      </c>
      <c r="H1950" s="4">
        <f>IF(OR(N(F1950)&gt;=0.5,G1950&gt;=4),3,IF(OR(N(F1950)&gt;=0.3,G1950=3),2,IF(OR(N(F1950)&gt;=0.1,G1950&gt;=1),1,0)))</f>
        <v/>
      </c>
      <c r="I1950" s="4">
        <f>CHOOSE(H1950+1,"Kein Risiko","Gering","Mittel","Hoch")</f>
        <v/>
      </c>
    </row>
    <row r="1951">
      <c r="A1951" s="4" t="n">
        <v>1947</v>
      </c>
      <c r="B1951" s="4" t="inlineStr">
        <is>
          <t>apartments</t>
        </is>
      </c>
      <c r="C1951" s="4" t="inlineStr">
        <is>
          <t>Kupferdreher Straße</t>
        </is>
      </c>
      <c r="D1951" s="4" t="inlineStr">
        <is>
          <t>81</t>
        </is>
      </c>
      <c r="E1951" s="13" t="n">
        <v>136.5</v>
      </c>
      <c r="F1951" s="12" t="n">
        <v>0</v>
      </c>
      <c r="G1951" s="4" t="n">
        <v>2</v>
      </c>
      <c r="H1951" s="4">
        <f>IF(OR(N(F1951)&gt;=0.5,G1951&gt;=4),3,IF(OR(N(F1951)&gt;=0.3,G1951=3),2,IF(OR(N(F1951)&gt;=0.1,G1951&gt;=1),1,0)))</f>
        <v/>
      </c>
      <c r="I1951" s="4">
        <f>CHOOSE(H1951+1,"Kein Risiko","Gering","Mittel","Hoch")</f>
        <v/>
      </c>
    </row>
    <row r="1952">
      <c r="A1952" s="4" t="n">
        <v>1948</v>
      </c>
      <c r="B1952" s="4" t="inlineStr">
        <is>
          <t>apartments</t>
        </is>
      </c>
      <c r="C1952" s="4" t="inlineStr">
        <is>
          <t>Kupferdreher Straße</t>
        </is>
      </c>
      <c r="D1952" s="4" t="inlineStr">
        <is>
          <t>83</t>
        </is>
      </c>
      <c r="E1952" s="13" t="n">
        <v>143.6</v>
      </c>
      <c r="F1952" s="12" t="n">
        <v>0</v>
      </c>
      <c r="G1952" s="4" t="n">
        <v>0</v>
      </c>
      <c r="H1952" s="4">
        <f>IF(OR(N(F1952)&gt;=0.5,G1952&gt;=4),3,IF(OR(N(F1952)&gt;=0.3,G1952=3),2,IF(OR(N(F1952)&gt;=0.1,G1952&gt;=1),1,0)))</f>
        <v/>
      </c>
      <c r="I1952" s="4">
        <f>CHOOSE(H1952+1,"Kein Risiko","Gering","Mittel","Hoch")</f>
        <v/>
      </c>
    </row>
    <row r="1953">
      <c r="A1953" s="4" t="n">
        <v>1949</v>
      </c>
      <c r="B1953" s="4" t="inlineStr">
        <is>
          <t>yes</t>
        </is>
      </c>
      <c r="C1953" s="4" t="inlineStr">
        <is>
          <t>Schliepersberg</t>
        </is>
      </c>
      <c r="D1953" s="4" t="inlineStr">
        <is>
          <t>83</t>
        </is>
      </c>
      <c r="E1953" s="13" t="n">
        <v>81.90000000000001</v>
      </c>
      <c r="F1953" s="12" t="n">
        <v>0</v>
      </c>
      <c r="G1953" s="4" t="n">
        <v>0</v>
      </c>
      <c r="H1953" s="4">
        <f>IF(OR(N(F1953)&gt;=0.5,G1953&gt;=4),3,IF(OR(N(F1953)&gt;=0.3,G1953=3),2,IF(OR(N(F1953)&gt;=0.1,G1953&gt;=1),1,0)))</f>
        <v/>
      </c>
      <c r="I1953" s="4">
        <f>CHOOSE(H1953+1,"Kein Risiko","Gering","Mittel","Hoch")</f>
        <v/>
      </c>
    </row>
    <row r="1954">
      <c r="A1954" s="4" t="n">
        <v>1950</v>
      </c>
      <c r="B1954" s="4" t="inlineStr">
        <is>
          <t>apartments</t>
        </is>
      </c>
      <c r="C1954" s="4" t="inlineStr">
        <is>
          <t>Kupferdreher Straße</t>
        </is>
      </c>
      <c r="D1954" s="4" t="inlineStr">
        <is>
          <t>89</t>
        </is>
      </c>
      <c r="E1954" s="13" t="n">
        <v>188.6</v>
      </c>
      <c r="F1954" s="12" t="n">
        <v>0.1500015258789062</v>
      </c>
      <c r="G1954" s="4" t="n">
        <v>1</v>
      </c>
      <c r="H1954" s="4">
        <f>IF(OR(N(F1954)&gt;=0.5,G1954&gt;=4),3,IF(OR(N(F1954)&gt;=0.3,G1954=3),2,IF(OR(N(F1954)&gt;=0.1,G1954&gt;=1),1,0)))</f>
        <v/>
      </c>
      <c r="I1954" s="4">
        <f>CHOOSE(H1954+1,"Kein Risiko","Gering","Mittel","Hoch")</f>
        <v/>
      </c>
    </row>
    <row r="1955">
      <c r="A1955" s="4" t="n">
        <v>1951</v>
      </c>
      <c r="B1955" s="4" t="inlineStr">
        <is>
          <t>yes</t>
        </is>
      </c>
      <c r="C1955" s="4" t="inlineStr">
        <is>
          <t>Colsmanstraße</t>
        </is>
      </c>
      <c r="D1955" s="4" t="inlineStr">
        <is>
          <t>9</t>
        </is>
      </c>
      <c r="E1955" s="13" t="n">
        <v>118.2</v>
      </c>
      <c r="F1955" s="12" t="n">
        <v>1.399997711181641</v>
      </c>
      <c r="G1955" s="4" t="n">
        <v>1</v>
      </c>
      <c r="H1955" s="4">
        <f>IF(OR(N(F1955)&gt;=0.5,G1955&gt;=4),3,IF(OR(N(F1955)&gt;=0.3,G1955=3),2,IF(OR(N(F1955)&gt;=0.1,G1955&gt;=1),1,0)))</f>
        <v/>
      </c>
      <c r="I1955" s="4">
        <f>CHOOSE(H1955+1,"Kein Risiko","Gering","Mittel","Hoch")</f>
        <v/>
      </c>
    </row>
    <row r="1956">
      <c r="A1956" s="4" t="n">
        <v>1952</v>
      </c>
      <c r="B1956" s="4" t="inlineStr">
        <is>
          <t>yes</t>
        </is>
      </c>
      <c r="C1956" s="4" t="inlineStr">
        <is>
          <t>Hinsbecker Hang</t>
        </is>
      </c>
      <c r="D1956" s="4" t="inlineStr">
        <is>
          <t>9</t>
        </is>
      </c>
      <c r="E1956" s="13" t="n">
        <v>84.09999999999999</v>
      </c>
      <c r="F1956" s="12" t="n">
        <v>0</v>
      </c>
      <c r="G1956" s="4" t="n">
        <v>0</v>
      </c>
      <c r="H1956" s="4">
        <f>IF(OR(N(F1956)&gt;=0.5,G1956&gt;=4),3,IF(OR(N(F1956)&gt;=0.3,G1956=3),2,IF(OR(N(F1956)&gt;=0.1,G1956&gt;=1),1,0)))</f>
        <v/>
      </c>
      <c r="I1956" s="4">
        <f>CHOOSE(H1956+1,"Kein Risiko","Gering","Mittel","Hoch")</f>
        <v/>
      </c>
    </row>
    <row r="1957">
      <c r="A1957" s="4" t="n">
        <v>1953</v>
      </c>
      <c r="B1957" s="4" t="inlineStr">
        <is>
          <t>apartments</t>
        </is>
      </c>
      <c r="C1957" s="4" t="inlineStr">
        <is>
          <t>Narjesstraße</t>
        </is>
      </c>
      <c r="D1957" s="4" t="inlineStr">
        <is>
          <t>9</t>
        </is>
      </c>
      <c r="E1957" s="13" t="n">
        <v>151.8</v>
      </c>
      <c r="F1957" s="12" t="n">
        <v>0</v>
      </c>
      <c r="G1957" s="4" t="n">
        <v>1</v>
      </c>
      <c r="H1957" s="4">
        <f>IF(OR(N(F1957)&gt;=0.5,G1957&gt;=4),3,IF(OR(N(F1957)&gt;=0.3,G1957=3),2,IF(OR(N(F1957)&gt;=0.1,G1957&gt;=1),1,0)))</f>
        <v/>
      </c>
      <c r="I1957" s="4">
        <f>CHOOSE(H1957+1,"Kein Risiko","Gering","Mittel","Hoch")</f>
        <v/>
      </c>
    </row>
    <row r="1958">
      <c r="A1958" s="4" t="n">
        <v>1954</v>
      </c>
      <c r="B1958" s="4" t="inlineStr">
        <is>
          <t>house</t>
        </is>
      </c>
      <c r="C1958" s="4" t="inlineStr">
        <is>
          <t>Zementstraße</t>
        </is>
      </c>
      <c r="D1958" s="4" t="inlineStr">
        <is>
          <t>9</t>
        </is>
      </c>
      <c r="E1958" s="13" t="n">
        <v>66</v>
      </c>
      <c r="F1958" s="12" t="n">
        <v>0.04000091552734375</v>
      </c>
      <c r="G1958" s="4" t="n">
        <v>0</v>
      </c>
      <c r="H1958" s="4">
        <f>IF(OR(N(F1958)&gt;=0.5,G1958&gt;=4),3,IF(OR(N(F1958)&gt;=0.3,G1958=3),2,IF(OR(N(F1958)&gt;=0.1,G1958&gt;=1),1,0)))</f>
        <v/>
      </c>
      <c r="I1958" s="4">
        <f>CHOOSE(H1958+1,"Kein Risiko","Gering","Mittel","Hoch")</f>
        <v/>
      </c>
    </row>
    <row r="1959">
      <c r="A1959" s="4" t="n">
        <v>1955</v>
      </c>
      <c r="B1959" s="4" t="inlineStr">
        <is>
          <t>apartments</t>
        </is>
      </c>
      <c r="C1959" s="4" t="inlineStr">
        <is>
          <t>Kupferdreher Straße</t>
        </is>
      </c>
      <c r="D1959" s="4" t="inlineStr">
        <is>
          <t>93-95</t>
        </is>
      </c>
      <c r="E1959" s="13" t="n">
        <v>348.3</v>
      </c>
      <c r="F1959" s="12" t="n">
        <v>0.1100006103515625</v>
      </c>
      <c r="G1959" s="4" t="n">
        <v>3</v>
      </c>
      <c r="H1959" s="4">
        <f>IF(OR(N(F1959)&gt;=0.5,G1959&gt;=4),3,IF(OR(N(F1959)&gt;=0.3,G1959=3),2,IF(OR(N(F1959)&gt;=0.1,G1959&gt;=1),1,0)))</f>
        <v/>
      </c>
      <c r="I1959" s="4">
        <f>CHOOSE(H1959+1,"Kein Risiko","Gering","Mittel","Hoch")</f>
        <v/>
      </c>
    </row>
    <row r="1960">
      <c r="A1960" s="4" t="n">
        <v>1956</v>
      </c>
      <c r="B1960" s="4" t="inlineStr">
        <is>
          <t>yes</t>
        </is>
      </c>
      <c r="C1960" s="4" t="inlineStr">
        <is>
          <t>Schliepersberg</t>
        </is>
      </c>
      <c r="D1960" s="4" t="inlineStr">
        <is>
          <t>95a</t>
        </is>
      </c>
      <c r="E1960" s="13" t="n">
        <v>79.8</v>
      </c>
      <c r="F1960" s="12" t="n">
        <v>0</v>
      </c>
      <c r="G1960" s="4" t="n">
        <v>0</v>
      </c>
      <c r="H1960" s="4">
        <f>IF(OR(N(F1960)&gt;=0.5,G1960&gt;=4),3,IF(OR(N(F1960)&gt;=0.3,G1960=3),2,IF(OR(N(F1960)&gt;=0.1,G1960&gt;=1),1,0)))</f>
        <v/>
      </c>
      <c r="I1960" s="4">
        <f>CHOOSE(H1960+1,"Kein Risiko","Gering","Mittel","Hoch")</f>
        <v/>
      </c>
    </row>
    <row r="1961">
      <c r="A1961" s="4" t="n">
        <v>1957</v>
      </c>
      <c r="B1961" s="4" t="inlineStr">
        <is>
          <t>apartments</t>
        </is>
      </c>
      <c r="C1961" s="4" t="inlineStr">
        <is>
          <t>Kupferdreher Straße</t>
        </is>
      </c>
      <c r="D1961" s="4" t="inlineStr">
        <is>
          <t>97</t>
        </is>
      </c>
      <c r="E1961" s="13" t="n">
        <v>161.4</v>
      </c>
      <c r="F1961" s="12" t="n">
        <v>0.09999847412109375</v>
      </c>
      <c r="G1961" s="4" t="n">
        <v>3</v>
      </c>
      <c r="H1961" s="4">
        <f>IF(OR(N(F1961)&gt;=0.5,G1961&gt;=4),3,IF(OR(N(F1961)&gt;=0.3,G1961=3),2,IF(OR(N(F1961)&gt;=0.1,G1961&gt;=1),1,0)))</f>
        <v/>
      </c>
      <c r="I1961" s="4">
        <f>CHOOSE(H1961+1,"Kein Risiko","Gering","Mittel","Hoch")</f>
        <v/>
      </c>
    </row>
    <row r="1962">
      <c r="A1962" s="4" t="n">
        <v>1958</v>
      </c>
      <c r="B1962" s="4" t="inlineStr">
        <is>
          <t>garages</t>
        </is>
      </c>
      <c r="C1962" s="4" t="inlineStr"/>
      <c r="D1962" s="4" t="inlineStr"/>
      <c r="E1962" s="13" t="n">
        <v>173.3</v>
      </c>
      <c r="F1962" s="12" t="n">
        <v>0</v>
      </c>
      <c r="G1962" s="4" t="n">
        <v>1</v>
      </c>
      <c r="H1962" s="4">
        <f>IF(OR(N(F1962)&gt;=0.5,G1962&gt;=4),3,IF(OR(N(F1962)&gt;=0.3,G1962=3),2,IF(OR(N(F1962)&gt;=0.1,G1962&gt;=1),1,0)))</f>
        <v/>
      </c>
      <c r="I1962" s="4">
        <f>CHOOSE(H1962+1,"Kein Risiko","Gering","Mittel","Hoch")</f>
        <v/>
      </c>
    </row>
    <row r="1963">
      <c r="A1963" s="4" t="n">
        <v>1959</v>
      </c>
      <c r="B1963" s="4" t="inlineStr">
        <is>
          <t>garages</t>
        </is>
      </c>
      <c r="C1963" s="4" t="inlineStr"/>
      <c r="D1963" s="4" t="inlineStr"/>
      <c r="E1963" s="13" t="n">
        <v>151.7</v>
      </c>
      <c r="F1963" s="12" t="n">
        <v>0</v>
      </c>
      <c r="G1963" s="4" t="n">
        <v>2</v>
      </c>
      <c r="H1963" s="4">
        <f>IF(OR(N(F1963)&gt;=0.5,G1963&gt;=4),3,IF(OR(N(F1963)&gt;=0.3,G1963=3),2,IF(OR(N(F1963)&gt;=0.1,G1963&gt;=1),1,0)))</f>
        <v/>
      </c>
      <c r="I1963" s="4">
        <f>CHOOSE(H1963+1,"Kein Risiko","Gering","Mittel","Hoch")</f>
        <v/>
      </c>
    </row>
    <row r="1964">
      <c r="A1964" s="4" t="n">
        <v>1960</v>
      </c>
      <c r="B1964" s="4" t="inlineStr">
        <is>
          <t>yes</t>
        </is>
      </c>
      <c r="C1964" s="4" t="inlineStr">
        <is>
          <t>Marienbergstraße</t>
        </is>
      </c>
      <c r="D1964" s="4" t="inlineStr">
        <is>
          <t>1</t>
        </is>
      </c>
      <c r="E1964" s="13" t="n">
        <v>100</v>
      </c>
      <c r="F1964" s="12" t="n">
        <v>0.09000396728515625</v>
      </c>
      <c r="G1964" s="4" t="n">
        <v>0</v>
      </c>
      <c r="H1964" s="4">
        <f>IF(OR(N(F1964)&gt;=0.5,G1964&gt;=4),3,IF(OR(N(F1964)&gt;=0.3,G1964=3),2,IF(OR(N(F1964)&gt;=0.1,G1964&gt;=1),1,0)))</f>
        <v/>
      </c>
      <c r="I1964" s="4">
        <f>CHOOSE(H1964+1,"Kein Risiko","Gering","Mittel","Hoch")</f>
        <v/>
      </c>
    </row>
    <row r="1965">
      <c r="A1965" s="4" t="n">
        <v>1961</v>
      </c>
      <c r="B1965" s="4" t="inlineStr">
        <is>
          <t>yes</t>
        </is>
      </c>
      <c r="C1965" s="4" t="inlineStr">
        <is>
          <t>Bovermanns Weg</t>
        </is>
      </c>
      <c r="D1965" s="4" t="inlineStr">
        <is>
          <t>10</t>
        </is>
      </c>
      <c r="E1965" s="13" t="n">
        <v>111.4</v>
      </c>
      <c r="F1965" s="12" t="n">
        <v>0</v>
      </c>
      <c r="G1965" s="4" t="n">
        <v>1</v>
      </c>
      <c r="H1965" s="4">
        <f>IF(OR(N(F1965)&gt;=0.5,G1965&gt;=4),3,IF(OR(N(F1965)&gt;=0.3,G1965=3),2,IF(OR(N(F1965)&gt;=0.1,G1965&gt;=1),1,0)))</f>
        <v/>
      </c>
      <c r="I1965" s="4">
        <f>CHOOSE(H1965+1,"Kein Risiko","Gering","Mittel","Hoch")</f>
        <v/>
      </c>
    </row>
    <row r="1966">
      <c r="A1966" s="4" t="n">
        <v>1962</v>
      </c>
      <c r="B1966" s="4" t="inlineStr">
        <is>
          <t>yes</t>
        </is>
      </c>
      <c r="C1966" s="4" t="inlineStr">
        <is>
          <t>Engelssiepen</t>
        </is>
      </c>
      <c r="D1966" s="4" t="inlineStr">
        <is>
          <t>10</t>
        </is>
      </c>
      <c r="E1966" s="13" t="n">
        <v>93.2</v>
      </c>
      <c r="F1966" s="12" t="n">
        <v>0</v>
      </c>
      <c r="G1966" s="4" t="n">
        <v>0</v>
      </c>
      <c r="H1966" s="4">
        <f>IF(OR(N(F1966)&gt;=0.5,G1966&gt;=4),3,IF(OR(N(F1966)&gt;=0.3,G1966=3),2,IF(OR(N(F1966)&gt;=0.1,G1966&gt;=1),1,0)))</f>
        <v/>
      </c>
      <c r="I1966" s="4">
        <f>CHOOSE(H1966+1,"Kein Risiko","Gering","Mittel","Hoch")</f>
        <v/>
      </c>
    </row>
    <row r="1967">
      <c r="A1967" s="4" t="n">
        <v>1963</v>
      </c>
      <c r="B1967" s="4" t="inlineStr">
        <is>
          <t>yes</t>
        </is>
      </c>
      <c r="C1967" s="4" t="inlineStr">
        <is>
          <t>Grotehang</t>
        </is>
      </c>
      <c r="D1967" s="4" t="inlineStr">
        <is>
          <t>10</t>
        </is>
      </c>
      <c r="E1967" s="13" t="n">
        <v>59.8</v>
      </c>
      <c r="F1967" s="12" t="n">
        <v>0</v>
      </c>
      <c r="G1967" s="4" t="n">
        <v>0</v>
      </c>
      <c r="H1967" s="4">
        <f>IF(OR(N(F1967)&gt;=0.5,G1967&gt;=4),3,IF(OR(N(F1967)&gt;=0.3,G1967=3),2,IF(OR(N(F1967)&gt;=0.1,G1967&gt;=1),1,0)))</f>
        <v/>
      </c>
      <c r="I1967" s="4">
        <f>CHOOSE(H1967+1,"Kein Risiko","Gering","Mittel","Hoch")</f>
        <v/>
      </c>
    </row>
    <row r="1968">
      <c r="A1968" s="4" t="n">
        <v>1964</v>
      </c>
      <c r="B1968" s="4" t="inlineStr">
        <is>
          <t>yes</t>
        </is>
      </c>
      <c r="C1968" s="4" t="inlineStr">
        <is>
          <t>Leibergweg</t>
        </is>
      </c>
      <c r="D1968" s="4" t="inlineStr">
        <is>
          <t>10</t>
        </is>
      </c>
      <c r="E1968" s="13" t="n">
        <v>154</v>
      </c>
      <c r="F1968" s="12" t="n">
        <v>0</v>
      </c>
      <c r="G1968" s="4" t="n">
        <v>0</v>
      </c>
      <c r="H1968" s="4">
        <f>IF(OR(N(F1968)&gt;=0.5,G1968&gt;=4),3,IF(OR(N(F1968)&gt;=0.3,G1968=3),2,IF(OR(N(F1968)&gt;=0.1,G1968&gt;=1),1,0)))</f>
        <v/>
      </c>
      <c r="I1968" s="4">
        <f>CHOOSE(H1968+1,"Kein Risiko","Gering","Mittel","Hoch")</f>
        <v/>
      </c>
    </row>
    <row r="1969">
      <c r="A1969" s="4" t="n">
        <v>1965</v>
      </c>
      <c r="B1969" s="4" t="inlineStr">
        <is>
          <t>yes</t>
        </is>
      </c>
      <c r="C1969" s="4" t="inlineStr">
        <is>
          <t>Marienbergstraße</t>
        </is>
      </c>
      <c r="D1969" s="4" t="inlineStr">
        <is>
          <t>10</t>
        </is>
      </c>
      <c r="E1969" s="13" t="n">
        <v>92.40000000000001</v>
      </c>
      <c r="F1969" s="12" t="n">
        <v>0.04000091552734375</v>
      </c>
      <c r="G1969" s="4" t="n">
        <v>0</v>
      </c>
      <c r="H1969" s="4">
        <f>IF(OR(N(F1969)&gt;=0.5,G1969&gt;=4),3,IF(OR(N(F1969)&gt;=0.3,G1969=3),2,IF(OR(N(F1969)&gt;=0.1,G1969&gt;=1),1,0)))</f>
        <v/>
      </c>
      <c r="I1969" s="4">
        <f>CHOOSE(H1969+1,"Kein Risiko","Gering","Mittel","Hoch")</f>
        <v/>
      </c>
    </row>
    <row r="1970">
      <c r="A1970" s="4" t="n">
        <v>1966</v>
      </c>
      <c r="B1970" s="4" t="inlineStr">
        <is>
          <t>yes</t>
        </is>
      </c>
      <c r="C1970" s="4" t="inlineStr">
        <is>
          <t>Scharpenhang</t>
        </is>
      </c>
      <c r="D1970" s="4" t="inlineStr">
        <is>
          <t>10</t>
        </is>
      </c>
      <c r="E1970" s="13" t="n">
        <v>131.3</v>
      </c>
      <c r="F1970" s="12" t="n">
        <v>0.0099945068359375</v>
      </c>
      <c r="G1970" s="4" t="n">
        <v>0</v>
      </c>
      <c r="H1970" s="4">
        <f>IF(OR(N(F1970)&gt;=0.5,G1970&gt;=4),3,IF(OR(N(F1970)&gt;=0.3,G1970=3),2,IF(OR(N(F1970)&gt;=0.1,G1970&gt;=1),1,0)))</f>
        <v/>
      </c>
      <c r="I1970" s="4">
        <f>CHOOSE(H1970+1,"Kein Risiko","Gering","Mittel","Hoch")</f>
        <v/>
      </c>
    </row>
    <row r="1971">
      <c r="A1971" s="4" t="n">
        <v>1967</v>
      </c>
      <c r="B1971" s="4" t="inlineStr">
        <is>
          <t>yes</t>
        </is>
      </c>
      <c r="C1971" s="4" t="inlineStr">
        <is>
          <t>Byfanger Straße</t>
        </is>
      </c>
      <c r="D1971" s="4" t="inlineStr">
        <is>
          <t>102</t>
        </is>
      </c>
      <c r="E1971" s="13" t="n">
        <v>196.4</v>
      </c>
      <c r="F1971" s="12" t="n">
        <v>0</v>
      </c>
      <c r="G1971" s="4" t="n">
        <v>0</v>
      </c>
      <c r="H1971" s="4">
        <f>IF(OR(N(F1971)&gt;=0.5,G1971&gt;=4),3,IF(OR(N(F1971)&gt;=0.3,G1971=3),2,IF(OR(N(F1971)&gt;=0.1,G1971&gt;=1),1,0)))</f>
        <v/>
      </c>
      <c r="I1971" s="4">
        <f>CHOOSE(H1971+1,"Kein Risiko","Gering","Mittel","Hoch")</f>
        <v/>
      </c>
    </row>
    <row r="1972">
      <c r="A1972" s="4" t="n">
        <v>1968</v>
      </c>
      <c r="B1972" s="4" t="inlineStr">
        <is>
          <t>house</t>
        </is>
      </c>
      <c r="C1972" s="4" t="inlineStr">
        <is>
          <t>Am Gerichtshaus</t>
        </is>
      </c>
      <c r="D1972" s="4" t="inlineStr">
        <is>
          <t>103</t>
        </is>
      </c>
      <c r="E1972" s="13" t="n">
        <v>68.59999999999999</v>
      </c>
      <c r="F1972" s="12" t="n">
        <v>0</v>
      </c>
      <c r="G1972" s="4" t="n">
        <v>0</v>
      </c>
      <c r="H1972" s="4">
        <f>IF(OR(N(F1972)&gt;=0.5,G1972&gt;=4),3,IF(OR(N(F1972)&gt;=0.3,G1972=3),2,IF(OR(N(F1972)&gt;=0.1,G1972&gt;=1),1,0)))</f>
        <v/>
      </c>
      <c r="I1972" s="4">
        <f>CHOOSE(H1972+1,"Kein Risiko","Gering","Mittel","Hoch")</f>
        <v/>
      </c>
    </row>
    <row r="1973">
      <c r="A1973" s="4" t="n">
        <v>1969</v>
      </c>
      <c r="B1973" s="4" t="inlineStr">
        <is>
          <t>yes</t>
        </is>
      </c>
      <c r="C1973" s="4" t="inlineStr">
        <is>
          <t>Byfanger Straße</t>
        </is>
      </c>
      <c r="D1973" s="4" t="inlineStr">
        <is>
          <t>103</t>
        </is>
      </c>
      <c r="E1973" s="13" t="n">
        <v>124.2</v>
      </c>
      <c r="F1973" s="12" t="n">
        <v>0.44000244140625</v>
      </c>
      <c r="G1973" s="4" t="n">
        <v>2</v>
      </c>
      <c r="H1973" s="4">
        <f>IF(OR(N(F1973)&gt;=0.5,G1973&gt;=4),3,IF(OR(N(F1973)&gt;=0.3,G1973=3),2,IF(OR(N(F1973)&gt;=0.1,G1973&gt;=1),1,0)))</f>
        <v/>
      </c>
      <c r="I1973" s="4">
        <f>CHOOSE(H1973+1,"Kein Risiko","Gering","Mittel","Hoch")</f>
        <v/>
      </c>
    </row>
    <row r="1974">
      <c r="A1974" s="4" t="n">
        <v>1970</v>
      </c>
      <c r="B1974" s="4" t="inlineStr">
        <is>
          <t>yes</t>
        </is>
      </c>
      <c r="C1974" s="4" t="inlineStr">
        <is>
          <t>Byfanger Straße</t>
        </is>
      </c>
      <c r="D1974" s="4" t="inlineStr">
        <is>
          <t>104</t>
        </is>
      </c>
      <c r="E1974" s="13" t="n">
        <v>104.9</v>
      </c>
      <c r="F1974" s="12" t="n">
        <v>0</v>
      </c>
      <c r="G1974" s="4" t="n">
        <v>1</v>
      </c>
      <c r="H1974" s="4">
        <f>IF(OR(N(F1974)&gt;=0.5,G1974&gt;=4),3,IF(OR(N(F1974)&gt;=0.3,G1974=3),2,IF(OR(N(F1974)&gt;=0.1,G1974&gt;=1),1,0)))</f>
        <v/>
      </c>
      <c r="I1974" s="4">
        <f>CHOOSE(H1974+1,"Kein Risiko","Gering","Mittel","Hoch")</f>
        <v/>
      </c>
    </row>
    <row r="1975">
      <c r="A1975" s="4" t="n">
        <v>1971</v>
      </c>
      <c r="B1975" s="4" t="inlineStr">
        <is>
          <t>yes</t>
        </is>
      </c>
      <c r="C1975" s="4" t="inlineStr">
        <is>
          <t>Byfanger Straße</t>
        </is>
      </c>
      <c r="D1975" s="4" t="inlineStr">
        <is>
          <t>105</t>
        </is>
      </c>
      <c r="E1975" s="13" t="n">
        <v>124.1</v>
      </c>
      <c r="F1975" s="12" t="n">
        <v>0</v>
      </c>
      <c r="G1975" s="4" t="n">
        <v>2</v>
      </c>
      <c r="H1975" s="4">
        <f>IF(OR(N(F1975)&gt;=0.5,G1975&gt;=4),3,IF(OR(N(F1975)&gt;=0.3,G1975=3),2,IF(OR(N(F1975)&gt;=0.1,G1975&gt;=1),1,0)))</f>
        <v/>
      </c>
      <c r="I1975" s="4">
        <f>CHOOSE(H1975+1,"Kein Risiko","Gering","Mittel","Hoch")</f>
        <v/>
      </c>
    </row>
    <row r="1976">
      <c r="A1976" s="4" t="n">
        <v>1972</v>
      </c>
      <c r="B1976" s="4" t="inlineStr">
        <is>
          <t>yes</t>
        </is>
      </c>
      <c r="C1976" s="4" t="inlineStr">
        <is>
          <t>Byfanger Straße</t>
        </is>
      </c>
      <c r="D1976" s="4" t="inlineStr">
        <is>
          <t>106</t>
        </is>
      </c>
      <c r="E1976" s="13" t="n">
        <v>104.7</v>
      </c>
      <c r="F1976" s="12" t="n">
        <v>0</v>
      </c>
      <c r="G1976" s="4" t="n">
        <v>0</v>
      </c>
      <c r="H1976" s="4">
        <f>IF(OR(N(F1976)&gt;=0.5,G1976&gt;=4),3,IF(OR(N(F1976)&gt;=0.3,G1976=3),2,IF(OR(N(F1976)&gt;=0.1,G1976&gt;=1),1,0)))</f>
        <v/>
      </c>
      <c r="I1976" s="4">
        <f>CHOOSE(H1976+1,"Kein Risiko","Gering","Mittel","Hoch")</f>
        <v/>
      </c>
    </row>
    <row r="1977">
      <c r="A1977" s="4" t="n">
        <v>1973</v>
      </c>
      <c r="B1977" s="4" t="inlineStr">
        <is>
          <t>semidetached_house</t>
        </is>
      </c>
      <c r="C1977" s="4" t="inlineStr">
        <is>
          <t>Am Gerichtshaus</t>
        </is>
      </c>
      <c r="D1977" s="4" t="inlineStr">
        <is>
          <t>107</t>
        </is>
      </c>
      <c r="E1977" s="13" t="n">
        <v>66.8</v>
      </c>
      <c r="F1977" s="12" t="n">
        <v>0</v>
      </c>
      <c r="G1977" s="4" t="n">
        <v>0</v>
      </c>
      <c r="H1977" s="4">
        <f>IF(OR(N(F1977)&gt;=0.5,G1977&gt;=4),3,IF(OR(N(F1977)&gt;=0.3,G1977=3),2,IF(OR(N(F1977)&gt;=0.1,G1977&gt;=1),1,0)))</f>
        <v/>
      </c>
      <c r="I1977" s="4">
        <f>CHOOSE(H1977+1,"Kein Risiko","Gering","Mittel","Hoch")</f>
        <v/>
      </c>
    </row>
    <row r="1978">
      <c r="A1978" s="4" t="n">
        <v>1974</v>
      </c>
      <c r="B1978" s="4" t="inlineStr">
        <is>
          <t>yes</t>
        </is>
      </c>
      <c r="C1978" s="4" t="inlineStr">
        <is>
          <t>Byfanger Straße</t>
        </is>
      </c>
      <c r="D1978" s="4" t="inlineStr">
        <is>
          <t>107</t>
        </is>
      </c>
      <c r="E1978" s="13" t="n">
        <v>66.90000000000001</v>
      </c>
      <c r="F1978" s="12" t="n">
        <v>0</v>
      </c>
      <c r="G1978" s="4" t="n">
        <v>1</v>
      </c>
      <c r="H1978" s="4">
        <f>IF(OR(N(F1978)&gt;=0.5,G1978&gt;=4),3,IF(OR(N(F1978)&gt;=0.3,G1978=3),2,IF(OR(N(F1978)&gt;=0.1,G1978&gt;=1),1,0)))</f>
        <v/>
      </c>
      <c r="I1978" s="4">
        <f>CHOOSE(H1978+1,"Kein Risiko","Gering","Mittel","Hoch")</f>
        <v/>
      </c>
    </row>
    <row r="1979">
      <c r="A1979" s="4" t="n">
        <v>1975</v>
      </c>
      <c r="B1979" s="4" t="inlineStr">
        <is>
          <t>yes</t>
        </is>
      </c>
      <c r="C1979" s="4" t="inlineStr">
        <is>
          <t>Byfanger Straße</t>
        </is>
      </c>
      <c r="D1979" s="4" t="inlineStr">
        <is>
          <t>108</t>
        </is>
      </c>
      <c r="E1979" s="13" t="n">
        <v>68.59999999999999</v>
      </c>
      <c r="F1979" s="12" t="n">
        <v>0</v>
      </c>
      <c r="G1979" s="4" t="n">
        <v>0</v>
      </c>
      <c r="H1979" s="4">
        <f>IF(OR(N(F1979)&gt;=0.5,G1979&gt;=4),3,IF(OR(N(F1979)&gt;=0.3,G1979=3),2,IF(OR(N(F1979)&gt;=0.1,G1979&gt;=1),1,0)))</f>
        <v/>
      </c>
      <c r="I1979" s="4">
        <f>CHOOSE(H1979+1,"Kein Risiko","Gering","Mittel","Hoch")</f>
        <v/>
      </c>
    </row>
    <row r="1980">
      <c r="A1980" s="4" t="n">
        <v>1976</v>
      </c>
      <c r="B1980" s="4" t="inlineStr">
        <is>
          <t>yes</t>
        </is>
      </c>
      <c r="C1980" s="4" t="inlineStr">
        <is>
          <t>Byfanger Straße</t>
        </is>
      </c>
      <c r="D1980" s="4" t="inlineStr">
        <is>
          <t>109</t>
        </is>
      </c>
      <c r="E1980" s="13" t="n">
        <v>66.90000000000001</v>
      </c>
      <c r="F1980" s="12" t="n">
        <v>0</v>
      </c>
      <c r="G1980" s="4" t="n">
        <v>0</v>
      </c>
      <c r="H1980" s="4">
        <f>IF(OR(N(F1980)&gt;=0.5,G1980&gt;=4),3,IF(OR(N(F1980)&gt;=0.3,G1980=3),2,IF(OR(N(F1980)&gt;=0.1,G1980&gt;=1),1,0)))</f>
        <v/>
      </c>
      <c r="I1980" s="4">
        <f>CHOOSE(H1980+1,"Kein Risiko","Gering","Mittel","Hoch")</f>
        <v/>
      </c>
    </row>
    <row r="1981">
      <c r="A1981" s="4" t="n">
        <v>1977</v>
      </c>
      <c r="B1981" s="4" t="inlineStr">
        <is>
          <t>house</t>
        </is>
      </c>
      <c r="C1981" s="4" t="inlineStr">
        <is>
          <t>Brackmannhang</t>
        </is>
      </c>
      <c r="D1981" s="4" t="inlineStr">
        <is>
          <t>10a</t>
        </is>
      </c>
      <c r="E1981" s="13" t="n">
        <v>63.1</v>
      </c>
      <c r="F1981" s="12" t="n">
        <v>0.029998779296875</v>
      </c>
      <c r="G1981" s="4" t="n">
        <v>1</v>
      </c>
      <c r="H1981" s="4">
        <f>IF(OR(N(F1981)&gt;=0.5,G1981&gt;=4),3,IF(OR(N(F1981)&gt;=0.3,G1981=3),2,IF(OR(N(F1981)&gt;=0.1,G1981&gt;=1),1,0)))</f>
        <v/>
      </c>
      <c r="I1981" s="4">
        <f>CHOOSE(H1981+1,"Kein Risiko","Gering","Mittel","Hoch")</f>
        <v/>
      </c>
    </row>
    <row r="1982">
      <c r="A1982" s="4" t="n">
        <v>1978</v>
      </c>
      <c r="B1982" s="4" t="inlineStr">
        <is>
          <t>house</t>
        </is>
      </c>
      <c r="C1982" s="4" t="inlineStr">
        <is>
          <t>Brackmannhang</t>
        </is>
      </c>
      <c r="D1982" s="4" t="inlineStr">
        <is>
          <t>10b</t>
        </is>
      </c>
      <c r="E1982" s="13" t="n">
        <v>85.40000000000001</v>
      </c>
      <c r="F1982" s="12" t="n">
        <v>0.0200042724609375</v>
      </c>
      <c r="G1982" s="4" t="n">
        <v>0</v>
      </c>
      <c r="H1982" s="4">
        <f>IF(OR(N(F1982)&gt;=0.5,G1982&gt;=4),3,IF(OR(N(F1982)&gt;=0.3,G1982=3),2,IF(OR(N(F1982)&gt;=0.1,G1982&gt;=1),1,0)))</f>
        <v/>
      </c>
      <c r="I1982" s="4">
        <f>CHOOSE(H1982+1,"Kein Risiko","Gering","Mittel","Hoch")</f>
        <v/>
      </c>
    </row>
    <row r="1983">
      <c r="A1983" s="4" t="n">
        <v>1979</v>
      </c>
      <c r="B1983" s="4" t="inlineStr">
        <is>
          <t>yes</t>
        </is>
      </c>
      <c r="C1983" s="4" t="inlineStr">
        <is>
          <t>Breddebuschhang</t>
        </is>
      </c>
      <c r="D1983" s="4" t="inlineStr">
        <is>
          <t>11</t>
        </is>
      </c>
      <c r="E1983" s="13" t="n">
        <v>104.5</v>
      </c>
      <c r="F1983" s="12" t="n">
        <v>0.0800018310546875</v>
      </c>
      <c r="G1983" s="4" t="n">
        <v>1</v>
      </c>
      <c r="H1983" s="4">
        <f>IF(OR(N(F1983)&gt;=0.5,G1983&gt;=4),3,IF(OR(N(F1983)&gt;=0.3,G1983=3),2,IF(OR(N(F1983)&gt;=0.1,G1983&gt;=1),1,0)))</f>
        <v/>
      </c>
      <c r="I1983" s="4">
        <f>CHOOSE(H1983+1,"Kein Risiko","Gering","Mittel","Hoch")</f>
        <v/>
      </c>
    </row>
    <row r="1984">
      <c r="A1984" s="4" t="n">
        <v>1980</v>
      </c>
      <c r="B1984" s="4" t="inlineStr">
        <is>
          <t>yes</t>
        </is>
      </c>
      <c r="C1984" s="4" t="inlineStr">
        <is>
          <t>Engelssiepen</t>
        </is>
      </c>
      <c r="D1984" s="4" t="inlineStr">
        <is>
          <t>11</t>
        </is>
      </c>
      <c r="E1984" s="13" t="n">
        <v>122.3</v>
      </c>
      <c r="F1984" s="12" t="n">
        <v>0.04000091552734375</v>
      </c>
      <c r="G1984" s="4" t="n">
        <v>0</v>
      </c>
      <c r="H1984" s="4">
        <f>IF(OR(N(F1984)&gt;=0.5,G1984&gt;=4),3,IF(OR(N(F1984)&gt;=0.3,G1984=3),2,IF(OR(N(F1984)&gt;=0.1,G1984&gt;=1),1,0)))</f>
        <v/>
      </c>
      <c r="I1984" s="4">
        <f>CHOOSE(H1984+1,"Kein Risiko","Gering","Mittel","Hoch")</f>
        <v/>
      </c>
    </row>
    <row r="1985">
      <c r="A1985" s="4" t="n">
        <v>1981</v>
      </c>
      <c r="B1985" s="4" t="inlineStr">
        <is>
          <t>yes</t>
        </is>
      </c>
      <c r="C1985" s="4" t="inlineStr">
        <is>
          <t>Leibergweg</t>
        </is>
      </c>
      <c r="D1985" s="4" t="inlineStr">
        <is>
          <t>11</t>
        </is>
      </c>
      <c r="E1985" s="13" t="n">
        <v>143.1</v>
      </c>
      <c r="F1985" s="12" t="n">
        <v>0</v>
      </c>
      <c r="G1985" s="4" t="n">
        <v>0</v>
      </c>
      <c r="H1985" s="4">
        <f>IF(OR(N(F1985)&gt;=0.5,G1985&gt;=4),3,IF(OR(N(F1985)&gt;=0.3,G1985=3),2,IF(OR(N(F1985)&gt;=0.1,G1985&gt;=1),1,0)))</f>
        <v/>
      </c>
      <c r="I1985" s="4">
        <f>CHOOSE(H1985+1,"Kein Risiko","Gering","Mittel","Hoch")</f>
        <v/>
      </c>
    </row>
    <row r="1986">
      <c r="A1986" s="4" t="n">
        <v>1982</v>
      </c>
      <c r="B1986" s="4" t="inlineStr">
        <is>
          <t>residential</t>
        </is>
      </c>
      <c r="C1986" s="4" t="inlineStr">
        <is>
          <t>Schliepershang</t>
        </is>
      </c>
      <c r="D1986" s="4" t="inlineStr">
        <is>
          <t>11</t>
        </is>
      </c>
      <c r="E1986" s="13" t="n">
        <v>142.5</v>
      </c>
      <c r="F1986" s="12" t="n">
        <v>0</v>
      </c>
      <c r="G1986" s="4" t="n">
        <v>0</v>
      </c>
      <c r="H1986" s="4">
        <f>IF(OR(N(F1986)&gt;=0.5,G1986&gt;=4),3,IF(OR(N(F1986)&gt;=0.3,G1986=3),2,IF(OR(N(F1986)&gt;=0.1,G1986&gt;=1),1,0)))</f>
        <v/>
      </c>
      <c r="I1986" s="4">
        <f>CHOOSE(H1986+1,"Kein Risiko","Gering","Mittel","Hoch")</f>
        <v/>
      </c>
    </row>
    <row r="1987">
      <c r="A1987" s="4" t="n">
        <v>1983</v>
      </c>
      <c r="B1987" s="4" t="inlineStr">
        <is>
          <t>yes</t>
        </is>
      </c>
      <c r="C1987" s="4" t="inlineStr">
        <is>
          <t>Byfanger Straße</t>
        </is>
      </c>
      <c r="D1987" s="4" t="inlineStr">
        <is>
          <t>110</t>
        </is>
      </c>
      <c r="E1987" s="13" t="n">
        <v>68.59999999999999</v>
      </c>
      <c r="F1987" s="12" t="n">
        <v>0</v>
      </c>
      <c r="G1987" s="4" t="n">
        <v>0</v>
      </c>
      <c r="H1987" s="4">
        <f>IF(OR(N(F1987)&gt;=0.5,G1987&gt;=4),3,IF(OR(N(F1987)&gt;=0.3,G1987=3),2,IF(OR(N(F1987)&gt;=0.1,G1987&gt;=1),1,0)))</f>
        <v/>
      </c>
      <c r="I1987" s="4">
        <f>CHOOSE(H1987+1,"Kein Risiko","Gering","Mittel","Hoch")</f>
        <v/>
      </c>
    </row>
    <row r="1988">
      <c r="A1988" s="4" t="n">
        <v>1984</v>
      </c>
      <c r="B1988" s="4" t="inlineStr">
        <is>
          <t>yes</t>
        </is>
      </c>
      <c r="C1988" s="4" t="inlineStr">
        <is>
          <t>Byfanger Straße</t>
        </is>
      </c>
      <c r="D1988" s="4" t="inlineStr">
        <is>
          <t>112</t>
        </is>
      </c>
      <c r="E1988" s="13" t="n">
        <v>68.5</v>
      </c>
      <c r="F1988" s="12" t="n">
        <v>0</v>
      </c>
      <c r="G1988" s="4" t="n">
        <v>0</v>
      </c>
      <c r="H1988" s="4">
        <f>IF(OR(N(F1988)&gt;=0.5,G1988&gt;=4),3,IF(OR(N(F1988)&gt;=0.3,G1988=3),2,IF(OR(N(F1988)&gt;=0.1,G1988&gt;=1),1,0)))</f>
        <v/>
      </c>
      <c r="I1988" s="4">
        <f>CHOOSE(H1988+1,"Kein Risiko","Gering","Mittel","Hoch")</f>
        <v/>
      </c>
    </row>
    <row r="1989">
      <c r="A1989" s="4" t="n">
        <v>1985</v>
      </c>
      <c r="B1989" s="4" t="inlineStr">
        <is>
          <t>yes</t>
        </is>
      </c>
      <c r="C1989" s="4" t="inlineStr">
        <is>
          <t>Byfanger Straße</t>
        </is>
      </c>
      <c r="D1989" s="4" t="inlineStr">
        <is>
          <t>113</t>
        </is>
      </c>
      <c r="E1989" s="13" t="n">
        <v>79</v>
      </c>
      <c r="F1989" s="12" t="n">
        <v>0</v>
      </c>
      <c r="G1989" s="4" t="n">
        <v>0</v>
      </c>
      <c r="H1989" s="4">
        <f>IF(OR(N(F1989)&gt;=0.5,G1989&gt;=4),3,IF(OR(N(F1989)&gt;=0.3,G1989=3),2,IF(OR(N(F1989)&gt;=0.1,G1989&gt;=1),1,0)))</f>
        <v/>
      </c>
      <c r="I1989" s="4">
        <f>CHOOSE(H1989+1,"Kein Risiko","Gering","Mittel","Hoch")</f>
        <v/>
      </c>
    </row>
    <row r="1990">
      <c r="A1990" s="4" t="n">
        <v>1986</v>
      </c>
      <c r="B1990" s="4" t="inlineStr">
        <is>
          <t>yes</t>
        </is>
      </c>
      <c r="C1990" s="4" t="inlineStr">
        <is>
          <t>Byfanger Straße</t>
        </is>
      </c>
      <c r="D1990" s="4" t="inlineStr">
        <is>
          <t>114</t>
        </is>
      </c>
      <c r="E1990" s="13" t="n">
        <v>68.59999999999999</v>
      </c>
      <c r="F1990" s="12" t="n">
        <v>0</v>
      </c>
      <c r="G1990" s="4" t="n">
        <v>0</v>
      </c>
      <c r="H1990" s="4">
        <f>IF(OR(N(F1990)&gt;=0.5,G1990&gt;=4),3,IF(OR(N(F1990)&gt;=0.3,G1990=3),2,IF(OR(N(F1990)&gt;=0.1,G1990&gt;=1),1,0)))</f>
        <v/>
      </c>
      <c r="I1990" s="4">
        <f>CHOOSE(H1990+1,"Kein Risiko","Gering","Mittel","Hoch")</f>
        <v/>
      </c>
    </row>
    <row r="1991">
      <c r="A1991" s="4" t="n">
        <v>1987</v>
      </c>
      <c r="B1991" s="4" t="inlineStr">
        <is>
          <t>yes</t>
        </is>
      </c>
      <c r="C1991" s="4" t="inlineStr">
        <is>
          <t>Byfanger Straße</t>
        </is>
      </c>
      <c r="D1991" s="4" t="inlineStr">
        <is>
          <t>116</t>
        </is>
      </c>
      <c r="E1991" s="13" t="n">
        <v>132.4</v>
      </c>
      <c r="F1991" s="12" t="n">
        <v>0</v>
      </c>
      <c r="G1991" s="4" t="n">
        <v>1</v>
      </c>
      <c r="H1991" s="4">
        <f>IF(OR(N(F1991)&gt;=0.5,G1991&gt;=4),3,IF(OR(N(F1991)&gt;=0.3,G1991=3),2,IF(OR(N(F1991)&gt;=0.1,G1991&gt;=1),1,0)))</f>
        <v/>
      </c>
      <c r="I1991" s="4">
        <f>CHOOSE(H1991+1,"Kein Risiko","Gering","Mittel","Hoch")</f>
        <v/>
      </c>
    </row>
    <row r="1992">
      <c r="A1992" s="4" t="n">
        <v>1988</v>
      </c>
      <c r="B1992" s="4" t="inlineStr">
        <is>
          <t>yes</t>
        </is>
      </c>
      <c r="C1992" s="4" t="inlineStr">
        <is>
          <t>Byfanger Straße</t>
        </is>
      </c>
      <c r="D1992" s="4" t="inlineStr">
        <is>
          <t>117</t>
        </is>
      </c>
      <c r="E1992" s="13" t="n">
        <v>119</v>
      </c>
      <c r="F1992" s="12" t="n">
        <v>0</v>
      </c>
      <c r="G1992" s="4" t="n">
        <v>0</v>
      </c>
      <c r="H1992" s="4">
        <f>IF(OR(N(F1992)&gt;=0.5,G1992&gt;=4),3,IF(OR(N(F1992)&gt;=0.3,G1992=3),2,IF(OR(N(F1992)&gt;=0.1,G1992&gt;=1),1,0)))</f>
        <v/>
      </c>
      <c r="I1992" s="4">
        <f>CHOOSE(H1992+1,"Kein Risiko","Gering","Mittel","Hoch")</f>
        <v/>
      </c>
    </row>
    <row r="1993">
      <c r="A1993" s="4" t="n">
        <v>1989</v>
      </c>
      <c r="B1993" s="4" t="inlineStr">
        <is>
          <t>yes</t>
        </is>
      </c>
      <c r="C1993" s="4" t="inlineStr">
        <is>
          <t>Byfanger Straße</t>
        </is>
      </c>
      <c r="D1993" s="4" t="inlineStr">
        <is>
          <t>118</t>
        </is>
      </c>
      <c r="E1993" s="13" t="n">
        <v>121.3</v>
      </c>
      <c r="F1993" s="12" t="n">
        <v>0.1399993896484375</v>
      </c>
      <c r="G1993" s="4" t="n">
        <v>0</v>
      </c>
      <c r="H1993" s="4">
        <f>IF(OR(N(F1993)&gt;=0.5,G1993&gt;=4),3,IF(OR(N(F1993)&gt;=0.3,G1993=3),2,IF(OR(N(F1993)&gt;=0.1,G1993&gt;=1),1,0)))</f>
        <v/>
      </c>
      <c r="I1993" s="4">
        <f>CHOOSE(H1993+1,"Kein Risiko","Gering","Mittel","Hoch")</f>
        <v/>
      </c>
    </row>
    <row r="1994">
      <c r="A1994" s="4" t="n">
        <v>1990</v>
      </c>
      <c r="B1994" s="4" t="inlineStr">
        <is>
          <t>yes</t>
        </is>
      </c>
      <c r="C1994" s="4" t="inlineStr">
        <is>
          <t>Niederweniger Straße</t>
        </is>
      </c>
      <c r="D1994" s="4" t="inlineStr">
        <is>
          <t>120</t>
        </is>
      </c>
      <c r="E1994" s="13" t="n">
        <v>160</v>
      </c>
      <c r="F1994" s="12" t="n">
        <v>0.1300048828125</v>
      </c>
      <c r="G1994" s="4" t="n">
        <v>0</v>
      </c>
      <c r="H1994" s="4">
        <f>IF(OR(N(F1994)&gt;=0.5,G1994&gt;=4),3,IF(OR(N(F1994)&gt;=0.3,G1994=3),2,IF(OR(N(F1994)&gt;=0.1,G1994&gt;=1),1,0)))</f>
        <v/>
      </c>
      <c r="I1994" s="4">
        <f>CHOOSE(H1994+1,"Kein Risiko","Gering","Mittel","Hoch")</f>
        <v/>
      </c>
    </row>
    <row r="1995">
      <c r="A1995" s="4" t="n">
        <v>1991</v>
      </c>
      <c r="B1995" s="4" t="inlineStr">
        <is>
          <t>residential</t>
        </is>
      </c>
      <c r="C1995" s="4" t="inlineStr"/>
      <c r="D1995" s="4" t="inlineStr"/>
      <c r="E1995" s="13" t="n">
        <v>195.3</v>
      </c>
      <c r="F1995" s="12" t="n">
        <v>0.149993896484375</v>
      </c>
      <c r="G1995" s="4" t="n">
        <v>1</v>
      </c>
      <c r="H1995" s="4">
        <f>IF(OR(N(F1995)&gt;=0.5,G1995&gt;=4),3,IF(OR(N(F1995)&gt;=0.3,G1995=3),2,IF(OR(N(F1995)&gt;=0.1,G1995&gt;=1),1,0)))</f>
        <v/>
      </c>
      <c r="I1995" s="4">
        <f>CHOOSE(H1995+1,"Kein Risiko","Gering","Mittel","Hoch")</f>
        <v/>
      </c>
    </row>
    <row r="1996">
      <c r="A1996" s="4" t="n">
        <v>1992</v>
      </c>
      <c r="B1996" s="4" t="inlineStr">
        <is>
          <t>yes</t>
        </is>
      </c>
      <c r="C1996" s="4" t="inlineStr">
        <is>
          <t>Niederweniger Straße</t>
        </is>
      </c>
      <c r="D1996" s="4" t="inlineStr">
        <is>
          <t>122b</t>
        </is>
      </c>
      <c r="E1996" s="13" t="n">
        <v>77.7</v>
      </c>
      <c r="F1996" s="12" t="n">
        <v>0.0099945068359375</v>
      </c>
      <c r="G1996" s="4" t="n">
        <v>0</v>
      </c>
      <c r="H1996" s="4">
        <f>IF(OR(N(F1996)&gt;=0.5,G1996&gt;=4),3,IF(OR(N(F1996)&gt;=0.3,G1996=3),2,IF(OR(N(F1996)&gt;=0.1,G1996&gt;=1),1,0)))</f>
        <v/>
      </c>
      <c r="I1996" s="4">
        <f>CHOOSE(H1996+1,"Kein Risiko","Gering","Mittel","Hoch")</f>
        <v/>
      </c>
    </row>
    <row r="1997">
      <c r="A1997" s="4" t="n">
        <v>1993</v>
      </c>
      <c r="B1997" s="4" t="inlineStr">
        <is>
          <t>yes</t>
        </is>
      </c>
      <c r="C1997" s="4" t="inlineStr">
        <is>
          <t>Byfanger Straße</t>
        </is>
      </c>
      <c r="D1997" s="4" t="inlineStr">
        <is>
          <t>124</t>
        </is>
      </c>
      <c r="E1997" s="13" t="n">
        <v>57.7</v>
      </c>
      <c r="F1997" s="12" t="n">
        <v>0</v>
      </c>
      <c r="G1997" s="4" t="n">
        <v>1</v>
      </c>
      <c r="H1997" s="4">
        <f>IF(OR(N(F1997)&gt;=0.5,G1997&gt;=4),3,IF(OR(N(F1997)&gt;=0.3,G1997=3),2,IF(OR(N(F1997)&gt;=0.1,G1997&gt;=1),1,0)))</f>
        <v/>
      </c>
      <c r="I1997" s="4">
        <f>CHOOSE(H1997+1,"Kein Risiko","Gering","Mittel","Hoch")</f>
        <v/>
      </c>
    </row>
    <row r="1998">
      <c r="A1998" s="4" t="n">
        <v>1994</v>
      </c>
      <c r="B1998" s="4" t="inlineStr">
        <is>
          <t>yes</t>
        </is>
      </c>
      <c r="C1998" s="4" t="inlineStr">
        <is>
          <t>Niederweniger Straße</t>
        </is>
      </c>
      <c r="D1998" s="4" t="inlineStr">
        <is>
          <t>124b</t>
        </is>
      </c>
      <c r="E1998" s="13" t="n">
        <v>73.7</v>
      </c>
      <c r="F1998" s="12" t="n">
        <v>0</v>
      </c>
      <c r="G1998" s="4" t="n">
        <v>0</v>
      </c>
      <c r="H1998" s="4">
        <f>IF(OR(N(F1998)&gt;=0.5,G1998&gt;=4),3,IF(OR(N(F1998)&gt;=0.3,G1998=3),2,IF(OR(N(F1998)&gt;=0.1,G1998&gt;=1),1,0)))</f>
        <v/>
      </c>
      <c r="I1998" s="4">
        <f>CHOOSE(H1998+1,"Kein Risiko","Gering","Mittel","Hoch")</f>
        <v/>
      </c>
    </row>
    <row r="1999">
      <c r="A1999" s="4" t="n">
        <v>1995</v>
      </c>
      <c r="B1999" s="4" t="inlineStr">
        <is>
          <t>yes</t>
        </is>
      </c>
      <c r="C1999" s="4" t="inlineStr">
        <is>
          <t>Byfanger Straße</t>
        </is>
      </c>
      <c r="D1999" s="4" t="inlineStr">
        <is>
          <t>125</t>
        </is>
      </c>
      <c r="E1999" s="13" t="n">
        <v>65.59999999999999</v>
      </c>
      <c r="F1999" s="12" t="n">
        <v>0</v>
      </c>
      <c r="G1999" s="4" t="n">
        <v>0</v>
      </c>
      <c r="H1999" s="4">
        <f>IF(OR(N(F1999)&gt;=0.5,G1999&gt;=4),3,IF(OR(N(F1999)&gt;=0.3,G1999=3),2,IF(OR(N(F1999)&gt;=0.1,G1999&gt;=1),1,0)))</f>
        <v/>
      </c>
      <c r="I1999" s="4">
        <f>CHOOSE(H1999+1,"Kein Risiko","Gering","Mittel","Hoch")</f>
        <v/>
      </c>
    </row>
    <row r="2000">
      <c r="A2000" s="4" t="n">
        <v>1996</v>
      </c>
      <c r="B2000" s="4" t="inlineStr">
        <is>
          <t>yes</t>
        </is>
      </c>
      <c r="C2000" s="4" t="inlineStr">
        <is>
          <t>Byfanger Straße</t>
        </is>
      </c>
      <c r="D2000" s="4" t="inlineStr">
        <is>
          <t>126</t>
        </is>
      </c>
      <c r="E2000" s="13" t="n">
        <v>57.6</v>
      </c>
      <c r="F2000" s="12" t="n">
        <v>0</v>
      </c>
      <c r="G2000" s="4" t="n">
        <v>1</v>
      </c>
      <c r="H2000" s="4">
        <f>IF(OR(N(F2000)&gt;=0.5,G2000&gt;=4),3,IF(OR(N(F2000)&gt;=0.3,G2000=3),2,IF(OR(N(F2000)&gt;=0.1,G2000&gt;=1),1,0)))</f>
        <v/>
      </c>
      <c r="I2000" s="4">
        <f>CHOOSE(H2000+1,"Kein Risiko","Gering","Mittel","Hoch")</f>
        <v/>
      </c>
    </row>
    <row r="2001">
      <c r="A2001" s="4" t="n">
        <v>1997</v>
      </c>
      <c r="B2001" s="4" t="inlineStr">
        <is>
          <t>yes</t>
        </is>
      </c>
      <c r="C2001" s="4" t="inlineStr">
        <is>
          <t>Niederweniger Straße</t>
        </is>
      </c>
      <c r="D2001" s="4" t="inlineStr">
        <is>
          <t>126b</t>
        </is>
      </c>
      <c r="E2001" s="13" t="n">
        <v>75.90000000000001</v>
      </c>
      <c r="F2001" s="12" t="n">
        <v>0</v>
      </c>
      <c r="G2001" s="4" t="n">
        <v>1</v>
      </c>
      <c r="H2001" s="4">
        <f>IF(OR(N(F2001)&gt;=0.5,G2001&gt;=4),3,IF(OR(N(F2001)&gt;=0.3,G2001=3),2,IF(OR(N(F2001)&gt;=0.1,G2001&gt;=1),1,0)))</f>
        <v/>
      </c>
      <c r="I2001" s="4">
        <f>CHOOSE(H2001+1,"Kein Risiko","Gering","Mittel","Hoch")</f>
        <v/>
      </c>
    </row>
    <row r="2002">
      <c r="A2002" s="4" t="n">
        <v>1998</v>
      </c>
      <c r="B2002" s="4" t="inlineStr">
        <is>
          <t>yes</t>
        </is>
      </c>
      <c r="C2002" s="4" t="inlineStr">
        <is>
          <t>Byfanger Straße</t>
        </is>
      </c>
      <c r="D2002" s="4" t="inlineStr">
        <is>
          <t>127</t>
        </is>
      </c>
      <c r="E2002" s="13" t="n">
        <v>65.59999999999999</v>
      </c>
      <c r="F2002" s="12" t="n">
        <v>0</v>
      </c>
      <c r="G2002" s="4" t="n">
        <v>0</v>
      </c>
      <c r="H2002" s="4">
        <f>IF(OR(N(F2002)&gt;=0.5,G2002&gt;=4),3,IF(OR(N(F2002)&gt;=0.3,G2002=3),2,IF(OR(N(F2002)&gt;=0.1,G2002&gt;=1),1,0)))</f>
        <v/>
      </c>
      <c r="I2002" s="4">
        <f>CHOOSE(H2002+1,"Kein Risiko","Gering","Mittel","Hoch")</f>
        <v/>
      </c>
    </row>
    <row r="2003">
      <c r="A2003" s="4" t="n">
        <v>1999</v>
      </c>
      <c r="B2003" s="4" t="inlineStr">
        <is>
          <t>yes</t>
        </is>
      </c>
      <c r="C2003" s="4" t="inlineStr">
        <is>
          <t>Byfanger Straße</t>
        </is>
      </c>
      <c r="D2003" s="4" t="inlineStr">
        <is>
          <t>128</t>
        </is>
      </c>
      <c r="E2003" s="13" t="n">
        <v>104.3</v>
      </c>
      <c r="F2003" s="12" t="n">
        <v>0.04000091552734375</v>
      </c>
      <c r="G2003" s="4" t="n">
        <v>1</v>
      </c>
      <c r="H2003" s="4">
        <f>IF(OR(N(F2003)&gt;=0.5,G2003&gt;=4),3,IF(OR(N(F2003)&gt;=0.3,G2003=3),2,IF(OR(N(F2003)&gt;=0.1,G2003&gt;=1),1,0)))</f>
        <v/>
      </c>
      <c r="I2003" s="4">
        <f>CHOOSE(H2003+1,"Kein Risiko","Gering","Mittel","Hoch")</f>
        <v/>
      </c>
    </row>
    <row r="2004">
      <c r="A2004" s="4" t="n">
        <v>2000</v>
      </c>
      <c r="B2004" s="4" t="inlineStr">
        <is>
          <t>yes</t>
        </is>
      </c>
      <c r="C2004" s="4" t="inlineStr">
        <is>
          <t>Byfanger Straße</t>
        </is>
      </c>
      <c r="D2004" s="4" t="inlineStr">
        <is>
          <t>129</t>
        </is>
      </c>
      <c r="E2004" s="13" t="n">
        <v>65.59999999999999</v>
      </c>
      <c r="F2004" s="12" t="n">
        <v>0</v>
      </c>
      <c r="G2004" s="4" t="n">
        <v>0</v>
      </c>
      <c r="H2004" s="4">
        <f>IF(OR(N(F2004)&gt;=0.5,G2004&gt;=4),3,IF(OR(N(F2004)&gt;=0.3,G2004=3),2,IF(OR(N(F2004)&gt;=0.1,G2004&gt;=1),1,0)))</f>
        <v/>
      </c>
      <c r="I2004" s="4">
        <f>CHOOSE(H2004+1,"Kein Risiko","Gering","Mittel","Hoch")</f>
        <v/>
      </c>
    </row>
    <row r="2005">
      <c r="A2005" s="4" t="n">
        <v>2001</v>
      </c>
      <c r="B2005" s="4" t="inlineStr">
        <is>
          <t>house</t>
        </is>
      </c>
      <c r="C2005" s="4" t="inlineStr">
        <is>
          <t>Brackmannhang</t>
        </is>
      </c>
      <c r="D2005" s="4" t="inlineStr">
        <is>
          <t>12a</t>
        </is>
      </c>
      <c r="E2005" s="13" t="n">
        <v>79.90000000000001</v>
      </c>
      <c r="F2005" s="12" t="n">
        <v>0</v>
      </c>
      <c r="G2005" s="4" t="n">
        <v>0</v>
      </c>
      <c r="H2005" s="4">
        <f>IF(OR(N(F2005)&gt;=0.5,G2005&gt;=4),3,IF(OR(N(F2005)&gt;=0.3,G2005=3),2,IF(OR(N(F2005)&gt;=0.1,G2005&gt;=1),1,0)))</f>
        <v/>
      </c>
      <c r="I2005" s="4">
        <f>CHOOSE(H2005+1,"Kein Risiko","Gering","Mittel","Hoch")</f>
        <v/>
      </c>
    </row>
    <row r="2006">
      <c r="A2006" s="4" t="n">
        <v>2002</v>
      </c>
      <c r="B2006" s="4" t="inlineStr">
        <is>
          <t>house</t>
        </is>
      </c>
      <c r="C2006" s="4" t="inlineStr">
        <is>
          <t>Brackmannhang</t>
        </is>
      </c>
      <c r="D2006" s="4" t="inlineStr">
        <is>
          <t>12b</t>
        </is>
      </c>
      <c r="E2006" s="13" t="n">
        <v>78.8</v>
      </c>
      <c r="F2006" s="12" t="n">
        <v>0</v>
      </c>
      <c r="G2006" s="4" t="n">
        <v>0</v>
      </c>
      <c r="H2006" s="4">
        <f>IF(OR(N(F2006)&gt;=0.5,G2006&gt;=4),3,IF(OR(N(F2006)&gt;=0.3,G2006=3),2,IF(OR(N(F2006)&gt;=0.1,G2006&gt;=1),1,0)))</f>
        <v/>
      </c>
      <c r="I2006" s="4">
        <f>CHOOSE(H2006+1,"Kein Risiko","Gering","Mittel","Hoch")</f>
        <v/>
      </c>
    </row>
    <row r="2007">
      <c r="A2007" s="4" t="n">
        <v>2003</v>
      </c>
      <c r="B2007" s="4" t="inlineStr">
        <is>
          <t>yes</t>
        </is>
      </c>
      <c r="C2007" s="4" t="inlineStr">
        <is>
          <t>Breddebuschhang</t>
        </is>
      </c>
      <c r="D2007" s="4" t="inlineStr">
        <is>
          <t>13</t>
        </is>
      </c>
      <c r="E2007" s="13" t="n">
        <v>80.59999999999999</v>
      </c>
      <c r="F2007" s="12" t="n">
        <v>0</v>
      </c>
      <c r="G2007" s="4" t="n">
        <v>1</v>
      </c>
      <c r="H2007" s="4">
        <f>IF(OR(N(F2007)&gt;=0.5,G2007&gt;=4),3,IF(OR(N(F2007)&gt;=0.3,G2007=3),2,IF(OR(N(F2007)&gt;=0.1,G2007&gt;=1),1,0)))</f>
        <v/>
      </c>
      <c r="I2007" s="4">
        <f>CHOOSE(H2007+1,"Kein Risiko","Gering","Mittel","Hoch")</f>
        <v/>
      </c>
    </row>
    <row r="2008">
      <c r="A2008" s="4" t="n">
        <v>2004</v>
      </c>
      <c r="B2008" s="4" t="inlineStr">
        <is>
          <t>yes</t>
        </is>
      </c>
      <c r="C2008" s="4" t="inlineStr">
        <is>
          <t>Engelssiepen</t>
        </is>
      </c>
      <c r="D2008" s="4" t="inlineStr">
        <is>
          <t>13</t>
        </is>
      </c>
      <c r="E2008" s="13" t="n">
        <v>77.2</v>
      </c>
      <c r="F2008" s="12" t="n">
        <v>0.04999542236328125</v>
      </c>
      <c r="G2008" s="4" t="n">
        <v>0</v>
      </c>
      <c r="H2008" s="4">
        <f>IF(OR(N(F2008)&gt;=0.5,G2008&gt;=4),3,IF(OR(N(F2008)&gt;=0.3,G2008=3),2,IF(OR(N(F2008)&gt;=0.1,G2008&gt;=1),1,0)))</f>
        <v/>
      </c>
      <c r="I2008" s="4">
        <f>CHOOSE(H2008+1,"Kein Risiko","Gering","Mittel","Hoch")</f>
        <v/>
      </c>
    </row>
    <row r="2009">
      <c r="A2009" s="4" t="n">
        <v>2005</v>
      </c>
      <c r="B2009" s="4" t="inlineStr">
        <is>
          <t>yes</t>
        </is>
      </c>
      <c r="C2009" s="4" t="inlineStr">
        <is>
          <t>Marienbergstraße</t>
        </is>
      </c>
      <c r="D2009" s="4" t="inlineStr">
        <is>
          <t>13</t>
        </is>
      </c>
      <c r="E2009" s="13" t="n">
        <v>49.7</v>
      </c>
      <c r="F2009" s="12" t="n">
        <v>0.0800018310546875</v>
      </c>
      <c r="G2009" s="4" t="n">
        <v>0</v>
      </c>
      <c r="H2009" s="4">
        <f>IF(OR(N(F2009)&gt;=0.5,G2009&gt;=4),3,IF(OR(N(F2009)&gt;=0.3,G2009=3),2,IF(OR(N(F2009)&gt;=0.1,G2009&gt;=1),1,0)))</f>
        <v/>
      </c>
      <c r="I2009" s="4">
        <f>CHOOSE(H2009+1,"Kein Risiko","Gering","Mittel","Hoch")</f>
        <v/>
      </c>
    </row>
    <row r="2010">
      <c r="A2010" s="4" t="n">
        <v>2006</v>
      </c>
      <c r="B2010" s="4" t="inlineStr">
        <is>
          <t>yes</t>
        </is>
      </c>
      <c r="C2010" s="4" t="inlineStr">
        <is>
          <t>Schliepershang</t>
        </is>
      </c>
      <c r="D2010" s="4" t="inlineStr">
        <is>
          <t>13</t>
        </is>
      </c>
      <c r="E2010" s="13" t="n">
        <v>147.6</v>
      </c>
      <c r="F2010" s="12" t="n">
        <v>0</v>
      </c>
      <c r="G2010" s="4" t="n">
        <v>3</v>
      </c>
      <c r="H2010" s="4">
        <f>IF(OR(N(F2010)&gt;=0.5,G2010&gt;=4),3,IF(OR(N(F2010)&gt;=0.3,G2010=3),2,IF(OR(N(F2010)&gt;=0.1,G2010&gt;=1),1,0)))</f>
        <v/>
      </c>
      <c r="I2010" s="4">
        <f>CHOOSE(H2010+1,"Kein Risiko","Gering","Mittel","Hoch")</f>
        <v/>
      </c>
    </row>
    <row r="2011">
      <c r="A2011" s="4" t="n">
        <v>2007</v>
      </c>
      <c r="B2011" s="4" t="inlineStr">
        <is>
          <t>yes</t>
        </is>
      </c>
      <c r="C2011" s="4" t="inlineStr">
        <is>
          <t>Byfanger Straße</t>
        </is>
      </c>
      <c r="D2011" s="4" t="inlineStr">
        <is>
          <t>130</t>
        </is>
      </c>
      <c r="E2011" s="13" t="n">
        <v>104.2</v>
      </c>
      <c r="F2011" s="12" t="n">
        <v>0.0500030517578125</v>
      </c>
      <c r="G2011" s="4" t="n">
        <v>0</v>
      </c>
      <c r="H2011" s="4">
        <f>IF(OR(N(F2011)&gt;=0.5,G2011&gt;=4),3,IF(OR(N(F2011)&gt;=0.3,G2011=3),2,IF(OR(N(F2011)&gt;=0.1,G2011&gt;=1),1,0)))</f>
        <v/>
      </c>
      <c r="I2011" s="4">
        <f>CHOOSE(H2011+1,"Kein Risiko","Gering","Mittel","Hoch")</f>
        <v/>
      </c>
    </row>
    <row r="2012">
      <c r="A2012" s="4" t="n">
        <v>2008</v>
      </c>
      <c r="B2012" s="4" t="inlineStr">
        <is>
          <t>yes</t>
        </is>
      </c>
      <c r="C2012" s="4" t="inlineStr">
        <is>
          <t>Byfanger Straße</t>
        </is>
      </c>
      <c r="D2012" s="4" t="inlineStr">
        <is>
          <t>131</t>
        </is>
      </c>
      <c r="E2012" s="13" t="n">
        <v>65.59999999999999</v>
      </c>
      <c r="F2012" s="12" t="n">
        <v>0</v>
      </c>
      <c r="G2012" s="4" t="n">
        <v>0</v>
      </c>
      <c r="H2012" s="4">
        <f>IF(OR(N(F2012)&gt;=0.5,G2012&gt;=4),3,IF(OR(N(F2012)&gt;=0.3,G2012=3),2,IF(OR(N(F2012)&gt;=0.1,G2012&gt;=1),1,0)))</f>
        <v/>
      </c>
      <c r="I2012" s="4">
        <f>CHOOSE(H2012+1,"Kein Risiko","Gering","Mittel","Hoch")</f>
        <v/>
      </c>
    </row>
    <row r="2013">
      <c r="A2013" s="4" t="n">
        <v>2009</v>
      </c>
      <c r="B2013" s="4" t="inlineStr">
        <is>
          <t>yes</t>
        </is>
      </c>
      <c r="C2013" s="4" t="inlineStr">
        <is>
          <t>Byfanger Straße</t>
        </is>
      </c>
      <c r="D2013" s="4" t="inlineStr">
        <is>
          <t>132</t>
        </is>
      </c>
      <c r="E2013" s="13" t="n">
        <v>103.7</v>
      </c>
      <c r="F2013" s="12" t="n">
        <v>0</v>
      </c>
      <c r="G2013" s="4" t="n">
        <v>1</v>
      </c>
      <c r="H2013" s="4">
        <f>IF(OR(N(F2013)&gt;=0.5,G2013&gt;=4),3,IF(OR(N(F2013)&gt;=0.3,G2013=3),2,IF(OR(N(F2013)&gt;=0.1,G2013&gt;=1),1,0)))</f>
        <v/>
      </c>
      <c r="I2013" s="4">
        <f>CHOOSE(H2013+1,"Kein Risiko","Gering","Mittel","Hoch")</f>
        <v/>
      </c>
    </row>
    <row r="2014">
      <c r="A2014" s="4" t="n">
        <v>2010</v>
      </c>
      <c r="B2014" s="4" t="inlineStr">
        <is>
          <t>yes</t>
        </is>
      </c>
      <c r="C2014" s="4" t="inlineStr">
        <is>
          <t>Byfanger Straße</t>
        </is>
      </c>
      <c r="D2014" s="4" t="inlineStr">
        <is>
          <t>133</t>
        </is>
      </c>
      <c r="E2014" s="13" t="n">
        <v>58.3</v>
      </c>
      <c r="F2014" s="12" t="n">
        <v>0</v>
      </c>
      <c r="G2014" s="4" t="n">
        <v>0</v>
      </c>
      <c r="H2014" s="4">
        <f>IF(OR(N(F2014)&gt;=0.5,G2014&gt;=4),3,IF(OR(N(F2014)&gt;=0.3,G2014=3),2,IF(OR(N(F2014)&gt;=0.1,G2014&gt;=1),1,0)))</f>
        <v/>
      </c>
      <c r="I2014" s="4">
        <f>CHOOSE(H2014+1,"Kein Risiko","Gering","Mittel","Hoch")</f>
        <v/>
      </c>
    </row>
    <row r="2015">
      <c r="A2015" s="4" t="n">
        <v>2011</v>
      </c>
      <c r="B2015" s="4" t="inlineStr">
        <is>
          <t>yes</t>
        </is>
      </c>
      <c r="C2015" s="4" t="inlineStr">
        <is>
          <t>Byfanger Straße</t>
        </is>
      </c>
      <c r="D2015" s="4" t="inlineStr">
        <is>
          <t>134</t>
        </is>
      </c>
      <c r="E2015" s="13" t="n">
        <v>103.6</v>
      </c>
      <c r="F2015" s="12" t="n">
        <v>0</v>
      </c>
      <c r="G2015" s="4" t="n">
        <v>0</v>
      </c>
      <c r="H2015" s="4">
        <f>IF(OR(N(F2015)&gt;=0.5,G2015&gt;=4),3,IF(OR(N(F2015)&gt;=0.3,G2015=3),2,IF(OR(N(F2015)&gt;=0.1,G2015&gt;=1),1,0)))</f>
        <v/>
      </c>
      <c r="I2015" s="4">
        <f>CHOOSE(H2015+1,"Kein Risiko","Gering","Mittel","Hoch")</f>
        <v/>
      </c>
    </row>
    <row r="2016">
      <c r="A2016" s="4" t="n">
        <v>2012</v>
      </c>
      <c r="B2016" s="4" t="inlineStr">
        <is>
          <t>yes</t>
        </is>
      </c>
      <c r="C2016" s="4" t="inlineStr">
        <is>
          <t>Byfanger Straße</t>
        </is>
      </c>
      <c r="D2016" s="4" t="inlineStr">
        <is>
          <t>135</t>
        </is>
      </c>
      <c r="E2016" s="13" t="n">
        <v>58.3</v>
      </c>
      <c r="F2016" s="12" t="n">
        <v>0</v>
      </c>
      <c r="G2016" s="4" t="n">
        <v>0</v>
      </c>
      <c r="H2016" s="4">
        <f>IF(OR(N(F2016)&gt;=0.5,G2016&gt;=4),3,IF(OR(N(F2016)&gt;=0.3,G2016=3),2,IF(OR(N(F2016)&gt;=0.1,G2016&gt;=1),1,0)))</f>
        <v/>
      </c>
      <c r="I2016" s="4">
        <f>CHOOSE(H2016+1,"Kein Risiko","Gering","Mittel","Hoch")</f>
        <v/>
      </c>
    </row>
    <row r="2017">
      <c r="A2017" s="4" t="n">
        <v>2013</v>
      </c>
      <c r="B2017" s="4" t="inlineStr">
        <is>
          <t>yes</t>
        </is>
      </c>
      <c r="C2017" s="4" t="inlineStr">
        <is>
          <t>Byfanger Straße</t>
        </is>
      </c>
      <c r="D2017" s="4" t="inlineStr">
        <is>
          <t>136</t>
        </is>
      </c>
      <c r="E2017" s="13" t="n">
        <v>105.4</v>
      </c>
      <c r="F2017" s="12" t="n">
        <v>0</v>
      </c>
      <c r="G2017" s="4" t="n">
        <v>1</v>
      </c>
      <c r="H2017" s="4">
        <f>IF(OR(N(F2017)&gt;=0.5,G2017&gt;=4),3,IF(OR(N(F2017)&gt;=0.3,G2017=3),2,IF(OR(N(F2017)&gt;=0.1,G2017&gt;=1),1,0)))</f>
        <v/>
      </c>
      <c r="I2017" s="4">
        <f>CHOOSE(H2017+1,"Kein Risiko","Gering","Mittel","Hoch")</f>
        <v/>
      </c>
    </row>
    <row r="2018">
      <c r="A2018" s="4" t="n">
        <v>2014</v>
      </c>
      <c r="B2018" s="4" t="inlineStr">
        <is>
          <t>yes</t>
        </is>
      </c>
      <c r="C2018" s="4" t="inlineStr">
        <is>
          <t>Byfanger Straße</t>
        </is>
      </c>
      <c r="D2018" s="4" t="inlineStr">
        <is>
          <t>137</t>
        </is>
      </c>
      <c r="E2018" s="13" t="n">
        <v>58.3</v>
      </c>
      <c r="F2018" s="12" t="n">
        <v>0</v>
      </c>
      <c r="G2018" s="4" t="n">
        <v>0</v>
      </c>
      <c r="H2018" s="4">
        <f>IF(OR(N(F2018)&gt;=0.5,G2018&gt;=4),3,IF(OR(N(F2018)&gt;=0.3,G2018=3),2,IF(OR(N(F2018)&gt;=0.1,G2018&gt;=1),1,0)))</f>
        <v/>
      </c>
      <c r="I2018" s="4">
        <f>CHOOSE(H2018+1,"Kein Risiko","Gering","Mittel","Hoch")</f>
        <v/>
      </c>
    </row>
    <row r="2019">
      <c r="A2019" s="4" t="n">
        <v>2015</v>
      </c>
      <c r="B2019" s="4" t="inlineStr">
        <is>
          <t>yes</t>
        </is>
      </c>
      <c r="C2019" s="4" t="inlineStr">
        <is>
          <t>Byfanger Straße</t>
        </is>
      </c>
      <c r="D2019" s="4" t="inlineStr">
        <is>
          <t>138</t>
        </is>
      </c>
      <c r="E2019" s="13" t="n">
        <v>105.4</v>
      </c>
      <c r="F2019" s="12" t="n">
        <v>0.029998779296875</v>
      </c>
      <c r="G2019" s="4" t="n">
        <v>1</v>
      </c>
      <c r="H2019" s="4">
        <f>IF(OR(N(F2019)&gt;=0.5,G2019&gt;=4),3,IF(OR(N(F2019)&gt;=0.3,G2019=3),2,IF(OR(N(F2019)&gt;=0.1,G2019&gt;=1),1,0)))</f>
        <v/>
      </c>
      <c r="I2019" s="4">
        <f>CHOOSE(H2019+1,"Kein Risiko","Gering","Mittel","Hoch")</f>
        <v/>
      </c>
    </row>
    <row r="2020">
      <c r="A2020" s="4" t="n">
        <v>2016</v>
      </c>
      <c r="B2020" s="4" t="inlineStr">
        <is>
          <t>yes</t>
        </is>
      </c>
      <c r="C2020" s="4" t="inlineStr">
        <is>
          <t>Byfanger Straße</t>
        </is>
      </c>
      <c r="D2020" s="4" t="inlineStr">
        <is>
          <t>139</t>
        </is>
      </c>
      <c r="E2020" s="13" t="n">
        <v>58.2</v>
      </c>
      <c r="F2020" s="12" t="n">
        <v>0</v>
      </c>
      <c r="G2020" s="4" t="n">
        <v>0</v>
      </c>
      <c r="H2020" s="4">
        <f>IF(OR(N(F2020)&gt;=0.5,G2020&gt;=4),3,IF(OR(N(F2020)&gt;=0.3,G2020=3),2,IF(OR(N(F2020)&gt;=0.1,G2020&gt;=1),1,0)))</f>
        <v/>
      </c>
      <c r="I2020" s="4">
        <f>CHOOSE(H2020+1,"Kein Risiko","Gering","Mittel","Hoch")</f>
        <v/>
      </c>
    </row>
    <row r="2021">
      <c r="A2021" s="4" t="n">
        <v>2017</v>
      </c>
      <c r="B2021" s="4" t="inlineStr">
        <is>
          <t>yes</t>
        </is>
      </c>
      <c r="C2021" s="4" t="inlineStr">
        <is>
          <t>Bovermanns Weg</t>
        </is>
      </c>
      <c r="D2021" s="4" t="inlineStr">
        <is>
          <t>14</t>
        </is>
      </c>
      <c r="E2021" s="13" t="n">
        <v>65.8</v>
      </c>
      <c r="F2021" s="12" t="n">
        <v>0</v>
      </c>
      <c r="G2021" s="4" t="n">
        <v>1</v>
      </c>
      <c r="H2021" s="4">
        <f>IF(OR(N(F2021)&gt;=0.5,G2021&gt;=4),3,IF(OR(N(F2021)&gt;=0.3,G2021=3),2,IF(OR(N(F2021)&gt;=0.1,G2021&gt;=1),1,0)))</f>
        <v/>
      </c>
      <c r="I2021" s="4">
        <f>CHOOSE(H2021+1,"Kein Risiko","Gering","Mittel","Hoch")</f>
        <v/>
      </c>
    </row>
    <row r="2022">
      <c r="A2022" s="4" t="n">
        <v>2018</v>
      </c>
      <c r="B2022" s="4" t="inlineStr">
        <is>
          <t>house</t>
        </is>
      </c>
      <c r="C2022" s="4" t="inlineStr">
        <is>
          <t>Brackmannhang</t>
        </is>
      </c>
      <c r="D2022" s="4" t="inlineStr">
        <is>
          <t>14</t>
        </is>
      </c>
      <c r="E2022" s="13" t="n">
        <v>73.90000000000001</v>
      </c>
      <c r="F2022" s="12" t="n">
        <v>0</v>
      </c>
      <c r="G2022" s="4" t="n">
        <v>1</v>
      </c>
      <c r="H2022" s="4">
        <f>IF(OR(N(F2022)&gt;=0.5,G2022&gt;=4),3,IF(OR(N(F2022)&gt;=0.3,G2022=3),2,IF(OR(N(F2022)&gt;=0.1,G2022&gt;=1),1,0)))</f>
        <v/>
      </c>
      <c r="I2022" s="4">
        <f>CHOOSE(H2022+1,"Kein Risiko","Gering","Mittel","Hoch")</f>
        <v/>
      </c>
    </row>
    <row r="2023">
      <c r="A2023" s="4" t="n">
        <v>2019</v>
      </c>
      <c r="B2023" s="4" t="inlineStr">
        <is>
          <t>yes</t>
        </is>
      </c>
      <c r="C2023" s="4" t="inlineStr">
        <is>
          <t>Leibergweg</t>
        </is>
      </c>
      <c r="D2023" s="4" t="inlineStr">
        <is>
          <t>14</t>
        </is>
      </c>
      <c r="E2023" s="13" t="n">
        <v>129.1</v>
      </c>
      <c r="F2023" s="12" t="n">
        <v>0</v>
      </c>
      <c r="G2023" s="4" t="n">
        <v>1</v>
      </c>
      <c r="H2023" s="4">
        <f>IF(OR(N(F2023)&gt;=0.5,G2023&gt;=4),3,IF(OR(N(F2023)&gt;=0.3,G2023=3),2,IF(OR(N(F2023)&gt;=0.1,G2023&gt;=1),1,0)))</f>
        <v/>
      </c>
      <c r="I2023" s="4">
        <f>CHOOSE(H2023+1,"Kein Risiko","Gering","Mittel","Hoch")</f>
        <v/>
      </c>
    </row>
    <row r="2024">
      <c r="A2024" s="4" t="n">
        <v>2020</v>
      </c>
      <c r="B2024" s="4" t="inlineStr">
        <is>
          <t>yes</t>
        </is>
      </c>
      <c r="C2024" s="4" t="inlineStr">
        <is>
          <t>Marienbergstraße</t>
        </is>
      </c>
      <c r="D2024" s="4" t="inlineStr">
        <is>
          <t>14</t>
        </is>
      </c>
      <c r="E2024" s="13" t="n">
        <v>123.6</v>
      </c>
      <c r="F2024" s="12" t="n">
        <v>0.01000213623046875</v>
      </c>
      <c r="G2024" s="4" t="n">
        <v>1</v>
      </c>
      <c r="H2024" s="4">
        <f>IF(OR(N(F2024)&gt;=0.5,G2024&gt;=4),3,IF(OR(N(F2024)&gt;=0.3,G2024=3),2,IF(OR(N(F2024)&gt;=0.1,G2024&gt;=1),1,0)))</f>
        <v/>
      </c>
      <c r="I2024" s="4">
        <f>CHOOSE(H2024+1,"Kein Risiko","Gering","Mittel","Hoch")</f>
        <v/>
      </c>
    </row>
    <row r="2025">
      <c r="A2025" s="4" t="n">
        <v>2021</v>
      </c>
      <c r="B2025" s="4" t="inlineStr">
        <is>
          <t>yes</t>
        </is>
      </c>
      <c r="C2025" s="4" t="inlineStr">
        <is>
          <t>Byfanger Straße</t>
        </is>
      </c>
      <c r="D2025" s="4" t="inlineStr">
        <is>
          <t>140</t>
        </is>
      </c>
      <c r="E2025" s="13" t="n">
        <v>73.5</v>
      </c>
      <c r="F2025" s="12" t="n">
        <v>0</v>
      </c>
      <c r="G2025" s="4" t="n">
        <v>1</v>
      </c>
      <c r="H2025" s="4">
        <f>IF(OR(N(F2025)&gt;=0.5,G2025&gt;=4),3,IF(OR(N(F2025)&gt;=0.3,G2025=3),2,IF(OR(N(F2025)&gt;=0.1,G2025&gt;=1),1,0)))</f>
        <v/>
      </c>
      <c r="I2025" s="4">
        <f>CHOOSE(H2025+1,"Kein Risiko","Gering","Mittel","Hoch")</f>
        <v/>
      </c>
    </row>
    <row r="2026">
      <c r="A2026" s="4" t="n">
        <v>2022</v>
      </c>
      <c r="B2026" s="4" t="inlineStr">
        <is>
          <t>yes</t>
        </is>
      </c>
      <c r="C2026" s="4" t="inlineStr">
        <is>
          <t>Byfanger Straße</t>
        </is>
      </c>
      <c r="D2026" s="4" t="inlineStr">
        <is>
          <t>141</t>
        </is>
      </c>
      <c r="E2026" s="13" t="n">
        <v>65.09999999999999</v>
      </c>
      <c r="F2026" s="12" t="n">
        <v>0</v>
      </c>
      <c r="G2026" s="4" t="n">
        <v>0</v>
      </c>
      <c r="H2026" s="4">
        <f>IF(OR(N(F2026)&gt;=0.5,G2026&gt;=4),3,IF(OR(N(F2026)&gt;=0.3,G2026=3),2,IF(OR(N(F2026)&gt;=0.1,G2026&gt;=1),1,0)))</f>
        <v/>
      </c>
      <c r="I2026" s="4">
        <f>CHOOSE(H2026+1,"Kein Risiko","Gering","Mittel","Hoch")</f>
        <v/>
      </c>
    </row>
    <row r="2027">
      <c r="A2027" s="4" t="n">
        <v>2023</v>
      </c>
      <c r="B2027" s="4" t="inlineStr">
        <is>
          <t>yes</t>
        </is>
      </c>
      <c r="C2027" s="4" t="inlineStr">
        <is>
          <t>Byfanger Straße</t>
        </is>
      </c>
      <c r="D2027" s="4" t="inlineStr">
        <is>
          <t>143</t>
        </is>
      </c>
      <c r="E2027" s="13" t="n">
        <v>65.09999999999999</v>
      </c>
      <c r="F2027" s="12" t="n">
        <v>0</v>
      </c>
      <c r="G2027" s="4" t="n">
        <v>0</v>
      </c>
      <c r="H2027" s="4">
        <f>IF(OR(N(F2027)&gt;=0.5,G2027&gt;=4),3,IF(OR(N(F2027)&gt;=0.3,G2027=3),2,IF(OR(N(F2027)&gt;=0.1,G2027&gt;=1),1,0)))</f>
        <v/>
      </c>
      <c r="I2027" s="4">
        <f>CHOOSE(H2027+1,"Kein Risiko","Gering","Mittel","Hoch")</f>
        <v/>
      </c>
    </row>
    <row r="2028">
      <c r="A2028" s="4" t="n">
        <v>2024</v>
      </c>
      <c r="B2028" s="4" t="inlineStr">
        <is>
          <t>yes</t>
        </is>
      </c>
      <c r="C2028" s="4" t="inlineStr">
        <is>
          <t>Byfanger Straße</t>
        </is>
      </c>
      <c r="D2028" s="4" t="inlineStr">
        <is>
          <t>144</t>
        </is>
      </c>
      <c r="E2028" s="13" t="n">
        <v>149.2</v>
      </c>
      <c r="F2028" s="12" t="n">
        <v>0</v>
      </c>
      <c r="G2028" s="4" t="n">
        <v>1</v>
      </c>
      <c r="H2028" s="4">
        <f>IF(OR(N(F2028)&gt;=0.5,G2028&gt;=4),3,IF(OR(N(F2028)&gt;=0.3,G2028=3),2,IF(OR(N(F2028)&gt;=0.1,G2028&gt;=1),1,0)))</f>
        <v/>
      </c>
      <c r="I2028" s="4">
        <f>CHOOSE(H2028+1,"Kein Risiko","Gering","Mittel","Hoch")</f>
        <v/>
      </c>
    </row>
    <row r="2029">
      <c r="A2029" s="4" t="n">
        <v>2025</v>
      </c>
      <c r="B2029" s="4" t="inlineStr">
        <is>
          <t>yes</t>
        </is>
      </c>
      <c r="C2029" s="4" t="inlineStr">
        <is>
          <t>Byfanger Straße</t>
        </is>
      </c>
      <c r="D2029" s="4" t="inlineStr">
        <is>
          <t>145</t>
        </is>
      </c>
      <c r="E2029" s="13" t="n">
        <v>65</v>
      </c>
      <c r="F2029" s="12" t="n">
        <v>0</v>
      </c>
      <c r="G2029" s="4" t="n">
        <v>0</v>
      </c>
      <c r="H2029" s="4">
        <f>IF(OR(N(F2029)&gt;=0.5,G2029&gt;=4),3,IF(OR(N(F2029)&gt;=0.3,G2029=3),2,IF(OR(N(F2029)&gt;=0.1,G2029&gt;=1),1,0)))</f>
        <v/>
      </c>
      <c r="I2029" s="4">
        <f>CHOOSE(H2029+1,"Kein Risiko","Gering","Mittel","Hoch")</f>
        <v/>
      </c>
    </row>
    <row r="2030">
      <c r="A2030" s="4" t="n">
        <v>2026</v>
      </c>
      <c r="B2030" s="4" t="inlineStr">
        <is>
          <t>yes</t>
        </is>
      </c>
      <c r="C2030" s="4" t="inlineStr">
        <is>
          <t>Byfanger Straße</t>
        </is>
      </c>
      <c r="D2030" s="4" t="inlineStr">
        <is>
          <t>147</t>
        </is>
      </c>
      <c r="E2030" s="13" t="n">
        <v>65</v>
      </c>
      <c r="F2030" s="12" t="n">
        <v>0</v>
      </c>
      <c r="G2030" s="4" t="n">
        <v>0</v>
      </c>
      <c r="H2030" s="4">
        <f>IF(OR(N(F2030)&gt;=0.5,G2030&gt;=4),3,IF(OR(N(F2030)&gt;=0.3,G2030=3),2,IF(OR(N(F2030)&gt;=0.1,G2030&gt;=1),1,0)))</f>
        <v/>
      </c>
      <c r="I2030" s="4">
        <f>CHOOSE(H2030+1,"Kein Risiko","Gering","Mittel","Hoch")</f>
        <v/>
      </c>
    </row>
    <row r="2031">
      <c r="A2031" s="4" t="n">
        <v>2027</v>
      </c>
      <c r="B2031" s="4" t="inlineStr">
        <is>
          <t>yes</t>
        </is>
      </c>
      <c r="C2031" s="4" t="inlineStr">
        <is>
          <t>Byfanger Straße</t>
        </is>
      </c>
      <c r="D2031" s="4" t="inlineStr">
        <is>
          <t>148</t>
        </is>
      </c>
      <c r="E2031" s="13" t="n">
        <v>58.5</v>
      </c>
      <c r="F2031" s="12" t="n">
        <v>0.0200042724609375</v>
      </c>
      <c r="G2031" s="4" t="n">
        <v>1</v>
      </c>
      <c r="H2031" s="4">
        <f>IF(OR(N(F2031)&gt;=0.5,G2031&gt;=4),3,IF(OR(N(F2031)&gt;=0.3,G2031=3),2,IF(OR(N(F2031)&gt;=0.1,G2031&gt;=1),1,0)))</f>
        <v/>
      </c>
      <c r="I2031" s="4">
        <f>CHOOSE(H2031+1,"Kein Risiko","Gering","Mittel","Hoch")</f>
        <v/>
      </c>
    </row>
    <row r="2032">
      <c r="A2032" s="4" t="n">
        <v>2028</v>
      </c>
      <c r="B2032" s="4" t="inlineStr">
        <is>
          <t>yes</t>
        </is>
      </c>
      <c r="C2032" s="4" t="inlineStr">
        <is>
          <t>Beisemannhang</t>
        </is>
      </c>
      <c r="D2032" s="4" t="inlineStr">
        <is>
          <t>14a</t>
        </is>
      </c>
      <c r="E2032" s="13" t="n">
        <v>70.8</v>
      </c>
      <c r="F2032" s="12" t="n">
        <v>0</v>
      </c>
      <c r="G2032" s="4" t="n">
        <v>0</v>
      </c>
      <c r="H2032" s="4">
        <f>IF(OR(N(F2032)&gt;=0.5,G2032&gt;=4),3,IF(OR(N(F2032)&gt;=0.3,G2032=3),2,IF(OR(N(F2032)&gt;=0.1,G2032&gt;=1),1,0)))</f>
        <v/>
      </c>
      <c r="I2032" s="4">
        <f>CHOOSE(H2032+1,"Kein Risiko","Gering","Mittel","Hoch")</f>
        <v/>
      </c>
    </row>
    <row r="2033">
      <c r="A2033" s="4" t="n">
        <v>2029</v>
      </c>
      <c r="B2033" s="4" t="inlineStr">
        <is>
          <t>yes</t>
        </is>
      </c>
      <c r="C2033" s="4" t="inlineStr">
        <is>
          <t>Beisemannhang</t>
        </is>
      </c>
      <c r="D2033" s="4" t="inlineStr">
        <is>
          <t>14b</t>
        </is>
      </c>
      <c r="E2033" s="13" t="n">
        <v>70.90000000000001</v>
      </c>
      <c r="F2033" s="12" t="n">
        <v>0</v>
      </c>
      <c r="G2033" s="4" t="n">
        <v>0</v>
      </c>
      <c r="H2033" s="4">
        <f>IF(OR(N(F2033)&gt;=0.5,G2033&gt;=4),3,IF(OR(N(F2033)&gt;=0.3,G2033=3),2,IF(OR(N(F2033)&gt;=0.1,G2033&gt;=1),1,0)))</f>
        <v/>
      </c>
      <c r="I2033" s="4">
        <f>CHOOSE(H2033+1,"Kein Risiko","Gering","Mittel","Hoch")</f>
        <v/>
      </c>
    </row>
    <row r="2034">
      <c r="A2034" s="4" t="n">
        <v>2030</v>
      </c>
      <c r="B2034" s="4" t="inlineStr">
        <is>
          <t>yes</t>
        </is>
      </c>
      <c r="C2034" s="4" t="inlineStr">
        <is>
          <t>Breddebuschhang</t>
        </is>
      </c>
      <c r="D2034" s="4" t="inlineStr">
        <is>
          <t>15</t>
        </is>
      </c>
      <c r="E2034" s="13" t="n">
        <v>132.4</v>
      </c>
      <c r="F2034" s="12" t="n">
        <v>0.01999664306640625</v>
      </c>
      <c r="G2034" s="4" t="n">
        <v>0</v>
      </c>
      <c r="H2034" s="4">
        <f>IF(OR(N(F2034)&gt;=0.5,G2034&gt;=4),3,IF(OR(N(F2034)&gt;=0.3,G2034=3),2,IF(OR(N(F2034)&gt;=0.1,G2034&gt;=1),1,0)))</f>
        <v/>
      </c>
      <c r="I2034" s="4">
        <f>CHOOSE(H2034+1,"Kein Risiko","Gering","Mittel","Hoch")</f>
        <v/>
      </c>
    </row>
    <row r="2035">
      <c r="A2035" s="4" t="n">
        <v>2031</v>
      </c>
      <c r="B2035" s="4" t="inlineStr">
        <is>
          <t>yes</t>
        </is>
      </c>
      <c r="C2035" s="4" t="inlineStr">
        <is>
          <t>Engelssiepen</t>
        </is>
      </c>
      <c r="D2035" s="4" t="inlineStr">
        <is>
          <t>15</t>
        </is>
      </c>
      <c r="E2035" s="13" t="n">
        <v>85.5</v>
      </c>
      <c r="F2035" s="12" t="n">
        <v>0</v>
      </c>
      <c r="G2035" s="4" t="n">
        <v>1</v>
      </c>
      <c r="H2035" s="4">
        <f>IF(OR(N(F2035)&gt;=0.5,G2035&gt;=4),3,IF(OR(N(F2035)&gt;=0.3,G2035=3),2,IF(OR(N(F2035)&gt;=0.1,G2035&gt;=1),1,0)))</f>
        <v/>
      </c>
      <c r="I2035" s="4">
        <f>CHOOSE(H2035+1,"Kein Risiko","Gering","Mittel","Hoch")</f>
        <v/>
      </c>
    </row>
    <row r="2036">
      <c r="A2036" s="4" t="n">
        <v>2032</v>
      </c>
      <c r="B2036" s="4" t="inlineStr">
        <is>
          <t>yes</t>
        </is>
      </c>
      <c r="C2036" s="4" t="inlineStr">
        <is>
          <t>Byfanger Straße</t>
        </is>
      </c>
      <c r="D2036" s="4" t="inlineStr">
        <is>
          <t>150</t>
        </is>
      </c>
      <c r="E2036" s="13" t="n">
        <v>58.5</v>
      </c>
      <c r="F2036" s="12" t="n">
        <v>0</v>
      </c>
      <c r="G2036" s="4" t="n">
        <v>1</v>
      </c>
      <c r="H2036" s="4">
        <f>IF(OR(N(F2036)&gt;=0.5,G2036&gt;=4),3,IF(OR(N(F2036)&gt;=0.3,G2036=3),2,IF(OR(N(F2036)&gt;=0.1,G2036&gt;=1),1,0)))</f>
        <v/>
      </c>
      <c r="I2036" s="4">
        <f>CHOOSE(H2036+1,"Kein Risiko","Gering","Mittel","Hoch")</f>
        <v/>
      </c>
    </row>
    <row r="2037">
      <c r="A2037" s="4" t="n">
        <v>2033</v>
      </c>
      <c r="B2037" s="4" t="inlineStr">
        <is>
          <t>yes</t>
        </is>
      </c>
      <c r="C2037" s="4" t="inlineStr">
        <is>
          <t>Byfanger Straße</t>
        </is>
      </c>
      <c r="D2037" s="4" t="inlineStr">
        <is>
          <t>151</t>
        </is>
      </c>
      <c r="E2037" s="13" t="n">
        <v>61</v>
      </c>
      <c r="F2037" s="12" t="n">
        <v>0</v>
      </c>
      <c r="G2037" s="4" t="n">
        <v>0</v>
      </c>
      <c r="H2037" s="4">
        <f>IF(OR(N(F2037)&gt;=0.5,G2037&gt;=4),3,IF(OR(N(F2037)&gt;=0.3,G2037=3),2,IF(OR(N(F2037)&gt;=0.1,G2037&gt;=1),1,0)))</f>
        <v/>
      </c>
      <c r="I2037" s="4">
        <f>CHOOSE(H2037+1,"Kein Risiko","Gering","Mittel","Hoch")</f>
        <v/>
      </c>
    </row>
    <row r="2038">
      <c r="A2038" s="4" t="n">
        <v>2034</v>
      </c>
      <c r="B2038" s="4" t="inlineStr">
        <is>
          <t>yes</t>
        </is>
      </c>
      <c r="C2038" s="4" t="inlineStr">
        <is>
          <t>Byfanger Straße</t>
        </is>
      </c>
      <c r="D2038" s="4" t="inlineStr">
        <is>
          <t>152</t>
        </is>
      </c>
      <c r="E2038" s="13" t="n">
        <v>58.5</v>
      </c>
      <c r="F2038" s="12" t="n">
        <v>0</v>
      </c>
      <c r="G2038" s="4" t="n">
        <v>0</v>
      </c>
      <c r="H2038" s="4">
        <f>IF(OR(N(F2038)&gt;=0.5,G2038&gt;=4),3,IF(OR(N(F2038)&gt;=0.3,G2038=3),2,IF(OR(N(F2038)&gt;=0.1,G2038&gt;=1),1,0)))</f>
        <v/>
      </c>
      <c r="I2038" s="4">
        <f>CHOOSE(H2038+1,"Kein Risiko","Gering","Mittel","Hoch")</f>
        <v/>
      </c>
    </row>
    <row r="2039">
      <c r="A2039" s="4" t="n">
        <v>2035</v>
      </c>
      <c r="B2039" s="4" t="inlineStr">
        <is>
          <t>yes</t>
        </is>
      </c>
      <c r="C2039" s="4" t="inlineStr">
        <is>
          <t>Byfanger Straße</t>
        </is>
      </c>
      <c r="D2039" s="4" t="inlineStr">
        <is>
          <t>153</t>
        </is>
      </c>
      <c r="E2039" s="13" t="n">
        <v>67.09999999999999</v>
      </c>
      <c r="F2039" s="12" t="n">
        <v>0</v>
      </c>
      <c r="G2039" s="4" t="n">
        <v>0</v>
      </c>
      <c r="H2039" s="4">
        <f>IF(OR(N(F2039)&gt;=0.5,G2039&gt;=4),3,IF(OR(N(F2039)&gt;=0.3,G2039=3),2,IF(OR(N(F2039)&gt;=0.1,G2039&gt;=1),1,0)))</f>
        <v/>
      </c>
      <c r="I2039" s="4">
        <f>CHOOSE(H2039+1,"Kein Risiko","Gering","Mittel","Hoch")</f>
        <v/>
      </c>
    </row>
    <row r="2040">
      <c r="A2040" s="4" t="n">
        <v>2036</v>
      </c>
      <c r="B2040" s="4" t="inlineStr">
        <is>
          <t>yes</t>
        </is>
      </c>
      <c r="C2040" s="4" t="inlineStr">
        <is>
          <t>Byfanger Straße</t>
        </is>
      </c>
      <c r="D2040" s="4" t="inlineStr">
        <is>
          <t>154</t>
        </is>
      </c>
      <c r="E2040" s="13" t="n">
        <v>64.09999999999999</v>
      </c>
      <c r="F2040" s="12" t="n">
        <v>0</v>
      </c>
      <c r="G2040" s="4" t="n">
        <v>1</v>
      </c>
      <c r="H2040" s="4">
        <f>IF(OR(N(F2040)&gt;=0.5,G2040&gt;=4),3,IF(OR(N(F2040)&gt;=0.3,G2040=3),2,IF(OR(N(F2040)&gt;=0.1,G2040&gt;=1),1,0)))</f>
        <v/>
      </c>
      <c r="I2040" s="4">
        <f>CHOOSE(H2040+1,"Kein Risiko","Gering","Mittel","Hoch")</f>
        <v/>
      </c>
    </row>
    <row r="2041">
      <c r="A2041" s="4" t="n">
        <v>2037</v>
      </c>
      <c r="B2041" s="4" t="inlineStr">
        <is>
          <t>yes</t>
        </is>
      </c>
      <c r="C2041" s="4" t="inlineStr">
        <is>
          <t>Byfanger Straße</t>
        </is>
      </c>
      <c r="D2041" s="4" t="inlineStr">
        <is>
          <t>155</t>
        </is>
      </c>
      <c r="E2041" s="13" t="n">
        <v>67</v>
      </c>
      <c r="F2041" s="12" t="n">
        <v>0</v>
      </c>
      <c r="G2041" s="4" t="n">
        <v>0</v>
      </c>
      <c r="H2041" s="4">
        <f>IF(OR(N(F2041)&gt;=0.5,G2041&gt;=4),3,IF(OR(N(F2041)&gt;=0.3,G2041=3),2,IF(OR(N(F2041)&gt;=0.1,G2041&gt;=1),1,0)))</f>
        <v/>
      </c>
      <c r="I2041" s="4">
        <f>CHOOSE(H2041+1,"Kein Risiko","Gering","Mittel","Hoch")</f>
        <v/>
      </c>
    </row>
    <row r="2042">
      <c r="A2042" s="4" t="n">
        <v>2038</v>
      </c>
      <c r="B2042" s="4" t="inlineStr">
        <is>
          <t>yes</t>
        </is>
      </c>
      <c r="C2042" s="4" t="inlineStr">
        <is>
          <t>Byfanger Straße</t>
        </is>
      </c>
      <c r="D2042" s="4" t="inlineStr">
        <is>
          <t>156</t>
        </is>
      </c>
      <c r="E2042" s="13" t="n">
        <v>64.09999999999999</v>
      </c>
      <c r="F2042" s="12" t="n">
        <v>0.01999664306640625</v>
      </c>
      <c r="G2042" s="4" t="n">
        <v>1</v>
      </c>
      <c r="H2042" s="4">
        <f>IF(OR(N(F2042)&gt;=0.5,G2042&gt;=4),3,IF(OR(N(F2042)&gt;=0.3,G2042=3),2,IF(OR(N(F2042)&gt;=0.1,G2042&gt;=1),1,0)))</f>
        <v/>
      </c>
      <c r="I2042" s="4">
        <f>CHOOSE(H2042+1,"Kein Risiko","Gering","Mittel","Hoch")</f>
        <v/>
      </c>
    </row>
    <row r="2043">
      <c r="A2043" s="4" t="n">
        <v>2039</v>
      </c>
      <c r="B2043" s="4" t="inlineStr">
        <is>
          <t>yes</t>
        </is>
      </c>
      <c r="C2043" s="4" t="inlineStr">
        <is>
          <t>Byfanger Straße</t>
        </is>
      </c>
      <c r="D2043" s="4" t="inlineStr">
        <is>
          <t>157</t>
        </is>
      </c>
      <c r="E2043" s="13" t="n">
        <v>83.5</v>
      </c>
      <c r="F2043" s="12" t="n">
        <v>0</v>
      </c>
      <c r="G2043" s="4" t="n">
        <v>0</v>
      </c>
      <c r="H2043" s="4">
        <f>IF(OR(N(F2043)&gt;=0.5,G2043&gt;=4),3,IF(OR(N(F2043)&gt;=0.3,G2043=3),2,IF(OR(N(F2043)&gt;=0.1,G2043&gt;=1),1,0)))</f>
        <v/>
      </c>
      <c r="I2043" s="4">
        <f>CHOOSE(H2043+1,"Kein Risiko","Gering","Mittel","Hoch")</f>
        <v/>
      </c>
    </row>
    <row r="2044">
      <c r="A2044" s="4" t="n">
        <v>2040</v>
      </c>
      <c r="B2044" s="4" t="inlineStr">
        <is>
          <t>semidetached_house</t>
        </is>
      </c>
      <c r="C2044" s="4" t="inlineStr">
        <is>
          <t>Niederweniger Straße</t>
        </is>
      </c>
      <c r="D2044" s="4" t="inlineStr">
        <is>
          <t>159</t>
        </is>
      </c>
      <c r="E2044" s="13" t="n">
        <v>78.7</v>
      </c>
      <c r="F2044" s="12" t="n">
        <v>0</v>
      </c>
      <c r="G2044" s="4" t="n">
        <v>0</v>
      </c>
      <c r="H2044" s="4">
        <f>IF(OR(N(F2044)&gt;=0.5,G2044&gt;=4),3,IF(OR(N(F2044)&gt;=0.3,G2044=3),2,IF(OR(N(F2044)&gt;=0.1,G2044&gt;=1),1,0)))</f>
        <v/>
      </c>
      <c r="I2044" s="4">
        <f>CHOOSE(H2044+1,"Kein Risiko","Gering","Mittel","Hoch")</f>
        <v/>
      </c>
    </row>
    <row r="2045">
      <c r="A2045" s="4" t="n">
        <v>2041</v>
      </c>
      <c r="B2045" s="4" t="inlineStr">
        <is>
          <t>yes</t>
        </is>
      </c>
      <c r="C2045" s="4" t="inlineStr">
        <is>
          <t>Bovermanns Weg</t>
        </is>
      </c>
      <c r="D2045" s="4" t="inlineStr">
        <is>
          <t>16</t>
        </is>
      </c>
      <c r="E2045" s="13" t="n">
        <v>65.7</v>
      </c>
      <c r="F2045" s="12" t="n">
        <v>0</v>
      </c>
      <c r="G2045" s="4" t="n">
        <v>2</v>
      </c>
      <c r="H2045" s="4">
        <f>IF(OR(N(F2045)&gt;=0.5,G2045&gt;=4),3,IF(OR(N(F2045)&gt;=0.3,G2045=3),2,IF(OR(N(F2045)&gt;=0.1,G2045&gt;=1),1,0)))</f>
        <v/>
      </c>
      <c r="I2045" s="4">
        <f>CHOOSE(H2045+1,"Kein Risiko","Gering","Mittel","Hoch")</f>
        <v/>
      </c>
    </row>
    <row r="2046">
      <c r="A2046" s="4" t="n">
        <v>2042</v>
      </c>
      <c r="B2046" s="4" t="inlineStr">
        <is>
          <t>house</t>
        </is>
      </c>
      <c r="C2046" s="4" t="inlineStr">
        <is>
          <t>Brackmannhang</t>
        </is>
      </c>
      <c r="D2046" s="4" t="inlineStr">
        <is>
          <t>16</t>
        </is>
      </c>
      <c r="E2046" s="13" t="n">
        <v>76.8</v>
      </c>
      <c r="F2046" s="12" t="n">
        <v>0</v>
      </c>
      <c r="G2046" s="4" t="n">
        <v>1</v>
      </c>
      <c r="H2046" s="4">
        <f>IF(OR(N(F2046)&gt;=0.5,G2046&gt;=4),3,IF(OR(N(F2046)&gt;=0.3,G2046=3),2,IF(OR(N(F2046)&gt;=0.1,G2046&gt;=1),1,0)))</f>
        <v/>
      </c>
      <c r="I2046" s="4">
        <f>CHOOSE(H2046+1,"Kein Risiko","Gering","Mittel","Hoch")</f>
        <v/>
      </c>
    </row>
    <row r="2047">
      <c r="A2047" s="4" t="n">
        <v>2043</v>
      </c>
      <c r="B2047" s="4" t="inlineStr">
        <is>
          <t>yes</t>
        </is>
      </c>
      <c r="C2047" s="4" t="inlineStr">
        <is>
          <t>Scharpenhang</t>
        </is>
      </c>
      <c r="D2047" s="4" t="inlineStr">
        <is>
          <t>16</t>
        </is>
      </c>
      <c r="E2047" s="13" t="n">
        <v>57.3</v>
      </c>
      <c r="F2047" s="12" t="n">
        <v>0</v>
      </c>
      <c r="G2047" s="4" t="n">
        <v>0</v>
      </c>
      <c r="H2047" s="4">
        <f>IF(OR(N(F2047)&gt;=0.5,G2047&gt;=4),3,IF(OR(N(F2047)&gt;=0.3,G2047=3),2,IF(OR(N(F2047)&gt;=0.1,G2047&gt;=1),1,0)))</f>
        <v/>
      </c>
      <c r="I2047" s="4">
        <f>CHOOSE(H2047+1,"Kein Risiko","Gering","Mittel","Hoch")</f>
        <v/>
      </c>
    </row>
    <row r="2048">
      <c r="A2048" s="4" t="n">
        <v>2044</v>
      </c>
      <c r="B2048" s="4" t="inlineStr">
        <is>
          <t>yes</t>
        </is>
      </c>
      <c r="C2048" s="4" t="inlineStr">
        <is>
          <t>Byfanger Straße</t>
        </is>
      </c>
      <c r="D2048" s="4" t="inlineStr">
        <is>
          <t>160</t>
        </is>
      </c>
      <c r="E2048" s="13" t="n">
        <v>117.3</v>
      </c>
      <c r="F2048" s="12" t="n">
        <v>0</v>
      </c>
      <c r="G2048" s="4" t="n">
        <v>0</v>
      </c>
      <c r="H2048" s="4">
        <f>IF(OR(N(F2048)&gt;=0.5,G2048&gt;=4),3,IF(OR(N(F2048)&gt;=0.3,G2048=3),2,IF(OR(N(F2048)&gt;=0.1,G2048&gt;=1),1,0)))</f>
        <v/>
      </c>
      <c r="I2048" s="4">
        <f>CHOOSE(H2048+1,"Kein Risiko","Gering","Mittel","Hoch")</f>
        <v/>
      </c>
    </row>
    <row r="2049">
      <c r="A2049" s="4" t="n">
        <v>2045</v>
      </c>
      <c r="B2049" s="4" t="inlineStr">
        <is>
          <t>yes</t>
        </is>
      </c>
      <c r="C2049" s="4" t="inlineStr">
        <is>
          <t>Byfanger Straße</t>
        </is>
      </c>
      <c r="D2049" s="4" t="inlineStr">
        <is>
          <t>161</t>
        </is>
      </c>
      <c r="E2049" s="13" t="n">
        <v>66.40000000000001</v>
      </c>
      <c r="F2049" s="12" t="n">
        <v>0</v>
      </c>
      <c r="G2049" s="4" t="n">
        <v>0</v>
      </c>
      <c r="H2049" s="4">
        <f>IF(OR(N(F2049)&gt;=0.5,G2049&gt;=4),3,IF(OR(N(F2049)&gt;=0.3,G2049=3),2,IF(OR(N(F2049)&gt;=0.1,G2049&gt;=1),1,0)))</f>
        <v/>
      </c>
      <c r="I2049" s="4">
        <f>CHOOSE(H2049+1,"Kein Risiko","Gering","Mittel","Hoch")</f>
        <v/>
      </c>
    </row>
    <row r="2050">
      <c r="A2050" s="4" t="n">
        <v>2046</v>
      </c>
      <c r="B2050" s="4" t="inlineStr">
        <is>
          <t>yes</t>
        </is>
      </c>
      <c r="C2050" s="4" t="inlineStr">
        <is>
          <t>Byfanger Straße</t>
        </is>
      </c>
      <c r="D2050" s="4" t="inlineStr">
        <is>
          <t>163</t>
        </is>
      </c>
      <c r="E2050" s="13" t="n">
        <v>65.40000000000001</v>
      </c>
      <c r="F2050" s="12" t="n">
        <v>0</v>
      </c>
      <c r="G2050" s="4" t="n">
        <v>0</v>
      </c>
      <c r="H2050" s="4">
        <f>IF(OR(N(F2050)&gt;=0.5,G2050&gt;=4),3,IF(OR(N(F2050)&gt;=0.3,G2050=3),2,IF(OR(N(F2050)&gt;=0.1,G2050&gt;=1),1,0)))</f>
        <v/>
      </c>
      <c r="I2050" s="4">
        <f>CHOOSE(H2050+1,"Kein Risiko","Gering","Mittel","Hoch")</f>
        <v/>
      </c>
    </row>
    <row r="2051">
      <c r="A2051" s="4" t="n">
        <v>2047</v>
      </c>
      <c r="B2051" s="4" t="inlineStr">
        <is>
          <t>yes</t>
        </is>
      </c>
      <c r="C2051" s="4" t="inlineStr">
        <is>
          <t>Niederweniger Straße</t>
        </is>
      </c>
      <c r="D2051" s="4" t="inlineStr">
        <is>
          <t>163</t>
        </is>
      </c>
      <c r="E2051" s="13" t="n">
        <v>59.9</v>
      </c>
      <c r="F2051" s="12" t="n">
        <v>0.0200042724609375</v>
      </c>
      <c r="G2051" s="4" t="n">
        <v>0</v>
      </c>
      <c r="H2051" s="4">
        <f>IF(OR(N(F2051)&gt;=0.5,G2051&gt;=4),3,IF(OR(N(F2051)&gt;=0.3,G2051=3),2,IF(OR(N(F2051)&gt;=0.1,G2051&gt;=1),1,0)))</f>
        <v/>
      </c>
      <c r="I2051" s="4">
        <f>CHOOSE(H2051+1,"Kein Risiko","Gering","Mittel","Hoch")</f>
        <v/>
      </c>
    </row>
    <row r="2052">
      <c r="A2052" s="4" t="n">
        <v>2048</v>
      </c>
      <c r="B2052" s="4" t="inlineStr">
        <is>
          <t>yes</t>
        </is>
      </c>
      <c r="C2052" s="4" t="inlineStr">
        <is>
          <t>Byfanger Straße</t>
        </is>
      </c>
      <c r="D2052" s="4" t="inlineStr">
        <is>
          <t>164</t>
        </is>
      </c>
      <c r="E2052" s="13" t="n">
        <v>103.2</v>
      </c>
      <c r="F2052" s="12" t="n">
        <v>0.1100006103515625</v>
      </c>
      <c r="G2052" s="4" t="n">
        <v>2</v>
      </c>
      <c r="H2052" s="4">
        <f>IF(OR(N(F2052)&gt;=0.5,G2052&gt;=4),3,IF(OR(N(F2052)&gt;=0.3,G2052=3),2,IF(OR(N(F2052)&gt;=0.1,G2052&gt;=1),1,0)))</f>
        <v/>
      </c>
      <c r="I2052" s="4">
        <f>CHOOSE(H2052+1,"Kein Risiko","Gering","Mittel","Hoch")</f>
        <v/>
      </c>
    </row>
    <row r="2053">
      <c r="A2053" s="4" t="n">
        <v>2049</v>
      </c>
      <c r="B2053" s="4" t="inlineStr">
        <is>
          <t>yes</t>
        </is>
      </c>
      <c r="C2053" s="4" t="inlineStr">
        <is>
          <t>Byfanger Straße</t>
        </is>
      </c>
      <c r="D2053" s="4" t="inlineStr">
        <is>
          <t>167</t>
        </is>
      </c>
      <c r="E2053" s="13" t="n">
        <v>64</v>
      </c>
      <c r="F2053" s="12" t="n">
        <v>0</v>
      </c>
      <c r="G2053" s="4" t="n">
        <v>0</v>
      </c>
      <c r="H2053" s="4">
        <f>IF(OR(N(F2053)&gt;=0.5,G2053&gt;=4),3,IF(OR(N(F2053)&gt;=0.3,G2053=3),2,IF(OR(N(F2053)&gt;=0.1,G2053&gt;=1),1,0)))</f>
        <v/>
      </c>
      <c r="I2053" s="4">
        <f>CHOOSE(H2053+1,"Kein Risiko","Gering","Mittel","Hoch")</f>
        <v/>
      </c>
    </row>
    <row r="2054">
      <c r="A2054" s="4" t="n">
        <v>2050</v>
      </c>
      <c r="B2054" s="4" t="inlineStr">
        <is>
          <t>yes</t>
        </is>
      </c>
      <c r="C2054" s="4" t="inlineStr">
        <is>
          <t>Byfanger Straße</t>
        </is>
      </c>
      <c r="D2054" s="4" t="inlineStr">
        <is>
          <t>168</t>
        </is>
      </c>
      <c r="E2054" s="13" t="n">
        <v>121</v>
      </c>
      <c r="F2054" s="12" t="n">
        <v>0.1800003051757812</v>
      </c>
      <c r="G2054" s="4" t="n">
        <v>0</v>
      </c>
      <c r="H2054" s="4">
        <f>IF(OR(N(F2054)&gt;=0.5,G2054&gt;=4),3,IF(OR(N(F2054)&gt;=0.3,G2054=3),2,IF(OR(N(F2054)&gt;=0.1,G2054&gt;=1),1,0)))</f>
        <v/>
      </c>
      <c r="I2054" s="4">
        <f>CHOOSE(H2054+1,"Kein Risiko","Gering","Mittel","Hoch")</f>
        <v/>
      </c>
    </row>
    <row r="2055">
      <c r="A2055" s="4" t="n">
        <v>2051</v>
      </c>
      <c r="B2055" s="4" t="inlineStr">
        <is>
          <t>yes</t>
        </is>
      </c>
      <c r="C2055" s="4" t="inlineStr">
        <is>
          <t>Byfanger Straße</t>
        </is>
      </c>
      <c r="D2055" s="4" t="inlineStr">
        <is>
          <t>169</t>
        </is>
      </c>
      <c r="E2055" s="13" t="n">
        <v>73.8</v>
      </c>
      <c r="F2055" s="12" t="n">
        <v>0</v>
      </c>
      <c r="G2055" s="4" t="n">
        <v>0</v>
      </c>
      <c r="H2055" s="4">
        <f>IF(OR(N(F2055)&gt;=0.5,G2055&gt;=4),3,IF(OR(N(F2055)&gt;=0.3,G2055=3),2,IF(OR(N(F2055)&gt;=0.1,G2055&gt;=1),1,0)))</f>
        <v/>
      </c>
      <c r="I2055" s="4">
        <f>CHOOSE(H2055+1,"Kein Risiko","Gering","Mittel","Hoch")</f>
        <v/>
      </c>
    </row>
    <row r="2056">
      <c r="A2056" s="4" t="n">
        <v>2052</v>
      </c>
      <c r="B2056" s="4" t="inlineStr">
        <is>
          <t>yes</t>
        </is>
      </c>
      <c r="C2056" s="4" t="inlineStr">
        <is>
          <t>Beisemannhang</t>
        </is>
      </c>
      <c r="D2056" s="4" t="inlineStr">
        <is>
          <t>16a</t>
        </is>
      </c>
      <c r="E2056" s="13" t="n">
        <v>91.59999999999999</v>
      </c>
      <c r="F2056" s="12" t="n">
        <v>0.0500030517578125</v>
      </c>
      <c r="G2056" s="4" t="n">
        <v>0</v>
      </c>
      <c r="H2056" s="4">
        <f>IF(OR(N(F2056)&gt;=0.5,G2056&gt;=4),3,IF(OR(N(F2056)&gt;=0.3,G2056=3),2,IF(OR(N(F2056)&gt;=0.1,G2056&gt;=1),1,0)))</f>
        <v/>
      </c>
      <c r="I2056" s="4">
        <f>CHOOSE(H2056+1,"Kein Risiko","Gering","Mittel","Hoch")</f>
        <v/>
      </c>
    </row>
    <row r="2057">
      <c r="A2057" s="4" t="n">
        <v>2053</v>
      </c>
      <c r="B2057" s="4" t="inlineStr">
        <is>
          <t>yes</t>
        </is>
      </c>
      <c r="C2057" s="4" t="inlineStr">
        <is>
          <t>Beisemannhang</t>
        </is>
      </c>
      <c r="D2057" s="4" t="inlineStr">
        <is>
          <t>16b</t>
        </is>
      </c>
      <c r="E2057" s="13" t="n">
        <v>81.8</v>
      </c>
      <c r="F2057" s="12" t="n">
        <v>0</v>
      </c>
      <c r="G2057" s="4" t="n">
        <v>0</v>
      </c>
      <c r="H2057" s="4">
        <f>IF(OR(N(F2057)&gt;=0.5,G2057&gt;=4),3,IF(OR(N(F2057)&gt;=0.3,G2057=3),2,IF(OR(N(F2057)&gt;=0.1,G2057&gt;=1),1,0)))</f>
        <v/>
      </c>
      <c r="I2057" s="4">
        <f>CHOOSE(H2057+1,"Kein Risiko","Gering","Mittel","Hoch")</f>
        <v/>
      </c>
    </row>
    <row r="2058">
      <c r="A2058" s="4" t="n">
        <v>2054</v>
      </c>
      <c r="B2058" s="4" t="inlineStr">
        <is>
          <t>yes</t>
        </is>
      </c>
      <c r="C2058" s="4" t="inlineStr">
        <is>
          <t>Beisemannhang</t>
        </is>
      </c>
      <c r="D2058" s="4" t="inlineStr">
        <is>
          <t>17</t>
        </is>
      </c>
      <c r="E2058" s="13" t="n">
        <v>109</v>
      </c>
      <c r="F2058" s="12" t="n">
        <v>0</v>
      </c>
      <c r="G2058" s="4" t="n">
        <v>0</v>
      </c>
      <c r="H2058" s="4">
        <f>IF(OR(N(F2058)&gt;=0.5,G2058&gt;=4),3,IF(OR(N(F2058)&gt;=0.3,G2058=3),2,IF(OR(N(F2058)&gt;=0.1,G2058&gt;=1),1,0)))</f>
        <v/>
      </c>
      <c r="I2058" s="4">
        <f>CHOOSE(H2058+1,"Kein Risiko","Gering","Mittel","Hoch")</f>
        <v/>
      </c>
    </row>
    <row r="2059">
      <c r="A2059" s="4" t="n">
        <v>2055</v>
      </c>
      <c r="B2059" s="4" t="inlineStr">
        <is>
          <t>yes</t>
        </is>
      </c>
      <c r="C2059" s="4" t="inlineStr">
        <is>
          <t>Bovermanns Weg</t>
        </is>
      </c>
      <c r="D2059" s="4" t="inlineStr">
        <is>
          <t>17</t>
        </is>
      </c>
      <c r="E2059" s="13" t="n">
        <v>78.5</v>
      </c>
      <c r="F2059" s="12" t="n">
        <v>0</v>
      </c>
      <c r="G2059" s="4" t="n">
        <v>0</v>
      </c>
      <c r="H2059" s="4">
        <f>IF(OR(N(F2059)&gt;=0.5,G2059&gt;=4),3,IF(OR(N(F2059)&gt;=0.3,G2059=3),2,IF(OR(N(F2059)&gt;=0.1,G2059&gt;=1),1,0)))</f>
        <v/>
      </c>
      <c r="I2059" s="4">
        <f>CHOOSE(H2059+1,"Kein Risiko","Gering","Mittel","Hoch")</f>
        <v/>
      </c>
    </row>
    <row r="2060">
      <c r="A2060" s="4" t="n">
        <v>2056</v>
      </c>
      <c r="B2060" s="4" t="inlineStr">
        <is>
          <t>yes</t>
        </is>
      </c>
      <c r="C2060" s="4" t="inlineStr">
        <is>
          <t>Engelssiepen</t>
        </is>
      </c>
      <c r="D2060" s="4" t="inlineStr">
        <is>
          <t>17</t>
        </is>
      </c>
      <c r="E2060" s="13" t="n">
        <v>97.8</v>
      </c>
      <c r="F2060" s="12" t="n">
        <v>0.029998779296875</v>
      </c>
      <c r="G2060" s="4" t="n">
        <v>1</v>
      </c>
      <c r="H2060" s="4">
        <f>IF(OR(N(F2060)&gt;=0.5,G2060&gt;=4),3,IF(OR(N(F2060)&gt;=0.3,G2060=3),2,IF(OR(N(F2060)&gt;=0.1,G2060&gt;=1),1,0)))</f>
        <v/>
      </c>
      <c r="I2060" s="4">
        <f>CHOOSE(H2060+1,"Kein Risiko","Gering","Mittel","Hoch")</f>
        <v/>
      </c>
    </row>
    <row r="2061">
      <c r="A2061" s="4" t="n">
        <v>2057</v>
      </c>
      <c r="B2061" s="4" t="inlineStr">
        <is>
          <t>yes</t>
        </is>
      </c>
      <c r="C2061" s="4" t="inlineStr">
        <is>
          <t>Marienbergstraße</t>
        </is>
      </c>
      <c r="D2061" s="4" t="inlineStr">
        <is>
          <t>17</t>
        </is>
      </c>
      <c r="E2061" s="13" t="n">
        <v>65.7</v>
      </c>
      <c r="F2061" s="12" t="n">
        <v>0</v>
      </c>
      <c r="G2061" s="4" t="n">
        <v>0</v>
      </c>
      <c r="H2061" s="4">
        <f>IF(OR(N(F2061)&gt;=0.5,G2061&gt;=4),3,IF(OR(N(F2061)&gt;=0.3,G2061=3),2,IF(OR(N(F2061)&gt;=0.1,G2061&gt;=1),1,0)))</f>
        <v/>
      </c>
      <c r="I2061" s="4">
        <f>CHOOSE(H2061+1,"Kein Risiko","Gering","Mittel","Hoch")</f>
        <v/>
      </c>
    </row>
    <row r="2062">
      <c r="A2062" s="4" t="n">
        <v>2058</v>
      </c>
      <c r="B2062" s="4" t="inlineStr">
        <is>
          <t>yes</t>
        </is>
      </c>
      <c r="C2062" s="4" t="inlineStr">
        <is>
          <t>Schliepershang</t>
        </is>
      </c>
      <c r="D2062" s="4" t="inlineStr">
        <is>
          <t>17</t>
        </is>
      </c>
      <c r="E2062" s="13" t="n">
        <v>135.5</v>
      </c>
      <c r="F2062" s="12" t="n">
        <v>0</v>
      </c>
      <c r="G2062" s="4" t="n">
        <v>0</v>
      </c>
      <c r="H2062" s="4">
        <f>IF(OR(N(F2062)&gt;=0.5,G2062&gt;=4),3,IF(OR(N(F2062)&gt;=0.3,G2062=3),2,IF(OR(N(F2062)&gt;=0.1,G2062&gt;=1),1,0)))</f>
        <v/>
      </c>
      <c r="I2062" s="4">
        <f>CHOOSE(H2062+1,"Kein Risiko","Gering","Mittel","Hoch")</f>
        <v/>
      </c>
    </row>
    <row r="2063">
      <c r="A2063" s="4" t="n">
        <v>2059</v>
      </c>
      <c r="B2063" s="4" t="inlineStr">
        <is>
          <t>yes</t>
        </is>
      </c>
      <c r="C2063" s="4" t="inlineStr">
        <is>
          <t>Byfanger Straße</t>
        </is>
      </c>
      <c r="D2063" s="4" t="inlineStr">
        <is>
          <t>170</t>
        </is>
      </c>
      <c r="E2063" s="13" t="n">
        <v>55.9</v>
      </c>
      <c r="F2063" s="12" t="n">
        <v>0</v>
      </c>
      <c r="G2063" s="4" t="n">
        <v>0</v>
      </c>
      <c r="H2063" s="4">
        <f>IF(OR(N(F2063)&gt;=0.5,G2063&gt;=4),3,IF(OR(N(F2063)&gt;=0.3,G2063=3),2,IF(OR(N(F2063)&gt;=0.1,G2063&gt;=1),1,0)))</f>
        <v/>
      </c>
      <c r="I2063" s="4">
        <f>CHOOSE(H2063+1,"Kein Risiko","Gering","Mittel","Hoch")</f>
        <v/>
      </c>
    </row>
    <row r="2064">
      <c r="A2064" s="4" t="n">
        <v>2060</v>
      </c>
      <c r="B2064" s="4" t="inlineStr">
        <is>
          <t>yes</t>
        </is>
      </c>
      <c r="C2064" s="4" t="inlineStr">
        <is>
          <t>Byfanger Straße</t>
        </is>
      </c>
      <c r="D2064" s="4" t="inlineStr">
        <is>
          <t>172</t>
        </is>
      </c>
      <c r="E2064" s="13" t="n">
        <v>55.9</v>
      </c>
      <c r="F2064" s="12" t="n">
        <v>0</v>
      </c>
      <c r="G2064" s="4" t="n">
        <v>0</v>
      </c>
      <c r="H2064" s="4">
        <f>IF(OR(N(F2064)&gt;=0.5,G2064&gt;=4),3,IF(OR(N(F2064)&gt;=0.3,G2064=3),2,IF(OR(N(F2064)&gt;=0.1,G2064&gt;=1),1,0)))</f>
        <v/>
      </c>
      <c r="I2064" s="4">
        <f>CHOOSE(H2064+1,"Kein Risiko","Gering","Mittel","Hoch")</f>
        <v/>
      </c>
    </row>
    <row r="2065">
      <c r="A2065" s="4" t="n">
        <v>2061</v>
      </c>
      <c r="B2065" s="4" t="inlineStr">
        <is>
          <t>yes</t>
        </is>
      </c>
      <c r="C2065" s="4" t="inlineStr">
        <is>
          <t>Byfanger Straße</t>
        </is>
      </c>
      <c r="D2065" s="4" t="inlineStr">
        <is>
          <t>175</t>
        </is>
      </c>
      <c r="E2065" s="13" t="n">
        <v>93.2</v>
      </c>
      <c r="F2065" s="12" t="n">
        <v>0.30999755859375</v>
      </c>
      <c r="G2065" s="4" t="n">
        <v>0</v>
      </c>
      <c r="H2065" s="4">
        <f>IF(OR(N(F2065)&gt;=0.5,G2065&gt;=4),3,IF(OR(N(F2065)&gt;=0.3,G2065=3),2,IF(OR(N(F2065)&gt;=0.1,G2065&gt;=1),1,0)))</f>
        <v/>
      </c>
      <c r="I2065" s="4">
        <f>CHOOSE(H2065+1,"Kein Risiko","Gering","Mittel","Hoch")</f>
        <v/>
      </c>
    </row>
    <row r="2066">
      <c r="A2066" s="4" t="n">
        <v>2062</v>
      </c>
      <c r="B2066" s="4" t="inlineStr">
        <is>
          <t>yes</t>
        </is>
      </c>
      <c r="C2066" s="4" t="inlineStr">
        <is>
          <t>Byfanger Straße</t>
        </is>
      </c>
      <c r="D2066" s="4" t="inlineStr">
        <is>
          <t>176</t>
        </is>
      </c>
      <c r="E2066" s="13" t="n">
        <v>91.5</v>
      </c>
      <c r="F2066" s="12" t="n">
        <v>0</v>
      </c>
      <c r="G2066" s="4" t="n">
        <v>1</v>
      </c>
      <c r="H2066" s="4">
        <f>IF(OR(N(F2066)&gt;=0.5,G2066&gt;=4),3,IF(OR(N(F2066)&gt;=0.3,G2066=3),2,IF(OR(N(F2066)&gt;=0.1,G2066&gt;=1),1,0)))</f>
        <v/>
      </c>
      <c r="I2066" s="4">
        <f>CHOOSE(H2066+1,"Kein Risiko","Gering","Mittel","Hoch")</f>
        <v/>
      </c>
    </row>
    <row r="2067">
      <c r="A2067" s="4" t="n">
        <v>2063</v>
      </c>
      <c r="B2067" s="4" t="inlineStr">
        <is>
          <t>yes</t>
        </is>
      </c>
      <c r="C2067" s="4" t="inlineStr">
        <is>
          <t>Byfanger Straße</t>
        </is>
      </c>
      <c r="D2067" s="4" t="inlineStr">
        <is>
          <t>177</t>
        </is>
      </c>
      <c r="E2067" s="13" t="n">
        <v>71.90000000000001</v>
      </c>
      <c r="F2067" s="12" t="n">
        <v>0.05999755859375</v>
      </c>
      <c r="G2067" s="4" t="n">
        <v>0</v>
      </c>
      <c r="H2067" s="4">
        <f>IF(OR(N(F2067)&gt;=0.5,G2067&gt;=4),3,IF(OR(N(F2067)&gt;=0.3,G2067=3),2,IF(OR(N(F2067)&gt;=0.1,G2067&gt;=1),1,0)))</f>
        <v/>
      </c>
      <c r="I2067" s="4">
        <f>CHOOSE(H2067+1,"Kein Risiko","Gering","Mittel","Hoch")</f>
        <v/>
      </c>
    </row>
    <row r="2068">
      <c r="A2068" s="4" t="n">
        <v>2064</v>
      </c>
      <c r="B2068" s="4" t="inlineStr">
        <is>
          <t>yes</t>
        </is>
      </c>
      <c r="C2068" s="4" t="inlineStr">
        <is>
          <t>Byfanger Straße</t>
        </is>
      </c>
      <c r="D2068" s="4" t="inlineStr">
        <is>
          <t>179</t>
        </is>
      </c>
      <c r="E2068" s="13" t="n">
        <v>64.3</v>
      </c>
      <c r="F2068" s="12" t="n">
        <v>0</v>
      </c>
      <c r="G2068" s="4" t="n">
        <v>0</v>
      </c>
      <c r="H2068" s="4">
        <f>IF(OR(N(F2068)&gt;=0.5,G2068&gt;=4),3,IF(OR(N(F2068)&gt;=0.3,G2068=3),2,IF(OR(N(F2068)&gt;=0.1,G2068&gt;=1),1,0)))</f>
        <v/>
      </c>
      <c r="I2068" s="4">
        <f>CHOOSE(H2068+1,"Kein Risiko","Gering","Mittel","Hoch")</f>
        <v/>
      </c>
    </row>
    <row r="2069">
      <c r="A2069" s="4" t="n">
        <v>2065</v>
      </c>
      <c r="B2069" s="4" t="inlineStr">
        <is>
          <t>house</t>
        </is>
      </c>
      <c r="C2069" s="4" t="inlineStr">
        <is>
          <t>Brackmannhang</t>
        </is>
      </c>
      <c r="D2069" s="4" t="inlineStr">
        <is>
          <t>18</t>
        </is>
      </c>
      <c r="E2069" s="13" t="n">
        <v>76.40000000000001</v>
      </c>
      <c r="F2069" s="12" t="n">
        <v>0.0099945068359375</v>
      </c>
      <c r="G2069" s="4" t="n">
        <v>0</v>
      </c>
      <c r="H2069" s="4">
        <f>IF(OR(N(F2069)&gt;=0.5,G2069&gt;=4),3,IF(OR(N(F2069)&gt;=0.3,G2069=3),2,IF(OR(N(F2069)&gt;=0.1,G2069&gt;=1),1,0)))</f>
        <v/>
      </c>
      <c r="I2069" s="4">
        <f>CHOOSE(H2069+1,"Kein Risiko","Gering","Mittel","Hoch")</f>
        <v/>
      </c>
    </row>
    <row r="2070">
      <c r="A2070" s="4" t="n">
        <v>2066</v>
      </c>
      <c r="B2070" s="4" t="inlineStr">
        <is>
          <t>yes</t>
        </is>
      </c>
      <c r="C2070" s="4" t="inlineStr">
        <is>
          <t>Byfanger Straße</t>
        </is>
      </c>
      <c r="D2070" s="4" t="inlineStr">
        <is>
          <t>180</t>
        </is>
      </c>
      <c r="E2070" s="13" t="n">
        <v>75.59999999999999</v>
      </c>
      <c r="F2070" s="12" t="n">
        <v>0.04999542236328125</v>
      </c>
      <c r="G2070" s="4" t="n">
        <v>0</v>
      </c>
      <c r="H2070" s="4">
        <f>IF(OR(N(F2070)&gt;=0.5,G2070&gt;=4),3,IF(OR(N(F2070)&gt;=0.3,G2070=3),2,IF(OR(N(F2070)&gt;=0.1,G2070&gt;=1),1,0)))</f>
        <v/>
      </c>
      <c r="I2070" s="4">
        <f>CHOOSE(H2070+1,"Kein Risiko","Gering","Mittel","Hoch")</f>
        <v/>
      </c>
    </row>
    <row r="2071">
      <c r="A2071" s="4" t="n">
        <v>2067</v>
      </c>
      <c r="B2071" s="4" t="inlineStr">
        <is>
          <t>yes</t>
        </is>
      </c>
      <c r="C2071" s="4" t="inlineStr">
        <is>
          <t>Byfanger Straße</t>
        </is>
      </c>
      <c r="D2071" s="4" t="inlineStr">
        <is>
          <t>183</t>
        </is>
      </c>
      <c r="E2071" s="13" t="n">
        <v>56.5</v>
      </c>
      <c r="F2071" s="12" t="n">
        <v>0</v>
      </c>
      <c r="G2071" s="4" t="n">
        <v>0</v>
      </c>
      <c r="H2071" s="4">
        <f>IF(OR(N(F2071)&gt;=0.5,G2071&gt;=4),3,IF(OR(N(F2071)&gt;=0.3,G2071=3),2,IF(OR(N(F2071)&gt;=0.1,G2071&gt;=1),1,0)))</f>
        <v/>
      </c>
      <c r="I2071" s="4">
        <f>CHOOSE(H2071+1,"Kein Risiko","Gering","Mittel","Hoch")</f>
        <v/>
      </c>
    </row>
    <row r="2072">
      <c r="A2072" s="4" t="n">
        <v>2068</v>
      </c>
      <c r="B2072" s="4" t="inlineStr">
        <is>
          <t>yes</t>
        </is>
      </c>
      <c r="C2072" s="4" t="inlineStr">
        <is>
          <t>Byfanger Straße</t>
        </is>
      </c>
      <c r="D2072" s="4" t="inlineStr">
        <is>
          <t>185</t>
        </is>
      </c>
      <c r="E2072" s="13" t="n">
        <v>59.7</v>
      </c>
      <c r="F2072" s="12" t="n">
        <v>0</v>
      </c>
      <c r="G2072" s="4" t="n">
        <v>0</v>
      </c>
      <c r="H2072" s="4">
        <f>IF(OR(N(F2072)&gt;=0.5,G2072&gt;=4),3,IF(OR(N(F2072)&gt;=0.3,G2072=3),2,IF(OR(N(F2072)&gt;=0.1,G2072&gt;=1),1,0)))</f>
        <v/>
      </c>
      <c r="I2072" s="4">
        <f>CHOOSE(H2072+1,"Kein Risiko","Gering","Mittel","Hoch")</f>
        <v/>
      </c>
    </row>
    <row r="2073">
      <c r="A2073" s="4" t="n">
        <v>2069</v>
      </c>
      <c r="B2073" s="4" t="inlineStr">
        <is>
          <t>yes</t>
        </is>
      </c>
      <c r="C2073" s="4" t="inlineStr">
        <is>
          <t>Byfanger Straße</t>
        </is>
      </c>
      <c r="D2073" s="4" t="inlineStr">
        <is>
          <t>187</t>
        </is>
      </c>
      <c r="E2073" s="13" t="n">
        <v>59.7</v>
      </c>
      <c r="F2073" s="12" t="n">
        <v>0</v>
      </c>
      <c r="G2073" s="4" t="n">
        <v>0</v>
      </c>
      <c r="H2073" s="4">
        <f>IF(OR(N(F2073)&gt;=0.5,G2073&gt;=4),3,IF(OR(N(F2073)&gt;=0.3,G2073=3),2,IF(OR(N(F2073)&gt;=0.1,G2073&gt;=1),1,0)))</f>
        <v/>
      </c>
      <c r="I2073" s="4">
        <f>CHOOSE(H2073+1,"Kein Risiko","Gering","Mittel","Hoch")</f>
        <v/>
      </c>
    </row>
    <row r="2074">
      <c r="A2074" s="4" t="n">
        <v>2070</v>
      </c>
      <c r="B2074" s="4" t="inlineStr">
        <is>
          <t>yes</t>
        </is>
      </c>
      <c r="C2074" s="4" t="inlineStr">
        <is>
          <t>Byfanger Straße</t>
        </is>
      </c>
      <c r="D2074" s="4" t="inlineStr">
        <is>
          <t>188</t>
        </is>
      </c>
      <c r="E2074" s="13" t="n">
        <v>70.5</v>
      </c>
      <c r="F2074" s="12" t="n">
        <v>0</v>
      </c>
      <c r="G2074" s="4" t="n">
        <v>0</v>
      </c>
      <c r="H2074" s="4">
        <f>IF(OR(N(F2074)&gt;=0.5,G2074&gt;=4),3,IF(OR(N(F2074)&gt;=0.3,G2074=3),2,IF(OR(N(F2074)&gt;=0.1,G2074&gt;=1),1,0)))</f>
        <v/>
      </c>
      <c r="I2074" s="4">
        <f>CHOOSE(H2074+1,"Kein Risiko","Gering","Mittel","Hoch")</f>
        <v/>
      </c>
    </row>
    <row r="2075">
      <c r="A2075" s="4" t="n">
        <v>2071</v>
      </c>
      <c r="B2075" s="4" t="inlineStr">
        <is>
          <t>yes</t>
        </is>
      </c>
      <c r="C2075" s="4" t="inlineStr">
        <is>
          <t>Byfanger Straße</t>
        </is>
      </c>
      <c r="D2075" s="4" t="inlineStr">
        <is>
          <t>189</t>
        </is>
      </c>
      <c r="E2075" s="13" t="n">
        <v>59.6</v>
      </c>
      <c r="F2075" s="12" t="n">
        <v>0</v>
      </c>
      <c r="G2075" s="4" t="n">
        <v>0</v>
      </c>
      <c r="H2075" s="4">
        <f>IF(OR(N(F2075)&gt;=0.5,G2075&gt;=4),3,IF(OR(N(F2075)&gt;=0.3,G2075=3),2,IF(OR(N(F2075)&gt;=0.1,G2075&gt;=1),1,0)))</f>
        <v/>
      </c>
      <c r="I2075" s="4">
        <f>CHOOSE(H2075+1,"Kein Risiko","Gering","Mittel","Hoch")</f>
        <v/>
      </c>
    </row>
    <row r="2076">
      <c r="A2076" s="4" t="n">
        <v>2072</v>
      </c>
      <c r="B2076" s="4" t="inlineStr">
        <is>
          <t>yes</t>
        </is>
      </c>
      <c r="C2076" s="4" t="inlineStr">
        <is>
          <t>Leibergweg</t>
        </is>
      </c>
      <c r="D2076" s="4" t="inlineStr">
        <is>
          <t>18a</t>
        </is>
      </c>
      <c r="E2076" s="13" t="n">
        <v>74.09999999999999</v>
      </c>
      <c r="F2076" s="12" t="n">
        <v>0</v>
      </c>
      <c r="G2076" s="4" t="n">
        <v>1</v>
      </c>
      <c r="H2076" s="4">
        <f>IF(OR(N(F2076)&gt;=0.5,G2076&gt;=4),3,IF(OR(N(F2076)&gt;=0.3,G2076=3),2,IF(OR(N(F2076)&gt;=0.1,G2076&gt;=1),1,0)))</f>
        <v/>
      </c>
      <c r="I2076" s="4">
        <f>CHOOSE(H2076+1,"Kein Risiko","Gering","Mittel","Hoch")</f>
        <v/>
      </c>
    </row>
    <row r="2077">
      <c r="A2077" s="4" t="n">
        <v>2073</v>
      </c>
      <c r="B2077" s="4" t="inlineStr">
        <is>
          <t>yes</t>
        </is>
      </c>
      <c r="C2077" s="4" t="inlineStr">
        <is>
          <t>Leibergweg</t>
        </is>
      </c>
      <c r="D2077" s="4" t="inlineStr">
        <is>
          <t>18b</t>
        </is>
      </c>
      <c r="E2077" s="13" t="n">
        <v>79.7</v>
      </c>
      <c r="F2077" s="12" t="n">
        <v>0</v>
      </c>
      <c r="G2077" s="4" t="n">
        <v>0</v>
      </c>
      <c r="H2077" s="4">
        <f>IF(OR(N(F2077)&gt;=0.5,G2077&gt;=4),3,IF(OR(N(F2077)&gt;=0.3,G2077=3),2,IF(OR(N(F2077)&gt;=0.1,G2077&gt;=1),1,0)))</f>
        <v/>
      </c>
      <c r="I2077" s="4">
        <f>CHOOSE(H2077+1,"Kein Risiko","Gering","Mittel","Hoch")</f>
        <v/>
      </c>
    </row>
    <row r="2078">
      <c r="A2078" s="4" t="n">
        <v>2074</v>
      </c>
      <c r="B2078" s="4" t="inlineStr">
        <is>
          <t>yes</t>
        </is>
      </c>
      <c r="C2078" s="4" t="inlineStr">
        <is>
          <t>Beisemannhang</t>
        </is>
      </c>
      <c r="D2078" s="4" t="inlineStr">
        <is>
          <t>19</t>
        </is>
      </c>
      <c r="E2078" s="13" t="n">
        <v>109.1</v>
      </c>
      <c r="F2078" s="12" t="n">
        <v>0</v>
      </c>
      <c r="G2078" s="4" t="n">
        <v>0</v>
      </c>
      <c r="H2078" s="4">
        <f>IF(OR(N(F2078)&gt;=0.5,G2078&gt;=4),3,IF(OR(N(F2078)&gt;=0.3,G2078=3),2,IF(OR(N(F2078)&gt;=0.1,G2078&gt;=1),1,0)))</f>
        <v/>
      </c>
      <c r="I2078" s="4">
        <f>CHOOSE(H2078+1,"Kein Risiko","Gering","Mittel","Hoch")</f>
        <v/>
      </c>
    </row>
    <row r="2079">
      <c r="A2079" s="4" t="n">
        <v>2075</v>
      </c>
      <c r="B2079" s="4" t="inlineStr">
        <is>
          <t>yes</t>
        </is>
      </c>
      <c r="C2079" s="4" t="inlineStr">
        <is>
          <t>Bovermanns Weg</t>
        </is>
      </c>
      <c r="D2079" s="4" t="inlineStr">
        <is>
          <t>19</t>
        </is>
      </c>
      <c r="E2079" s="13" t="n">
        <v>78.40000000000001</v>
      </c>
      <c r="F2079" s="12" t="n">
        <v>0</v>
      </c>
      <c r="G2079" s="4" t="n">
        <v>0</v>
      </c>
      <c r="H2079" s="4">
        <f>IF(OR(N(F2079)&gt;=0.5,G2079&gt;=4),3,IF(OR(N(F2079)&gt;=0.3,G2079=3),2,IF(OR(N(F2079)&gt;=0.1,G2079&gt;=1),1,0)))</f>
        <v/>
      </c>
      <c r="I2079" s="4">
        <f>CHOOSE(H2079+1,"Kein Risiko","Gering","Mittel","Hoch")</f>
        <v/>
      </c>
    </row>
    <row r="2080">
      <c r="A2080" s="4" t="n">
        <v>2076</v>
      </c>
      <c r="B2080" s="4" t="inlineStr">
        <is>
          <t>yes</t>
        </is>
      </c>
      <c r="C2080" s="4" t="inlineStr">
        <is>
          <t>Marienbergstraße</t>
        </is>
      </c>
      <c r="D2080" s="4" t="inlineStr">
        <is>
          <t>19</t>
        </is>
      </c>
      <c r="E2080" s="13" t="n">
        <v>64.5</v>
      </c>
      <c r="F2080" s="12" t="n">
        <v>0</v>
      </c>
      <c r="G2080" s="4" t="n">
        <v>0</v>
      </c>
      <c r="H2080" s="4">
        <f>IF(OR(N(F2080)&gt;=0.5,G2080&gt;=4),3,IF(OR(N(F2080)&gt;=0.3,G2080=3),2,IF(OR(N(F2080)&gt;=0.1,G2080&gt;=1),1,0)))</f>
        <v/>
      </c>
      <c r="I2080" s="4">
        <f>CHOOSE(H2080+1,"Kein Risiko","Gering","Mittel","Hoch")</f>
        <v/>
      </c>
    </row>
    <row r="2081">
      <c r="A2081" s="4" t="n">
        <v>2077</v>
      </c>
      <c r="B2081" s="4" t="inlineStr">
        <is>
          <t>yes</t>
        </is>
      </c>
      <c r="C2081" s="4" t="inlineStr">
        <is>
          <t>Scharpenhang</t>
        </is>
      </c>
      <c r="D2081" s="4" t="inlineStr">
        <is>
          <t>19</t>
        </is>
      </c>
      <c r="E2081" s="13" t="n">
        <v>88.7</v>
      </c>
      <c r="F2081" s="12" t="n">
        <v>0</v>
      </c>
      <c r="G2081" s="4" t="n">
        <v>0</v>
      </c>
      <c r="H2081" s="4">
        <f>IF(OR(N(F2081)&gt;=0.5,G2081&gt;=4),3,IF(OR(N(F2081)&gt;=0.3,G2081=3),2,IF(OR(N(F2081)&gt;=0.1,G2081&gt;=1),1,0)))</f>
        <v/>
      </c>
      <c r="I2081" s="4">
        <f>CHOOSE(H2081+1,"Kein Risiko","Gering","Mittel","Hoch")</f>
        <v/>
      </c>
    </row>
    <row r="2082">
      <c r="A2082" s="4" t="n">
        <v>2078</v>
      </c>
      <c r="B2082" s="4" t="inlineStr">
        <is>
          <t>yes</t>
        </is>
      </c>
      <c r="C2082" s="4" t="inlineStr">
        <is>
          <t>Byfanger Straße</t>
        </is>
      </c>
      <c r="D2082" s="4" t="inlineStr">
        <is>
          <t>190</t>
        </is>
      </c>
      <c r="E2082" s="13" t="n">
        <v>65.2</v>
      </c>
      <c r="F2082" s="12" t="n">
        <v>0.1699981689453125</v>
      </c>
      <c r="G2082" s="4" t="n">
        <v>0</v>
      </c>
      <c r="H2082" s="4">
        <f>IF(OR(N(F2082)&gt;=0.5,G2082&gt;=4),3,IF(OR(N(F2082)&gt;=0.3,G2082=3),2,IF(OR(N(F2082)&gt;=0.1,G2082&gt;=1),1,0)))</f>
        <v/>
      </c>
      <c r="I2082" s="4">
        <f>CHOOSE(H2082+1,"Kein Risiko","Gering","Mittel","Hoch")</f>
        <v/>
      </c>
    </row>
    <row r="2083">
      <c r="A2083" s="4" t="n">
        <v>2079</v>
      </c>
      <c r="B2083" s="4" t="inlineStr">
        <is>
          <t>yes</t>
        </is>
      </c>
      <c r="C2083" s="4" t="inlineStr">
        <is>
          <t>Byfanger Straße</t>
        </is>
      </c>
      <c r="D2083" s="4" t="inlineStr">
        <is>
          <t>191</t>
        </is>
      </c>
      <c r="E2083" s="13" t="n">
        <v>59.7</v>
      </c>
      <c r="F2083" s="12" t="n">
        <v>0</v>
      </c>
      <c r="G2083" s="4" t="n">
        <v>0</v>
      </c>
      <c r="H2083" s="4">
        <f>IF(OR(N(F2083)&gt;=0.5,G2083&gt;=4),3,IF(OR(N(F2083)&gt;=0.3,G2083=3),2,IF(OR(N(F2083)&gt;=0.1,G2083&gt;=1),1,0)))</f>
        <v/>
      </c>
      <c r="I2083" s="4">
        <f>CHOOSE(H2083+1,"Kein Risiko","Gering","Mittel","Hoch")</f>
        <v/>
      </c>
    </row>
    <row r="2084">
      <c r="A2084" s="4" t="n">
        <v>2080</v>
      </c>
      <c r="B2084" s="4" t="inlineStr">
        <is>
          <t>yes</t>
        </is>
      </c>
      <c r="C2084" s="4" t="inlineStr">
        <is>
          <t>Byfanger Straße</t>
        </is>
      </c>
      <c r="D2084" s="4" t="inlineStr">
        <is>
          <t>192</t>
        </is>
      </c>
      <c r="E2084" s="13" t="n">
        <v>137.3</v>
      </c>
      <c r="F2084" s="12" t="n">
        <v>0.6199951171875</v>
      </c>
      <c r="G2084" s="4" t="n">
        <v>1</v>
      </c>
      <c r="H2084" s="4">
        <f>IF(OR(N(F2084)&gt;=0.5,G2084&gt;=4),3,IF(OR(N(F2084)&gt;=0.3,G2084=3),2,IF(OR(N(F2084)&gt;=0.1,G2084&gt;=1),1,0)))</f>
        <v/>
      </c>
      <c r="I2084" s="4">
        <f>CHOOSE(H2084+1,"Kein Risiko","Gering","Mittel","Hoch")</f>
        <v/>
      </c>
    </row>
    <row r="2085">
      <c r="A2085" s="4" t="n">
        <v>2081</v>
      </c>
      <c r="B2085" s="4" t="inlineStr">
        <is>
          <t>semidetached_house</t>
        </is>
      </c>
      <c r="C2085" s="4" t="inlineStr">
        <is>
          <t>Am Gerichtshaus</t>
        </is>
      </c>
      <c r="D2085" s="4" t="inlineStr">
        <is>
          <t>1a</t>
        </is>
      </c>
      <c r="E2085" s="13" t="n">
        <v>163.3</v>
      </c>
      <c r="F2085" s="12" t="n">
        <v>0</v>
      </c>
      <c r="G2085" s="4" t="n">
        <v>0</v>
      </c>
      <c r="H2085" s="4">
        <f>IF(OR(N(F2085)&gt;=0.5,G2085&gt;=4),3,IF(OR(N(F2085)&gt;=0.3,G2085=3),2,IF(OR(N(F2085)&gt;=0.1,G2085&gt;=1),1,0)))</f>
        <v/>
      </c>
      <c r="I2085" s="4">
        <f>CHOOSE(H2085+1,"Kein Risiko","Gering","Mittel","Hoch")</f>
        <v/>
      </c>
    </row>
    <row r="2086">
      <c r="A2086" s="4" t="n">
        <v>2082</v>
      </c>
      <c r="B2086" s="4" t="inlineStr">
        <is>
          <t>semidetached_house</t>
        </is>
      </c>
      <c r="C2086" s="4" t="inlineStr">
        <is>
          <t>Am Gerichtshaus</t>
        </is>
      </c>
      <c r="D2086" s="4" t="inlineStr">
        <is>
          <t>1b</t>
        </is>
      </c>
      <c r="E2086" s="13" t="n">
        <v>163.2</v>
      </c>
      <c r="F2086" s="12" t="n">
        <v>1.20001220703125</v>
      </c>
      <c r="G2086" s="4" t="n">
        <v>0</v>
      </c>
      <c r="H2086" s="4">
        <f>IF(OR(N(F2086)&gt;=0.5,G2086&gt;=4),3,IF(OR(N(F2086)&gt;=0.3,G2086=3),2,IF(OR(N(F2086)&gt;=0.1,G2086&gt;=1),1,0)))</f>
        <v/>
      </c>
      <c r="I2086" s="4">
        <f>CHOOSE(H2086+1,"Kein Risiko","Gering","Mittel","Hoch")</f>
        <v/>
      </c>
    </row>
    <row r="2087">
      <c r="A2087" s="4" t="n">
        <v>2083</v>
      </c>
      <c r="B2087" s="4" t="inlineStr">
        <is>
          <t>yes</t>
        </is>
      </c>
      <c r="C2087" s="4" t="inlineStr">
        <is>
          <t>Schliepershang</t>
        </is>
      </c>
      <c r="D2087" s="4" t="inlineStr">
        <is>
          <t>1b</t>
        </is>
      </c>
      <c r="E2087" s="13" t="n">
        <v>96.90000000000001</v>
      </c>
      <c r="F2087" s="12" t="n">
        <v>0</v>
      </c>
      <c r="G2087" s="4" t="n">
        <v>1</v>
      </c>
      <c r="H2087" s="4">
        <f>IF(OR(N(F2087)&gt;=0.5,G2087&gt;=4),3,IF(OR(N(F2087)&gt;=0.3,G2087=3),2,IF(OR(N(F2087)&gt;=0.1,G2087&gt;=1),1,0)))</f>
        <v/>
      </c>
      <c r="I2087" s="4">
        <f>CHOOSE(H2087+1,"Kein Risiko","Gering","Mittel","Hoch")</f>
        <v/>
      </c>
    </row>
    <row r="2088">
      <c r="A2088" s="4" t="n">
        <v>2084</v>
      </c>
      <c r="B2088" s="4" t="inlineStr">
        <is>
          <t>yes</t>
        </is>
      </c>
      <c r="C2088" s="4" t="inlineStr">
        <is>
          <t>Breddebuschhang</t>
        </is>
      </c>
      <c r="D2088" s="4" t="inlineStr">
        <is>
          <t>2</t>
        </is>
      </c>
      <c r="E2088" s="13" t="n">
        <v>160.7</v>
      </c>
      <c r="F2088" s="12" t="n">
        <v>0</v>
      </c>
      <c r="G2088" s="4" t="n">
        <v>0</v>
      </c>
      <c r="H2088" s="4">
        <f>IF(OR(N(F2088)&gt;=0.5,G2088&gt;=4),3,IF(OR(N(F2088)&gt;=0.3,G2088=3),2,IF(OR(N(F2088)&gt;=0.1,G2088&gt;=1),1,0)))</f>
        <v/>
      </c>
      <c r="I2088" s="4">
        <f>CHOOSE(H2088+1,"Kein Risiko","Gering","Mittel","Hoch")</f>
        <v/>
      </c>
    </row>
    <row r="2089">
      <c r="A2089" s="4" t="n">
        <v>2085</v>
      </c>
      <c r="B2089" s="4" t="inlineStr">
        <is>
          <t>yes</t>
        </is>
      </c>
      <c r="C2089" s="4" t="inlineStr">
        <is>
          <t>Engelssiepen</t>
        </is>
      </c>
      <c r="D2089" s="4" t="inlineStr">
        <is>
          <t>2</t>
        </is>
      </c>
      <c r="E2089" s="13" t="n">
        <v>155.5</v>
      </c>
      <c r="F2089" s="12" t="n">
        <v>0.04000091552734375</v>
      </c>
      <c r="G2089" s="4" t="n">
        <v>0</v>
      </c>
      <c r="H2089" s="4">
        <f>IF(OR(N(F2089)&gt;=0.5,G2089&gt;=4),3,IF(OR(N(F2089)&gt;=0.3,G2089=3),2,IF(OR(N(F2089)&gt;=0.1,G2089&gt;=1),1,0)))</f>
        <v/>
      </c>
      <c r="I2089" s="4">
        <f>CHOOSE(H2089+1,"Kein Risiko","Gering","Mittel","Hoch")</f>
        <v/>
      </c>
    </row>
    <row r="2090">
      <c r="A2090" s="4" t="n">
        <v>2086</v>
      </c>
      <c r="B2090" s="4" t="inlineStr">
        <is>
          <t>yes</t>
        </is>
      </c>
      <c r="C2090" s="4" t="inlineStr">
        <is>
          <t>Marienbergstraße</t>
        </is>
      </c>
      <c r="D2090" s="4" t="inlineStr">
        <is>
          <t>2</t>
        </is>
      </c>
      <c r="E2090" s="13" t="n">
        <v>65.40000000000001</v>
      </c>
      <c r="F2090" s="12" t="n">
        <v>0</v>
      </c>
      <c r="G2090" s="4" t="n">
        <v>0</v>
      </c>
      <c r="H2090" s="4">
        <f>IF(OR(N(F2090)&gt;=0.5,G2090&gt;=4),3,IF(OR(N(F2090)&gt;=0.3,G2090=3),2,IF(OR(N(F2090)&gt;=0.1,G2090&gt;=1),1,0)))</f>
        <v/>
      </c>
      <c r="I2090" s="4">
        <f>CHOOSE(H2090+1,"Kein Risiko","Gering","Mittel","Hoch")</f>
        <v/>
      </c>
    </row>
    <row r="2091">
      <c r="A2091" s="4" t="n">
        <v>2087</v>
      </c>
      <c r="B2091" s="4" t="inlineStr">
        <is>
          <t>yes</t>
        </is>
      </c>
      <c r="C2091" s="4" t="inlineStr">
        <is>
          <t>Hirtental</t>
        </is>
      </c>
      <c r="D2091" s="4" t="inlineStr">
        <is>
          <t>20</t>
        </is>
      </c>
      <c r="E2091" s="13" t="n">
        <v>71.5</v>
      </c>
      <c r="F2091" s="12" t="n">
        <v>0</v>
      </c>
      <c r="G2091" s="4" t="n">
        <v>0</v>
      </c>
      <c r="H2091" s="4">
        <f>IF(OR(N(F2091)&gt;=0.5,G2091&gt;=4),3,IF(OR(N(F2091)&gt;=0.3,G2091=3),2,IF(OR(N(F2091)&gt;=0.1,G2091&gt;=1),1,0)))</f>
        <v/>
      </c>
      <c r="I2091" s="4">
        <f>CHOOSE(H2091+1,"Kein Risiko","Gering","Mittel","Hoch")</f>
        <v/>
      </c>
    </row>
    <row r="2092">
      <c r="A2092" s="4" t="n">
        <v>2088</v>
      </c>
      <c r="B2092" s="4" t="inlineStr">
        <is>
          <t>yes</t>
        </is>
      </c>
      <c r="C2092" s="4" t="inlineStr">
        <is>
          <t>Leibergweg</t>
        </is>
      </c>
      <c r="D2092" s="4" t="inlineStr">
        <is>
          <t>20</t>
        </is>
      </c>
      <c r="E2092" s="13" t="n">
        <v>107.3</v>
      </c>
      <c r="F2092" s="12" t="n">
        <v>0.1800003051757812</v>
      </c>
      <c r="G2092" s="4" t="n">
        <v>0</v>
      </c>
      <c r="H2092" s="4">
        <f>IF(OR(N(F2092)&gt;=0.5,G2092&gt;=4),3,IF(OR(N(F2092)&gt;=0.3,G2092=3),2,IF(OR(N(F2092)&gt;=0.1,G2092&gt;=1),1,0)))</f>
        <v/>
      </c>
      <c r="I2092" s="4">
        <f>CHOOSE(H2092+1,"Kein Risiko","Gering","Mittel","Hoch")</f>
        <v/>
      </c>
    </row>
    <row r="2093">
      <c r="A2093" s="4" t="n">
        <v>2089</v>
      </c>
      <c r="B2093" s="4" t="inlineStr">
        <is>
          <t>yes</t>
        </is>
      </c>
      <c r="C2093" s="4" t="inlineStr">
        <is>
          <t>Marienbergstraße</t>
        </is>
      </c>
      <c r="D2093" s="4" t="inlineStr">
        <is>
          <t>20</t>
        </is>
      </c>
      <c r="E2093" s="13" t="n">
        <v>104.5</v>
      </c>
      <c r="F2093" s="12" t="n">
        <v>0</v>
      </c>
      <c r="G2093" s="4" t="n">
        <v>0</v>
      </c>
      <c r="H2093" s="4">
        <f>IF(OR(N(F2093)&gt;=0.5,G2093&gt;=4),3,IF(OR(N(F2093)&gt;=0.3,G2093=3),2,IF(OR(N(F2093)&gt;=0.1,G2093&gt;=1),1,0)))</f>
        <v/>
      </c>
      <c r="I2093" s="4">
        <f>CHOOSE(H2093+1,"Kein Risiko","Gering","Mittel","Hoch")</f>
        <v/>
      </c>
    </row>
    <row r="2094">
      <c r="A2094" s="4" t="n">
        <v>2090</v>
      </c>
      <c r="B2094" s="4" t="inlineStr">
        <is>
          <t>yes</t>
        </is>
      </c>
      <c r="C2094" s="4" t="inlineStr">
        <is>
          <t>Scharpenhang</t>
        </is>
      </c>
      <c r="D2094" s="4" t="inlineStr">
        <is>
          <t>20</t>
        </is>
      </c>
      <c r="E2094" s="13" t="n">
        <v>68.90000000000001</v>
      </c>
      <c r="F2094" s="12" t="n">
        <v>0</v>
      </c>
      <c r="G2094" s="4" t="n">
        <v>0</v>
      </c>
      <c r="H2094" s="4">
        <f>IF(OR(N(F2094)&gt;=0.5,G2094&gt;=4),3,IF(OR(N(F2094)&gt;=0.3,G2094=3),2,IF(OR(N(F2094)&gt;=0.1,G2094&gt;=1),1,0)))</f>
        <v/>
      </c>
      <c r="I2094" s="4">
        <f>CHOOSE(H2094+1,"Kein Risiko","Gering","Mittel","Hoch")</f>
        <v/>
      </c>
    </row>
    <row r="2095">
      <c r="A2095" s="4" t="n">
        <v>2091</v>
      </c>
      <c r="B2095" s="4" t="inlineStr">
        <is>
          <t>yes</t>
        </is>
      </c>
      <c r="C2095" s="4" t="inlineStr">
        <is>
          <t>Byfanger Straße</t>
        </is>
      </c>
      <c r="D2095" s="4" t="inlineStr">
        <is>
          <t>205</t>
        </is>
      </c>
      <c r="E2095" s="13" t="n">
        <v>53</v>
      </c>
      <c r="F2095" s="12" t="n">
        <v>0</v>
      </c>
      <c r="G2095" s="4" t="n">
        <v>0</v>
      </c>
      <c r="H2095" s="4">
        <f>IF(OR(N(F2095)&gt;=0.5,G2095&gt;=4),3,IF(OR(N(F2095)&gt;=0.3,G2095=3),2,IF(OR(N(F2095)&gt;=0.1,G2095&gt;=1),1,0)))</f>
        <v/>
      </c>
      <c r="I2095" s="4">
        <f>CHOOSE(H2095+1,"Kein Risiko","Gering","Mittel","Hoch")</f>
        <v/>
      </c>
    </row>
    <row r="2096">
      <c r="A2096" s="4" t="n">
        <v>2092</v>
      </c>
      <c r="B2096" s="4" t="inlineStr">
        <is>
          <t>yes</t>
        </is>
      </c>
      <c r="C2096" s="4" t="inlineStr">
        <is>
          <t>Byfanger Straße</t>
        </is>
      </c>
      <c r="D2096" s="4" t="inlineStr">
        <is>
          <t>207</t>
        </is>
      </c>
      <c r="E2096" s="13" t="n">
        <v>52.9</v>
      </c>
      <c r="F2096" s="12" t="n">
        <v>0</v>
      </c>
      <c r="G2096" s="4" t="n">
        <v>2</v>
      </c>
      <c r="H2096" s="4">
        <f>IF(OR(N(F2096)&gt;=0.5,G2096&gt;=4),3,IF(OR(N(F2096)&gt;=0.3,G2096=3),2,IF(OR(N(F2096)&gt;=0.1,G2096&gt;=1),1,0)))</f>
        <v/>
      </c>
      <c r="I2096" s="4">
        <f>CHOOSE(H2096+1,"Kein Risiko","Gering","Mittel","Hoch")</f>
        <v/>
      </c>
    </row>
    <row r="2097">
      <c r="A2097" s="4" t="n">
        <v>2093</v>
      </c>
      <c r="B2097" s="4" t="inlineStr">
        <is>
          <t>yes</t>
        </is>
      </c>
      <c r="C2097" s="4" t="inlineStr">
        <is>
          <t>Byfanger Straße</t>
        </is>
      </c>
      <c r="D2097" s="4" t="inlineStr">
        <is>
          <t>209</t>
        </is>
      </c>
      <c r="E2097" s="13" t="n">
        <v>56.1</v>
      </c>
      <c r="F2097" s="12" t="n">
        <v>0</v>
      </c>
      <c r="G2097" s="4" t="n">
        <v>0</v>
      </c>
      <c r="H2097" s="4">
        <f>IF(OR(N(F2097)&gt;=0.5,G2097&gt;=4),3,IF(OR(N(F2097)&gt;=0.3,G2097=3),2,IF(OR(N(F2097)&gt;=0.1,G2097&gt;=1),1,0)))</f>
        <v/>
      </c>
      <c r="I2097" s="4">
        <f>CHOOSE(H2097+1,"Kein Risiko","Gering","Mittel","Hoch")</f>
        <v/>
      </c>
    </row>
    <row r="2098">
      <c r="A2098" s="4" t="n">
        <v>2094</v>
      </c>
      <c r="B2098" s="4" t="inlineStr">
        <is>
          <t>yes</t>
        </is>
      </c>
      <c r="C2098" s="4" t="inlineStr">
        <is>
          <t>Bovermanns Weg</t>
        </is>
      </c>
      <c r="D2098" s="4" t="inlineStr">
        <is>
          <t>21</t>
        </is>
      </c>
      <c r="E2098" s="13" t="n">
        <v>149.6</v>
      </c>
      <c r="F2098" s="12" t="n">
        <v>0</v>
      </c>
      <c r="G2098" s="4" t="n">
        <v>0</v>
      </c>
      <c r="H2098" s="4">
        <f>IF(OR(N(F2098)&gt;=0.5,G2098&gt;=4),3,IF(OR(N(F2098)&gt;=0.3,G2098=3),2,IF(OR(N(F2098)&gt;=0.1,G2098&gt;=1),1,0)))</f>
        <v/>
      </c>
      <c r="I2098" s="4">
        <f>CHOOSE(H2098+1,"Kein Risiko","Gering","Mittel","Hoch")</f>
        <v/>
      </c>
    </row>
    <row r="2099">
      <c r="A2099" s="4" t="n">
        <v>2095</v>
      </c>
      <c r="B2099" s="4" t="inlineStr">
        <is>
          <t>yes</t>
        </is>
      </c>
      <c r="C2099" s="4" t="inlineStr">
        <is>
          <t>Engelssiepen</t>
        </is>
      </c>
      <c r="D2099" s="4" t="inlineStr">
        <is>
          <t>21</t>
        </is>
      </c>
      <c r="E2099" s="13" t="n">
        <v>58.8</v>
      </c>
      <c r="F2099" s="12" t="n">
        <v>0</v>
      </c>
      <c r="G2099" s="4" t="n">
        <v>0</v>
      </c>
      <c r="H2099" s="4">
        <f>IF(OR(N(F2099)&gt;=0.5,G2099&gt;=4),3,IF(OR(N(F2099)&gt;=0.3,G2099=3),2,IF(OR(N(F2099)&gt;=0.1,G2099&gt;=1),1,0)))</f>
        <v/>
      </c>
      <c r="I2099" s="4">
        <f>CHOOSE(H2099+1,"Kein Risiko","Gering","Mittel","Hoch")</f>
        <v/>
      </c>
    </row>
    <row r="2100">
      <c r="A2100" s="4" t="n">
        <v>2096</v>
      </c>
      <c r="B2100" s="4" t="inlineStr">
        <is>
          <t>yes</t>
        </is>
      </c>
      <c r="C2100" s="4" t="inlineStr">
        <is>
          <t>Scharpenhang</t>
        </is>
      </c>
      <c r="D2100" s="4" t="inlineStr">
        <is>
          <t>21</t>
        </is>
      </c>
      <c r="E2100" s="13" t="n">
        <v>137</v>
      </c>
      <c r="F2100" s="12" t="n">
        <v>0</v>
      </c>
      <c r="G2100" s="4" t="n">
        <v>0</v>
      </c>
      <c r="H2100" s="4">
        <f>IF(OR(N(F2100)&gt;=0.5,G2100&gt;=4),3,IF(OR(N(F2100)&gt;=0.3,G2100=3),2,IF(OR(N(F2100)&gt;=0.1,G2100&gt;=1),1,0)))</f>
        <v/>
      </c>
      <c r="I2100" s="4">
        <f>CHOOSE(H2100+1,"Kein Risiko","Gering","Mittel","Hoch")</f>
        <v/>
      </c>
    </row>
    <row r="2101">
      <c r="A2101" s="4" t="n">
        <v>2097</v>
      </c>
      <c r="B2101" s="4" t="inlineStr">
        <is>
          <t>yes</t>
        </is>
      </c>
      <c r="C2101" s="4" t="inlineStr">
        <is>
          <t>Schliepershang</t>
        </is>
      </c>
      <c r="D2101" s="4" t="inlineStr">
        <is>
          <t>21</t>
        </is>
      </c>
      <c r="E2101" s="13" t="n">
        <v>131.5</v>
      </c>
      <c r="F2101" s="12" t="n">
        <v>0</v>
      </c>
      <c r="G2101" s="4" t="n">
        <v>1</v>
      </c>
      <c r="H2101" s="4">
        <f>IF(OR(N(F2101)&gt;=0.5,G2101&gt;=4),3,IF(OR(N(F2101)&gt;=0.3,G2101=3),2,IF(OR(N(F2101)&gt;=0.1,G2101&gt;=1),1,0)))</f>
        <v/>
      </c>
      <c r="I2101" s="4">
        <f>CHOOSE(H2101+1,"Kein Risiko","Gering","Mittel","Hoch")</f>
        <v/>
      </c>
    </row>
    <row r="2102">
      <c r="A2102" s="4" t="n">
        <v>2098</v>
      </c>
      <c r="B2102" s="4" t="inlineStr">
        <is>
          <t>yes</t>
        </is>
      </c>
      <c r="C2102" s="4" t="inlineStr">
        <is>
          <t>Byfanger Straße</t>
        </is>
      </c>
      <c r="D2102" s="4" t="inlineStr">
        <is>
          <t>211</t>
        </is>
      </c>
      <c r="E2102" s="13" t="n">
        <v>56.1</v>
      </c>
      <c r="F2102" s="12" t="n">
        <v>0</v>
      </c>
      <c r="G2102" s="4" t="n">
        <v>0</v>
      </c>
      <c r="H2102" s="4">
        <f>IF(OR(N(F2102)&gt;=0.5,G2102&gt;=4),3,IF(OR(N(F2102)&gt;=0.3,G2102=3),2,IF(OR(N(F2102)&gt;=0.1,G2102&gt;=1),1,0)))</f>
        <v/>
      </c>
      <c r="I2102" s="4">
        <f>CHOOSE(H2102+1,"Kein Risiko","Gering","Mittel","Hoch")</f>
        <v/>
      </c>
    </row>
    <row r="2103">
      <c r="A2103" s="4" t="n">
        <v>2099</v>
      </c>
      <c r="B2103" s="4" t="inlineStr">
        <is>
          <t>yes</t>
        </is>
      </c>
      <c r="C2103" s="4" t="inlineStr">
        <is>
          <t>Byfanger Straße</t>
        </is>
      </c>
      <c r="D2103" s="4" t="inlineStr">
        <is>
          <t>213</t>
        </is>
      </c>
      <c r="E2103" s="13" t="n">
        <v>49.7</v>
      </c>
      <c r="F2103" s="12" t="n">
        <v>0</v>
      </c>
      <c r="G2103" s="4" t="n">
        <v>0</v>
      </c>
      <c r="H2103" s="4">
        <f>IF(OR(N(F2103)&gt;=0.5,G2103&gt;=4),3,IF(OR(N(F2103)&gt;=0.3,G2103=3),2,IF(OR(N(F2103)&gt;=0.1,G2103&gt;=1),1,0)))</f>
        <v/>
      </c>
      <c r="I2103" s="4">
        <f>CHOOSE(H2103+1,"Kein Risiko","Gering","Mittel","Hoch")</f>
        <v/>
      </c>
    </row>
    <row r="2104">
      <c r="A2104" s="4" t="n">
        <v>2100</v>
      </c>
      <c r="B2104" s="4" t="inlineStr">
        <is>
          <t>yes</t>
        </is>
      </c>
      <c r="C2104" s="4" t="inlineStr">
        <is>
          <t>Byfanger Straße</t>
        </is>
      </c>
      <c r="D2104" s="4" t="inlineStr">
        <is>
          <t>215</t>
        </is>
      </c>
      <c r="E2104" s="13" t="n">
        <v>49.6</v>
      </c>
      <c r="F2104" s="12" t="n">
        <v>0</v>
      </c>
      <c r="G2104" s="4" t="n">
        <v>0</v>
      </c>
      <c r="H2104" s="4">
        <f>IF(OR(N(F2104)&gt;=0.5,G2104&gt;=4),3,IF(OR(N(F2104)&gt;=0.3,G2104=3),2,IF(OR(N(F2104)&gt;=0.1,G2104&gt;=1),1,0)))</f>
        <v/>
      </c>
      <c r="I2104" s="4">
        <f>CHOOSE(H2104+1,"Kein Risiko","Gering","Mittel","Hoch")</f>
        <v/>
      </c>
    </row>
    <row r="2105">
      <c r="A2105" s="4" t="n">
        <v>2101</v>
      </c>
      <c r="B2105" s="4" t="inlineStr">
        <is>
          <t>yes</t>
        </is>
      </c>
      <c r="C2105" s="4" t="inlineStr">
        <is>
          <t>Byfanger Straße</t>
        </is>
      </c>
      <c r="D2105" s="4" t="inlineStr">
        <is>
          <t>219</t>
        </is>
      </c>
      <c r="E2105" s="13" t="n">
        <v>48</v>
      </c>
      <c r="F2105" s="12" t="n">
        <v>0</v>
      </c>
      <c r="G2105" s="4" t="n">
        <v>0</v>
      </c>
      <c r="H2105" s="4">
        <f>IF(OR(N(F2105)&gt;=0.5,G2105&gt;=4),3,IF(OR(N(F2105)&gt;=0.3,G2105=3),2,IF(OR(N(F2105)&gt;=0.1,G2105&gt;=1),1,0)))</f>
        <v/>
      </c>
      <c r="I2105" s="4">
        <f>CHOOSE(H2105+1,"Kein Risiko","Gering","Mittel","Hoch")</f>
        <v/>
      </c>
    </row>
    <row r="2106">
      <c r="A2106" s="4" t="n">
        <v>2102</v>
      </c>
      <c r="B2106" s="4" t="inlineStr">
        <is>
          <t>house</t>
        </is>
      </c>
      <c r="C2106" s="4" t="inlineStr">
        <is>
          <t>Brackmannhang</t>
        </is>
      </c>
      <c r="D2106" s="4" t="inlineStr">
        <is>
          <t>22</t>
        </is>
      </c>
      <c r="E2106" s="13" t="n">
        <v>102.8</v>
      </c>
      <c r="F2106" s="12" t="n">
        <v>0.0699920654296875</v>
      </c>
      <c r="G2106" s="4" t="n">
        <v>1</v>
      </c>
      <c r="H2106" s="4">
        <f>IF(OR(N(F2106)&gt;=0.5,G2106&gt;=4),3,IF(OR(N(F2106)&gt;=0.3,G2106=3),2,IF(OR(N(F2106)&gt;=0.1,G2106&gt;=1),1,0)))</f>
        <v/>
      </c>
      <c r="I2106" s="4">
        <f>CHOOSE(H2106+1,"Kein Risiko","Gering","Mittel","Hoch")</f>
        <v/>
      </c>
    </row>
    <row r="2107">
      <c r="A2107" s="4" t="n">
        <v>2103</v>
      </c>
      <c r="B2107" s="4" t="inlineStr">
        <is>
          <t>yes</t>
        </is>
      </c>
      <c r="C2107" s="4" t="inlineStr">
        <is>
          <t>Hirtental</t>
        </is>
      </c>
      <c r="D2107" s="4" t="inlineStr">
        <is>
          <t>22</t>
        </is>
      </c>
      <c r="E2107" s="13" t="n">
        <v>67.09999999999999</v>
      </c>
      <c r="F2107" s="12" t="n">
        <v>0</v>
      </c>
      <c r="G2107" s="4" t="n">
        <v>0</v>
      </c>
      <c r="H2107" s="4">
        <f>IF(OR(N(F2107)&gt;=0.5,G2107&gt;=4),3,IF(OR(N(F2107)&gt;=0.3,G2107=3),2,IF(OR(N(F2107)&gt;=0.1,G2107&gt;=1),1,0)))</f>
        <v/>
      </c>
      <c r="I2107" s="4">
        <f>CHOOSE(H2107+1,"Kein Risiko","Gering","Mittel","Hoch")</f>
        <v/>
      </c>
    </row>
    <row r="2108">
      <c r="A2108" s="4" t="n">
        <v>2104</v>
      </c>
      <c r="B2108" s="4" t="inlineStr">
        <is>
          <t>yes</t>
        </is>
      </c>
      <c r="C2108" s="4" t="inlineStr">
        <is>
          <t>Scharpenhang</t>
        </is>
      </c>
      <c r="D2108" s="4" t="inlineStr">
        <is>
          <t>22</t>
        </is>
      </c>
      <c r="E2108" s="13" t="n">
        <v>65.40000000000001</v>
      </c>
      <c r="F2108" s="12" t="n">
        <v>0.04000091552734375</v>
      </c>
      <c r="G2108" s="4" t="n">
        <v>0</v>
      </c>
      <c r="H2108" s="4">
        <f>IF(OR(N(F2108)&gt;=0.5,G2108&gt;=4),3,IF(OR(N(F2108)&gt;=0.3,G2108=3),2,IF(OR(N(F2108)&gt;=0.1,G2108&gt;=1),1,0)))</f>
        <v/>
      </c>
      <c r="I2108" s="4">
        <f>CHOOSE(H2108+1,"Kein Risiko","Gering","Mittel","Hoch")</f>
        <v/>
      </c>
    </row>
    <row r="2109">
      <c r="A2109" s="4" t="n">
        <v>2105</v>
      </c>
      <c r="B2109" s="4" t="inlineStr">
        <is>
          <t>yes</t>
        </is>
      </c>
      <c r="C2109" s="4" t="inlineStr">
        <is>
          <t>Byfanger Straße</t>
        </is>
      </c>
      <c r="D2109" s="4" t="inlineStr">
        <is>
          <t>220</t>
        </is>
      </c>
      <c r="E2109" s="13" t="n">
        <v>97</v>
      </c>
      <c r="F2109" s="12" t="n">
        <v>0</v>
      </c>
      <c r="G2109" s="4" t="n">
        <v>1</v>
      </c>
      <c r="H2109" s="4">
        <f>IF(OR(N(F2109)&gt;=0.5,G2109&gt;=4),3,IF(OR(N(F2109)&gt;=0.3,G2109=3),2,IF(OR(N(F2109)&gt;=0.1,G2109&gt;=1),1,0)))</f>
        <v/>
      </c>
      <c r="I2109" s="4">
        <f>CHOOSE(H2109+1,"Kein Risiko","Gering","Mittel","Hoch")</f>
        <v/>
      </c>
    </row>
    <row r="2110">
      <c r="A2110" s="4" t="n">
        <v>2106</v>
      </c>
      <c r="B2110" s="4" t="inlineStr">
        <is>
          <t>yes</t>
        </is>
      </c>
      <c r="C2110" s="4" t="inlineStr">
        <is>
          <t>Byfanger Straße</t>
        </is>
      </c>
      <c r="D2110" s="4" t="inlineStr">
        <is>
          <t>223</t>
        </is>
      </c>
      <c r="E2110" s="13" t="n">
        <v>54.2</v>
      </c>
      <c r="F2110" s="12" t="n">
        <v>0</v>
      </c>
      <c r="G2110" s="4" t="n">
        <v>0</v>
      </c>
      <c r="H2110" s="4">
        <f>IF(OR(N(F2110)&gt;=0.5,G2110&gt;=4),3,IF(OR(N(F2110)&gt;=0.3,G2110=3),2,IF(OR(N(F2110)&gt;=0.1,G2110&gt;=1),1,0)))</f>
        <v/>
      </c>
      <c r="I2110" s="4">
        <f>CHOOSE(H2110+1,"Kein Risiko","Gering","Mittel","Hoch")</f>
        <v/>
      </c>
    </row>
    <row r="2111">
      <c r="A2111" s="4" t="n">
        <v>2107</v>
      </c>
      <c r="B2111" s="4" t="inlineStr">
        <is>
          <t>yes</t>
        </is>
      </c>
      <c r="C2111" s="4" t="inlineStr">
        <is>
          <t>Byfanger Straße</t>
        </is>
      </c>
      <c r="D2111" s="4" t="inlineStr">
        <is>
          <t>223a</t>
        </is>
      </c>
      <c r="E2111" s="13" t="n">
        <v>97.90000000000001</v>
      </c>
      <c r="F2111" s="12" t="n">
        <v>0.04000091552734375</v>
      </c>
      <c r="G2111" s="4" t="n">
        <v>0</v>
      </c>
      <c r="H2111" s="4">
        <f>IF(OR(N(F2111)&gt;=0.5,G2111&gt;=4),3,IF(OR(N(F2111)&gt;=0.3,G2111=3),2,IF(OR(N(F2111)&gt;=0.1,G2111&gt;=1),1,0)))</f>
        <v/>
      </c>
      <c r="I2111" s="4">
        <f>CHOOSE(H2111+1,"Kein Risiko","Gering","Mittel","Hoch")</f>
        <v/>
      </c>
    </row>
    <row r="2112">
      <c r="A2112" s="4" t="n">
        <v>2108</v>
      </c>
      <c r="B2112" s="4" t="inlineStr">
        <is>
          <t>yes</t>
        </is>
      </c>
      <c r="C2112" s="4" t="inlineStr">
        <is>
          <t>Byfanger Straße</t>
        </is>
      </c>
      <c r="D2112" s="4" t="inlineStr">
        <is>
          <t>225</t>
        </is>
      </c>
      <c r="E2112" s="13" t="n">
        <v>64.2</v>
      </c>
      <c r="F2112" s="12" t="n">
        <v>0</v>
      </c>
      <c r="G2112" s="4" t="n">
        <v>0</v>
      </c>
      <c r="H2112" s="4">
        <f>IF(OR(N(F2112)&gt;=0.5,G2112&gt;=4),3,IF(OR(N(F2112)&gt;=0.3,G2112=3),2,IF(OR(N(F2112)&gt;=0.1,G2112&gt;=1),1,0)))</f>
        <v/>
      </c>
      <c r="I2112" s="4">
        <f>CHOOSE(H2112+1,"Kein Risiko","Gering","Mittel","Hoch")</f>
        <v/>
      </c>
    </row>
    <row r="2113">
      <c r="A2113" s="4" t="n">
        <v>2109</v>
      </c>
      <c r="B2113" s="4" t="inlineStr">
        <is>
          <t>yes</t>
        </is>
      </c>
      <c r="C2113" s="4" t="inlineStr">
        <is>
          <t>Byfanger Straße</t>
        </is>
      </c>
      <c r="D2113" s="4" t="inlineStr">
        <is>
          <t>225a</t>
        </is>
      </c>
      <c r="E2113" s="13" t="n">
        <v>64.2</v>
      </c>
      <c r="F2113" s="12" t="n">
        <v>0</v>
      </c>
      <c r="G2113" s="4" t="n">
        <v>0</v>
      </c>
      <c r="H2113" s="4">
        <f>IF(OR(N(F2113)&gt;=0.5,G2113&gt;=4),3,IF(OR(N(F2113)&gt;=0.3,G2113=3),2,IF(OR(N(F2113)&gt;=0.1,G2113&gt;=1),1,0)))</f>
        <v/>
      </c>
      <c r="I2113" s="4">
        <f>CHOOSE(H2113+1,"Kein Risiko","Gering","Mittel","Hoch")</f>
        <v/>
      </c>
    </row>
    <row r="2114">
      <c r="A2114" s="4" t="n">
        <v>2110</v>
      </c>
      <c r="B2114" s="4" t="inlineStr">
        <is>
          <t>yes</t>
        </is>
      </c>
      <c r="C2114" s="4" t="inlineStr">
        <is>
          <t>Byfanger Straße</t>
        </is>
      </c>
      <c r="D2114" s="4" t="inlineStr">
        <is>
          <t>227</t>
        </is>
      </c>
      <c r="E2114" s="13" t="n">
        <v>64.3</v>
      </c>
      <c r="F2114" s="12" t="n">
        <v>0</v>
      </c>
      <c r="G2114" s="4" t="n">
        <v>0</v>
      </c>
      <c r="H2114" s="4">
        <f>IF(OR(N(F2114)&gt;=0.5,G2114&gt;=4),3,IF(OR(N(F2114)&gt;=0.3,G2114=3),2,IF(OR(N(F2114)&gt;=0.1,G2114&gt;=1),1,0)))</f>
        <v/>
      </c>
      <c r="I2114" s="4">
        <f>CHOOSE(H2114+1,"Kein Risiko","Gering","Mittel","Hoch")</f>
        <v/>
      </c>
    </row>
    <row r="2115">
      <c r="A2115" s="4" t="n">
        <v>2111</v>
      </c>
      <c r="B2115" s="4" t="inlineStr">
        <is>
          <t>yes</t>
        </is>
      </c>
      <c r="C2115" s="4" t="inlineStr">
        <is>
          <t>Byfanger Straße</t>
        </is>
      </c>
      <c r="D2115" s="4" t="inlineStr">
        <is>
          <t>229</t>
        </is>
      </c>
      <c r="E2115" s="13" t="n">
        <v>50.5</v>
      </c>
      <c r="F2115" s="12" t="n">
        <v>0</v>
      </c>
      <c r="G2115" s="4" t="n">
        <v>0</v>
      </c>
      <c r="H2115" s="4">
        <f>IF(OR(N(F2115)&gt;=0.5,G2115&gt;=4),3,IF(OR(N(F2115)&gt;=0.3,G2115=3),2,IF(OR(N(F2115)&gt;=0.1,G2115&gt;=1),1,0)))</f>
        <v/>
      </c>
      <c r="I2115" s="4">
        <f>CHOOSE(H2115+1,"Kein Risiko","Gering","Mittel","Hoch")</f>
        <v/>
      </c>
    </row>
    <row r="2116">
      <c r="A2116" s="4" t="n">
        <v>2112</v>
      </c>
      <c r="B2116" s="4" t="inlineStr">
        <is>
          <t>yes</t>
        </is>
      </c>
      <c r="C2116" s="4" t="inlineStr">
        <is>
          <t>Fahrenberg</t>
        </is>
      </c>
      <c r="D2116" s="4" t="inlineStr">
        <is>
          <t>22f</t>
        </is>
      </c>
      <c r="E2116" s="13" t="n">
        <v>85.90000000000001</v>
      </c>
      <c r="F2116" s="12" t="n">
        <v>0</v>
      </c>
      <c r="G2116" s="4" t="n">
        <v>0</v>
      </c>
      <c r="H2116" s="4">
        <f>IF(OR(N(F2116)&gt;=0.5,G2116&gt;=4),3,IF(OR(N(F2116)&gt;=0.3,G2116=3),2,IF(OR(N(F2116)&gt;=0.1,G2116&gt;=1),1,0)))</f>
        <v/>
      </c>
      <c r="I2116" s="4">
        <f>CHOOSE(H2116+1,"Kein Risiko","Gering","Mittel","Hoch")</f>
        <v/>
      </c>
    </row>
    <row r="2117">
      <c r="A2117" s="4" t="n">
        <v>2113</v>
      </c>
      <c r="B2117" s="4" t="inlineStr">
        <is>
          <t>yes</t>
        </is>
      </c>
      <c r="C2117" s="4" t="inlineStr">
        <is>
          <t>An den Friedhöfen</t>
        </is>
      </c>
      <c r="D2117" s="4" t="inlineStr">
        <is>
          <t>23</t>
        </is>
      </c>
      <c r="E2117" s="13" t="n">
        <v>85.5</v>
      </c>
      <c r="F2117" s="12" t="n">
        <v>0</v>
      </c>
      <c r="G2117" s="4" t="n">
        <v>0</v>
      </c>
      <c r="H2117" s="4">
        <f>IF(OR(N(F2117)&gt;=0.5,G2117&gt;=4),3,IF(OR(N(F2117)&gt;=0.3,G2117=3),2,IF(OR(N(F2117)&gt;=0.1,G2117&gt;=1),1,0)))</f>
        <v/>
      </c>
      <c r="I2117" s="4">
        <f>CHOOSE(H2117+1,"Kein Risiko","Gering","Mittel","Hoch")</f>
        <v/>
      </c>
    </row>
    <row r="2118">
      <c r="A2118" s="4" t="n">
        <v>2114</v>
      </c>
      <c r="B2118" s="4" t="inlineStr">
        <is>
          <t>yes</t>
        </is>
      </c>
      <c r="C2118" s="4" t="inlineStr">
        <is>
          <t>Engelssiepen</t>
        </is>
      </c>
      <c r="D2118" s="4" t="inlineStr">
        <is>
          <t>23</t>
        </is>
      </c>
      <c r="E2118" s="13" t="n">
        <v>58.7</v>
      </c>
      <c r="F2118" s="12" t="n">
        <v>0</v>
      </c>
      <c r="G2118" s="4" t="n">
        <v>0</v>
      </c>
      <c r="H2118" s="4">
        <f>IF(OR(N(F2118)&gt;=0.5,G2118&gt;=4),3,IF(OR(N(F2118)&gt;=0.3,G2118=3),2,IF(OR(N(F2118)&gt;=0.1,G2118&gt;=1),1,0)))</f>
        <v/>
      </c>
      <c r="I2118" s="4">
        <f>CHOOSE(H2118+1,"Kein Risiko","Gering","Mittel","Hoch")</f>
        <v/>
      </c>
    </row>
    <row r="2119">
      <c r="A2119" s="4" t="n">
        <v>2115</v>
      </c>
      <c r="B2119" s="4" t="inlineStr">
        <is>
          <t>yes</t>
        </is>
      </c>
      <c r="C2119" s="4" t="inlineStr">
        <is>
          <t>Byfanger Straße</t>
        </is>
      </c>
      <c r="D2119" s="4" t="inlineStr">
        <is>
          <t>231</t>
        </is>
      </c>
      <c r="E2119" s="13" t="n">
        <v>50.6</v>
      </c>
      <c r="F2119" s="12" t="n">
        <v>0</v>
      </c>
      <c r="G2119" s="4" t="n">
        <v>0</v>
      </c>
      <c r="H2119" s="4">
        <f>IF(OR(N(F2119)&gt;=0.5,G2119&gt;=4),3,IF(OR(N(F2119)&gt;=0.3,G2119=3),2,IF(OR(N(F2119)&gt;=0.1,G2119&gt;=1),1,0)))</f>
        <v/>
      </c>
      <c r="I2119" s="4">
        <f>CHOOSE(H2119+1,"Kein Risiko","Gering","Mittel","Hoch")</f>
        <v/>
      </c>
    </row>
    <row r="2120">
      <c r="A2120" s="4" t="n">
        <v>2116</v>
      </c>
      <c r="B2120" s="4" t="inlineStr">
        <is>
          <t>yes</t>
        </is>
      </c>
      <c r="C2120" s="4" t="inlineStr">
        <is>
          <t>Byfanger Straße</t>
        </is>
      </c>
      <c r="D2120" s="4" t="inlineStr">
        <is>
          <t>233</t>
        </is>
      </c>
      <c r="E2120" s="13" t="n">
        <v>50.5</v>
      </c>
      <c r="F2120" s="12" t="n">
        <v>0</v>
      </c>
      <c r="G2120" s="4" t="n">
        <v>0</v>
      </c>
      <c r="H2120" s="4">
        <f>IF(OR(N(F2120)&gt;=0.5,G2120&gt;=4),3,IF(OR(N(F2120)&gt;=0.3,G2120=3),2,IF(OR(N(F2120)&gt;=0.1,G2120&gt;=1),1,0)))</f>
        <v/>
      </c>
      <c r="I2120" s="4">
        <f>CHOOSE(H2120+1,"Kein Risiko","Gering","Mittel","Hoch")</f>
        <v/>
      </c>
    </row>
    <row r="2121">
      <c r="A2121" s="4" t="n">
        <v>2117</v>
      </c>
      <c r="B2121" s="4" t="inlineStr">
        <is>
          <t>yes</t>
        </is>
      </c>
      <c r="C2121" s="4" t="inlineStr">
        <is>
          <t>Byfanger Straße</t>
        </is>
      </c>
      <c r="D2121" s="4" t="inlineStr">
        <is>
          <t>235</t>
        </is>
      </c>
      <c r="E2121" s="13" t="n">
        <v>50.5</v>
      </c>
      <c r="F2121" s="12" t="n">
        <v>0</v>
      </c>
      <c r="G2121" s="4" t="n">
        <v>0</v>
      </c>
      <c r="H2121" s="4">
        <f>IF(OR(N(F2121)&gt;=0.5,G2121&gt;=4),3,IF(OR(N(F2121)&gt;=0.3,G2121=3),2,IF(OR(N(F2121)&gt;=0.1,G2121&gt;=1),1,0)))</f>
        <v/>
      </c>
      <c r="I2121" s="4">
        <f>CHOOSE(H2121+1,"Kein Risiko","Gering","Mittel","Hoch")</f>
        <v/>
      </c>
    </row>
    <row r="2122">
      <c r="A2122" s="4" t="n">
        <v>2118</v>
      </c>
      <c r="B2122" s="4" t="inlineStr">
        <is>
          <t>yes</t>
        </is>
      </c>
      <c r="C2122" s="4" t="inlineStr">
        <is>
          <t>Byfanger Straße</t>
        </is>
      </c>
      <c r="D2122" s="4" t="inlineStr">
        <is>
          <t>239</t>
        </is>
      </c>
      <c r="E2122" s="13" t="n">
        <v>54.3</v>
      </c>
      <c r="F2122" s="12" t="n">
        <v>0</v>
      </c>
      <c r="G2122" s="4" t="n">
        <v>0</v>
      </c>
      <c r="H2122" s="4">
        <f>IF(OR(N(F2122)&gt;=0.5,G2122&gt;=4),3,IF(OR(N(F2122)&gt;=0.3,G2122=3),2,IF(OR(N(F2122)&gt;=0.1,G2122&gt;=1),1,0)))</f>
        <v/>
      </c>
      <c r="I2122" s="4">
        <f>CHOOSE(H2122+1,"Kein Risiko","Gering","Mittel","Hoch")</f>
        <v/>
      </c>
    </row>
    <row r="2123">
      <c r="A2123" s="4" t="n">
        <v>2119</v>
      </c>
      <c r="B2123" s="4" t="inlineStr">
        <is>
          <t>house</t>
        </is>
      </c>
      <c r="C2123" s="4" t="inlineStr">
        <is>
          <t>Brackmannhang</t>
        </is>
      </c>
      <c r="D2123" s="4" t="inlineStr">
        <is>
          <t>24</t>
        </is>
      </c>
      <c r="E2123" s="13" t="n">
        <v>102.8</v>
      </c>
      <c r="F2123" s="12" t="n">
        <v>0</v>
      </c>
      <c r="G2123" s="4" t="n">
        <v>1</v>
      </c>
      <c r="H2123" s="4">
        <f>IF(OR(N(F2123)&gt;=0.5,G2123&gt;=4),3,IF(OR(N(F2123)&gt;=0.3,G2123=3),2,IF(OR(N(F2123)&gt;=0.1,G2123&gt;=1),1,0)))</f>
        <v/>
      </c>
      <c r="I2123" s="4">
        <f>CHOOSE(H2123+1,"Kein Risiko","Gering","Mittel","Hoch")</f>
        <v/>
      </c>
    </row>
    <row r="2124">
      <c r="A2124" s="4" t="n">
        <v>2120</v>
      </c>
      <c r="B2124" s="4" t="inlineStr">
        <is>
          <t>yes</t>
        </is>
      </c>
      <c r="C2124" s="4" t="inlineStr">
        <is>
          <t>Hirtental</t>
        </is>
      </c>
      <c r="D2124" s="4" t="inlineStr">
        <is>
          <t>24</t>
        </is>
      </c>
      <c r="E2124" s="13" t="n">
        <v>74.2</v>
      </c>
      <c r="F2124" s="12" t="n">
        <v>0</v>
      </c>
      <c r="G2124" s="4" t="n">
        <v>0</v>
      </c>
      <c r="H2124" s="4">
        <f>IF(OR(N(F2124)&gt;=0.5,G2124&gt;=4),3,IF(OR(N(F2124)&gt;=0.3,G2124=3),2,IF(OR(N(F2124)&gt;=0.1,G2124&gt;=1),1,0)))</f>
        <v/>
      </c>
      <c r="I2124" s="4">
        <f>CHOOSE(H2124+1,"Kein Risiko","Gering","Mittel","Hoch")</f>
        <v/>
      </c>
    </row>
    <row r="2125">
      <c r="A2125" s="4" t="n">
        <v>2121</v>
      </c>
      <c r="B2125" s="4" t="inlineStr">
        <is>
          <t>yes</t>
        </is>
      </c>
      <c r="C2125" s="4" t="inlineStr">
        <is>
          <t>Byfanger Straße</t>
        </is>
      </c>
      <c r="D2125" s="4" t="inlineStr">
        <is>
          <t>243</t>
        </is>
      </c>
      <c r="E2125" s="13" t="n">
        <v>122.2</v>
      </c>
      <c r="F2125" s="12" t="n">
        <v>0</v>
      </c>
      <c r="G2125" s="4" t="n">
        <v>4</v>
      </c>
      <c r="H2125" s="4">
        <f>IF(OR(N(F2125)&gt;=0.5,G2125&gt;=4),3,IF(OR(N(F2125)&gt;=0.3,G2125=3),2,IF(OR(N(F2125)&gt;=0.1,G2125&gt;=1),1,0)))</f>
        <v/>
      </c>
      <c r="I2125" s="4">
        <f>CHOOSE(H2125+1,"Kein Risiko","Gering","Mittel","Hoch")</f>
        <v/>
      </c>
    </row>
    <row r="2126">
      <c r="A2126" s="4" t="n">
        <v>2122</v>
      </c>
      <c r="B2126" s="4" t="inlineStr">
        <is>
          <t>yes</t>
        </is>
      </c>
      <c r="C2126" s="4" t="inlineStr">
        <is>
          <t>Byfanger Straße</t>
        </is>
      </c>
      <c r="D2126" s="4" t="inlineStr">
        <is>
          <t>246</t>
        </is>
      </c>
      <c r="E2126" s="13" t="n">
        <v>112.8</v>
      </c>
      <c r="F2126" s="12" t="n">
        <v>2.040000915527344</v>
      </c>
      <c r="G2126" s="4" t="n">
        <v>4</v>
      </c>
      <c r="H2126" s="4">
        <f>IF(OR(N(F2126)&gt;=0.5,G2126&gt;=4),3,IF(OR(N(F2126)&gt;=0.3,G2126=3),2,IF(OR(N(F2126)&gt;=0.1,G2126&gt;=1),1,0)))</f>
        <v/>
      </c>
      <c r="I2126" s="4">
        <f>CHOOSE(H2126+1,"Kein Risiko","Gering","Mittel","Hoch")</f>
        <v/>
      </c>
    </row>
    <row r="2127">
      <c r="A2127" s="4" t="n">
        <v>2123</v>
      </c>
      <c r="B2127" s="4" t="inlineStr">
        <is>
          <t>yes</t>
        </is>
      </c>
      <c r="C2127" s="4" t="inlineStr">
        <is>
          <t>Engelssiepen</t>
        </is>
      </c>
      <c r="D2127" s="4" t="inlineStr">
        <is>
          <t>25</t>
        </is>
      </c>
      <c r="E2127" s="13" t="n">
        <v>58.8</v>
      </c>
      <c r="F2127" s="12" t="n">
        <v>0</v>
      </c>
      <c r="G2127" s="4" t="n">
        <v>0</v>
      </c>
      <c r="H2127" s="4">
        <f>IF(OR(N(F2127)&gt;=0.5,G2127&gt;=4),3,IF(OR(N(F2127)&gt;=0.3,G2127=3),2,IF(OR(N(F2127)&gt;=0.1,G2127&gt;=1),1,0)))</f>
        <v/>
      </c>
      <c r="I2127" s="4">
        <f>CHOOSE(H2127+1,"Kein Risiko","Gering","Mittel","Hoch")</f>
        <v/>
      </c>
    </row>
    <row r="2128">
      <c r="A2128" s="4" t="n">
        <v>2124</v>
      </c>
      <c r="B2128" s="4" t="inlineStr">
        <is>
          <t>yes</t>
        </is>
      </c>
      <c r="C2128" s="4" t="inlineStr">
        <is>
          <t>Scharpenhang</t>
        </is>
      </c>
      <c r="D2128" s="4" t="inlineStr">
        <is>
          <t>25</t>
        </is>
      </c>
      <c r="E2128" s="13" t="n">
        <v>100.1</v>
      </c>
      <c r="F2128" s="12" t="n">
        <v>0.5800018310546875</v>
      </c>
      <c r="G2128" s="4" t="n">
        <v>1</v>
      </c>
      <c r="H2128" s="4">
        <f>IF(OR(N(F2128)&gt;=0.5,G2128&gt;=4),3,IF(OR(N(F2128)&gt;=0.3,G2128=3),2,IF(OR(N(F2128)&gt;=0.1,G2128&gt;=1),1,0)))</f>
        <v/>
      </c>
      <c r="I2128" s="4">
        <f>CHOOSE(H2128+1,"Kein Risiko","Gering","Mittel","Hoch")</f>
        <v/>
      </c>
    </row>
    <row r="2129">
      <c r="A2129" s="4" t="n">
        <v>2125</v>
      </c>
      <c r="B2129" s="4" t="inlineStr">
        <is>
          <t>house</t>
        </is>
      </c>
      <c r="C2129" s="4" t="inlineStr">
        <is>
          <t>Brackmannhang</t>
        </is>
      </c>
      <c r="D2129" s="4" t="inlineStr">
        <is>
          <t>26</t>
        </is>
      </c>
      <c r="E2129" s="13" t="n">
        <v>102.8</v>
      </c>
      <c r="F2129" s="12" t="n">
        <v>0.010009765625</v>
      </c>
      <c r="G2129" s="4" t="n">
        <v>0</v>
      </c>
      <c r="H2129" s="4">
        <f>IF(OR(N(F2129)&gt;=0.5,G2129&gt;=4),3,IF(OR(N(F2129)&gt;=0.3,G2129=3),2,IF(OR(N(F2129)&gt;=0.1,G2129&gt;=1),1,0)))</f>
        <v/>
      </c>
      <c r="I2129" s="4">
        <f>CHOOSE(H2129+1,"Kein Risiko","Gering","Mittel","Hoch")</f>
        <v/>
      </c>
    </row>
    <row r="2130">
      <c r="A2130" s="4" t="n">
        <v>2126</v>
      </c>
      <c r="B2130" s="4" t="inlineStr">
        <is>
          <t>yes</t>
        </is>
      </c>
      <c r="C2130" s="4" t="inlineStr">
        <is>
          <t>Scharpenhang</t>
        </is>
      </c>
      <c r="D2130" s="4" t="inlineStr">
        <is>
          <t>26</t>
        </is>
      </c>
      <c r="E2130" s="13" t="n">
        <v>94.90000000000001</v>
      </c>
      <c r="F2130" s="12" t="n">
        <v>0.029998779296875</v>
      </c>
      <c r="G2130" s="4" t="n">
        <v>1</v>
      </c>
      <c r="H2130" s="4">
        <f>IF(OR(N(F2130)&gt;=0.5,G2130&gt;=4),3,IF(OR(N(F2130)&gt;=0.3,G2130=3),2,IF(OR(N(F2130)&gt;=0.1,G2130&gt;=1),1,0)))</f>
        <v/>
      </c>
      <c r="I2130" s="4">
        <f>CHOOSE(H2130+1,"Kein Risiko","Gering","Mittel","Hoch")</f>
        <v/>
      </c>
    </row>
    <row r="2131">
      <c r="A2131" s="4" t="n">
        <v>2127</v>
      </c>
      <c r="B2131" s="4" t="inlineStr">
        <is>
          <t>yes</t>
        </is>
      </c>
      <c r="C2131" s="4" t="inlineStr">
        <is>
          <t>Engelssiepen</t>
        </is>
      </c>
      <c r="D2131" s="4" t="inlineStr">
        <is>
          <t>27</t>
        </is>
      </c>
      <c r="E2131" s="13" t="n">
        <v>58.8</v>
      </c>
      <c r="F2131" s="12" t="n">
        <v>0.0800018310546875</v>
      </c>
      <c r="G2131" s="4" t="n">
        <v>0</v>
      </c>
      <c r="H2131" s="4">
        <f>IF(OR(N(F2131)&gt;=0.5,G2131&gt;=4),3,IF(OR(N(F2131)&gt;=0.3,G2131=3),2,IF(OR(N(F2131)&gt;=0.1,G2131&gt;=1),1,0)))</f>
        <v/>
      </c>
      <c r="I2131" s="4">
        <f>CHOOSE(H2131+1,"Kein Risiko","Gering","Mittel","Hoch")</f>
        <v/>
      </c>
    </row>
    <row r="2132">
      <c r="A2132" s="4" t="n">
        <v>2128</v>
      </c>
      <c r="B2132" s="4" t="inlineStr">
        <is>
          <t>yes</t>
        </is>
      </c>
      <c r="C2132" s="4" t="inlineStr">
        <is>
          <t>Niederweniger Straße</t>
        </is>
      </c>
      <c r="D2132" s="4" t="inlineStr">
        <is>
          <t>27</t>
        </is>
      </c>
      <c r="E2132" s="13" t="n">
        <v>81</v>
      </c>
      <c r="F2132" s="12" t="n">
        <v>0</v>
      </c>
      <c r="G2132" s="4" t="n">
        <v>0</v>
      </c>
      <c r="H2132" s="4">
        <f>IF(OR(N(F2132)&gt;=0.5,G2132&gt;=4),3,IF(OR(N(F2132)&gt;=0.3,G2132=3),2,IF(OR(N(F2132)&gt;=0.1,G2132&gt;=1),1,0)))</f>
        <v/>
      </c>
      <c r="I2132" s="4">
        <f>CHOOSE(H2132+1,"Kein Risiko","Gering","Mittel","Hoch")</f>
        <v/>
      </c>
    </row>
    <row r="2133">
      <c r="A2133" s="4" t="n">
        <v>2129</v>
      </c>
      <c r="B2133" s="4" t="inlineStr">
        <is>
          <t>yes</t>
        </is>
      </c>
      <c r="C2133" s="4" t="inlineStr">
        <is>
          <t>Bovermanns Weg</t>
        </is>
      </c>
      <c r="D2133" s="4" t="inlineStr">
        <is>
          <t>27a</t>
        </is>
      </c>
      <c r="E2133" s="13" t="n">
        <v>92.59999999999999</v>
      </c>
      <c r="F2133" s="12" t="n">
        <v>0</v>
      </c>
      <c r="G2133" s="4" t="n">
        <v>0</v>
      </c>
      <c r="H2133" s="4">
        <f>IF(OR(N(F2133)&gt;=0.5,G2133&gt;=4),3,IF(OR(N(F2133)&gt;=0.3,G2133=3),2,IF(OR(N(F2133)&gt;=0.1,G2133&gt;=1),1,0)))</f>
        <v/>
      </c>
      <c r="I2133" s="4">
        <f>CHOOSE(H2133+1,"Kein Risiko","Gering","Mittel","Hoch")</f>
        <v/>
      </c>
    </row>
    <row r="2134">
      <c r="A2134" s="4" t="n">
        <v>2130</v>
      </c>
      <c r="B2134" s="4" t="inlineStr">
        <is>
          <t>yes</t>
        </is>
      </c>
      <c r="C2134" s="4" t="inlineStr">
        <is>
          <t>Bovermanns Weg</t>
        </is>
      </c>
      <c r="D2134" s="4" t="inlineStr">
        <is>
          <t>28</t>
        </is>
      </c>
      <c r="E2134" s="13" t="n">
        <v>169.6</v>
      </c>
      <c r="F2134" s="12" t="n">
        <v>0.029998779296875</v>
      </c>
      <c r="G2134" s="4" t="n">
        <v>0</v>
      </c>
      <c r="H2134" s="4">
        <f>IF(OR(N(F2134)&gt;=0.5,G2134&gt;=4),3,IF(OR(N(F2134)&gt;=0.3,G2134=3),2,IF(OR(N(F2134)&gt;=0.1,G2134&gt;=1),1,0)))</f>
        <v/>
      </c>
      <c r="I2134" s="4">
        <f>CHOOSE(H2134+1,"Kein Risiko","Gering","Mittel","Hoch")</f>
        <v/>
      </c>
    </row>
    <row r="2135">
      <c r="A2135" s="4" t="n">
        <v>2131</v>
      </c>
      <c r="B2135" s="4" t="inlineStr">
        <is>
          <t>house</t>
        </is>
      </c>
      <c r="C2135" s="4" t="inlineStr">
        <is>
          <t>Brackmannhang</t>
        </is>
      </c>
      <c r="D2135" s="4" t="inlineStr">
        <is>
          <t>28</t>
        </is>
      </c>
      <c r="E2135" s="13" t="n">
        <v>102.8</v>
      </c>
      <c r="F2135" s="12" t="n">
        <v>0</v>
      </c>
      <c r="G2135" s="4" t="n">
        <v>0</v>
      </c>
      <c r="H2135" s="4">
        <f>IF(OR(N(F2135)&gt;=0.5,G2135&gt;=4),3,IF(OR(N(F2135)&gt;=0.3,G2135=3),2,IF(OR(N(F2135)&gt;=0.1,G2135&gt;=1),1,0)))</f>
        <v/>
      </c>
      <c r="I2135" s="4">
        <f>CHOOSE(H2135+1,"Kein Risiko","Gering","Mittel","Hoch")</f>
        <v/>
      </c>
    </row>
    <row r="2136">
      <c r="A2136" s="4" t="n">
        <v>2132</v>
      </c>
      <c r="B2136" s="4" t="inlineStr">
        <is>
          <t>yes</t>
        </is>
      </c>
      <c r="C2136" s="4" t="inlineStr">
        <is>
          <t>Bovermanns Weg</t>
        </is>
      </c>
      <c r="D2136" s="4" t="inlineStr">
        <is>
          <t>29</t>
        </is>
      </c>
      <c r="E2136" s="13" t="n">
        <v>68.3</v>
      </c>
      <c r="F2136" s="12" t="n">
        <v>0</v>
      </c>
      <c r="G2136" s="4" t="n">
        <v>0</v>
      </c>
      <c r="H2136" s="4">
        <f>IF(OR(N(F2136)&gt;=0.5,G2136&gt;=4),3,IF(OR(N(F2136)&gt;=0.3,G2136=3),2,IF(OR(N(F2136)&gt;=0.1,G2136&gt;=1),1,0)))</f>
        <v/>
      </c>
      <c r="I2136" s="4">
        <f>CHOOSE(H2136+1,"Kein Risiko","Gering","Mittel","Hoch")</f>
        <v/>
      </c>
    </row>
    <row r="2137">
      <c r="A2137" s="4" t="n">
        <v>2133</v>
      </c>
      <c r="B2137" s="4" t="inlineStr">
        <is>
          <t>yes</t>
        </is>
      </c>
      <c r="C2137" s="4" t="inlineStr">
        <is>
          <t>Scharpenhang</t>
        </is>
      </c>
      <c r="D2137" s="4" t="inlineStr">
        <is>
          <t>29</t>
        </is>
      </c>
      <c r="E2137" s="13" t="n">
        <v>84.90000000000001</v>
      </c>
      <c r="F2137" s="12" t="n">
        <v>0.04999542236328125</v>
      </c>
      <c r="G2137" s="4" t="n">
        <v>0</v>
      </c>
      <c r="H2137" s="4">
        <f>IF(OR(N(F2137)&gt;=0.5,G2137&gt;=4),3,IF(OR(N(F2137)&gt;=0.3,G2137=3),2,IF(OR(N(F2137)&gt;=0.1,G2137&gt;=1),1,0)))</f>
        <v/>
      </c>
      <c r="I2137" s="4">
        <f>CHOOSE(H2137+1,"Kein Risiko","Gering","Mittel","Hoch")</f>
        <v/>
      </c>
    </row>
    <row r="2138">
      <c r="A2138" s="4" t="n">
        <v>2134</v>
      </c>
      <c r="B2138" s="4" t="inlineStr">
        <is>
          <t>apartments</t>
        </is>
      </c>
      <c r="C2138" s="4" t="inlineStr">
        <is>
          <t>Breddebuschhang</t>
        </is>
      </c>
      <c r="D2138" s="4" t="inlineStr">
        <is>
          <t>3</t>
        </is>
      </c>
      <c r="E2138" s="13" t="n">
        <v>106.2</v>
      </c>
      <c r="F2138" s="12" t="n">
        <v>0</v>
      </c>
      <c r="G2138" s="4" t="n">
        <v>1</v>
      </c>
      <c r="H2138" s="4">
        <f>IF(OR(N(F2138)&gt;=0.5,G2138&gt;=4),3,IF(OR(N(F2138)&gt;=0.3,G2138=3),2,IF(OR(N(F2138)&gt;=0.1,G2138&gt;=1),1,0)))</f>
        <v/>
      </c>
      <c r="I2138" s="4">
        <f>CHOOSE(H2138+1,"Kein Risiko","Gering","Mittel","Hoch")</f>
        <v/>
      </c>
    </row>
    <row r="2139">
      <c r="A2139" s="4" t="n">
        <v>2135</v>
      </c>
      <c r="B2139" s="4" t="inlineStr">
        <is>
          <t>yes</t>
        </is>
      </c>
      <c r="C2139" s="4" t="inlineStr">
        <is>
          <t>Hirtental</t>
        </is>
      </c>
      <c r="D2139" s="4" t="inlineStr">
        <is>
          <t>3</t>
        </is>
      </c>
      <c r="E2139" s="13" t="n">
        <v>113.1</v>
      </c>
      <c r="F2139" s="12" t="n">
        <v>1.129997253417969</v>
      </c>
      <c r="G2139" s="4" t="n">
        <v>2</v>
      </c>
      <c r="H2139" s="4">
        <f>IF(OR(N(F2139)&gt;=0.5,G2139&gt;=4),3,IF(OR(N(F2139)&gt;=0.3,G2139=3),2,IF(OR(N(F2139)&gt;=0.1,G2139&gt;=1),1,0)))</f>
        <v/>
      </c>
      <c r="I2139" s="4">
        <f>CHOOSE(H2139+1,"Kein Risiko","Gering","Mittel","Hoch")</f>
        <v/>
      </c>
    </row>
    <row r="2140">
      <c r="A2140" s="4" t="n">
        <v>2136</v>
      </c>
      <c r="B2140" s="4" t="inlineStr">
        <is>
          <t>yes</t>
        </is>
      </c>
      <c r="C2140" s="4" t="inlineStr">
        <is>
          <t>Marienbergstraße</t>
        </is>
      </c>
      <c r="D2140" s="4" t="inlineStr">
        <is>
          <t>3</t>
        </is>
      </c>
      <c r="E2140" s="13" t="n">
        <v>100</v>
      </c>
      <c r="F2140" s="12" t="n">
        <v>0.0099945068359375</v>
      </c>
      <c r="G2140" s="4" t="n">
        <v>0</v>
      </c>
      <c r="H2140" s="4">
        <f>IF(OR(N(F2140)&gt;=0.5,G2140&gt;=4),3,IF(OR(N(F2140)&gt;=0.3,G2140=3),2,IF(OR(N(F2140)&gt;=0.1,G2140&gt;=1),1,0)))</f>
        <v/>
      </c>
      <c r="I2140" s="4">
        <f>CHOOSE(H2140+1,"Kein Risiko","Gering","Mittel","Hoch")</f>
        <v/>
      </c>
    </row>
    <row r="2141">
      <c r="A2141" s="4" t="n">
        <v>2137</v>
      </c>
      <c r="B2141" s="4" t="inlineStr">
        <is>
          <t>yes</t>
        </is>
      </c>
      <c r="C2141" s="4" t="inlineStr">
        <is>
          <t>Bovermanns Weg</t>
        </is>
      </c>
      <c r="D2141" s="4" t="inlineStr">
        <is>
          <t>30</t>
        </is>
      </c>
      <c r="E2141" s="13" t="n">
        <v>169.6</v>
      </c>
      <c r="F2141" s="12" t="n">
        <v>0.0099945068359375</v>
      </c>
      <c r="G2141" s="4" t="n">
        <v>0</v>
      </c>
      <c r="H2141" s="4">
        <f>IF(OR(N(F2141)&gt;=0.5,G2141&gt;=4),3,IF(OR(N(F2141)&gt;=0.3,G2141=3),2,IF(OR(N(F2141)&gt;=0.1,G2141&gt;=1),1,0)))</f>
        <v/>
      </c>
      <c r="I2141" s="4">
        <f>CHOOSE(H2141+1,"Kein Risiko","Gering","Mittel","Hoch")</f>
        <v/>
      </c>
    </row>
    <row r="2142">
      <c r="A2142" s="4" t="n">
        <v>2138</v>
      </c>
      <c r="B2142" s="4" t="inlineStr">
        <is>
          <t>residential</t>
        </is>
      </c>
      <c r="C2142" s="4" t="inlineStr">
        <is>
          <t>Hirtental</t>
        </is>
      </c>
      <c r="D2142" s="4" t="inlineStr">
        <is>
          <t>30</t>
        </is>
      </c>
      <c r="E2142" s="13" t="n">
        <v>48.2</v>
      </c>
      <c r="F2142" s="12" t="n">
        <v>0.0099945068359375</v>
      </c>
      <c r="G2142" s="4" t="n">
        <v>0</v>
      </c>
      <c r="H2142" s="4">
        <f>IF(OR(N(F2142)&gt;=0.5,G2142&gt;=4),3,IF(OR(N(F2142)&gt;=0.3,G2142=3),2,IF(OR(N(F2142)&gt;=0.1,G2142&gt;=1),1,0)))</f>
        <v/>
      </c>
      <c r="I2142" s="4">
        <f>CHOOSE(H2142+1,"Kein Risiko","Gering","Mittel","Hoch")</f>
        <v/>
      </c>
    </row>
    <row r="2143">
      <c r="A2143" s="4" t="n">
        <v>2139</v>
      </c>
      <c r="B2143" s="4" t="inlineStr">
        <is>
          <t>yes</t>
        </is>
      </c>
      <c r="C2143" s="4" t="inlineStr">
        <is>
          <t>Scharpenhang</t>
        </is>
      </c>
      <c r="D2143" s="4" t="inlineStr">
        <is>
          <t>30</t>
        </is>
      </c>
      <c r="E2143" s="13" t="n">
        <v>61.8</v>
      </c>
      <c r="F2143" s="12" t="n">
        <v>0</v>
      </c>
      <c r="G2143" s="4" t="n">
        <v>0</v>
      </c>
      <c r="H2143" s="4">
        <f>IF(OR(N(F2143)&gt;=0.5,G2143&gt;=4),3,IF(OR(N(F2143)&gt;=0.3,G2143=3),2,IF(OR(N(F2143)&gt;=0.1,G2143&gt;=1),1,0)))</f>
        <v/>
      </c>
      <c r="I2143" s="4">
        <f>CHOOSE(H2143+1,"Kein Risiko","Gering","Mittel","Hoch")</f>
        <v/>
      </c>
    </row>
    <row r="2144">
      <c r="A2144" s="4" t="n">
        <v>2140</v>
      </c>
      <c r="B2144" s="4" t="inlineStr">
        <is>
          <t>yes</t>
        </is>
      </c>
      <c r="C2144" s="4" t="inlineStr">
        <is>
          <t>Schliepersberg</t>
        </is>
      </c>
      <c r="D2144" s="4" t="inlineStr">
        <is>
          <t>30a</t>
        </is>
      </c>
      <c r="E2144" s="13" t="n">
        <v>117.8</v>
      </c>
      <c r="F2144" s="12" t="n">
        <v>0</v>
      </c>
      <c r="G2144" s="4" t="n">
        <v>0</v>
      </c>
      <c r="H2144" s="4">
        <f>IF(OR(N(F2144)&gt;=0.5,G2144&gt;=4),3,IF(OR(N(F2144)&gt;=0.3,G2144=3),2,IF(OR(N(F2144)&gt;=0.1,G2144&gt;=1),1,0)))</f>
        <v/>
      </c>
      <c r="I2144" s="4">
        <f>CHOOSE(H2144+1,"Kein Risiko","Gering","Mittel","Hoch")</f>
        <v/>
      </c>
    </row>
    <row r="2145">
      <c r="A2145" s="4" t="n">
        <v>2141</v>
      </c>
      <c r="B2145" s="4" t="inlineStr">
        <is>
          <t>yes</t>
        </is>
      </c>
      <c r="C2145" s="4" t="inlineStr">
        <is>
          <t>An den Friedhöfen</t>
        </is>
      </c>
      <c r="D2145" s="4" t="inlineStr">
        <is>
          <t>31</t>
        </is>
      </c>
      <c r="E2145" s="13" t="n">
        <v>89.09999999999999</v>
      </c>
      <c r="F2145" s="12" t="n">
        <v>0.06999969482421875</v>
      </c>
      <c r="G2145" s="4" t="n">
        <v>0</v>
      </c>
      <c r="H2145" s="4">
        <f>IF(OR(N(F2145)&gt;=0.5,G2145&gt;=4),3,IF(OR(N(F2145)&gt;=0.3,G2145=3),2,IF(OR(N(F2145)&gt;=0.1,G2145&gt;=1),1,0)))</f>
        <v/>
      </c>
      <c r="I2145" s="4">
        <f>CHOOSE(H2145+1,"Kein Risiko","Gering","Mittel","Hoch")</f>
        <v/>
      </c>
    </row>
    <row r="2146">
      <c r="A2146" s="4" t="n">
        <v>2142</v>
      </c>
      <c r="B2146" s="4" t="inlineStr">
        <is>
          <t>yes</t>
        </is>
      </c>
      <c r="C2146" s="4" t="inlineStr">
        <is>
          <t>Schliepersberg</t>
        </is>
      </c>
      <c r="D2146" s="4" t="inlineStr">
        <is>
          <t>32a</t>
        </is>
      </c>
      <c r="E2146" s="13" t="n">
        <v>132</v>
      </c>
      <c r="F2146" s="12" t="n">
        <v>0.0900115966796875</v>
      </c>
      <c r="G2146" s="4" t="n">
        <v>0</v>
      </c>
      <c r="H2146" s="4">
        <f>IF(OR(N(F2146)&gt;=0.5,G2146&gt;=4),3,IF(OR(N(F2146)&gt;=0.3,G2146=3),2,IF(OR(N(F2146)&gt;=0.1,G2146&gt;=1),1,0)))</f>
        <v/>
      </c>
      <c r="I2146" s="4">
        <f>CHOOSE(H2146+1,"Kein Risiko","Gering","Mittel","Hoch")</f>
        <v/>
      </c>
    </row>
    <row r="2147">
      <c r="A2147" s="4" t="n">
        <v>2143</v>
      </c>
      <c r="B2147" s="4" t="inlineStr">
        <is>
          <t>residential</t>
        </is>
      </c>
      <c r="C2147" s="4" t="inlineStr"/>
      <c r="D2147" s="4" t="inlineStr"/>
      <c r="E2147" s="13" t="n">
        <v>126.8</v>
      </c>
      <c r="F2147" s="12" t="n"/>
      <c r="G2147" s="4" t="n">
        <v>0</v>
      </c>
      <c r="H2147" s="4">
        <f>IF(OR(N(F2147)&gt;=0.5,G2147&gt;=4),3,IF(OR(N(F2147)&gt;=0.3,G2147=3),2,IF(OR(N(F2147)&gt;=0.1,G2147&gt;=1),1,0)))</f>
        <v/>
      </c>
      <c r="I2147" s="4">
        <f>CHOOSE(H2147+1,"Kein Risiko","Gering","Mittel","Hoch")</f>
        <v/>
      </c>
    </row>
    <row r="2148">
      <c r="A2148" s="4" t="n">
        <v>2144</v>
      </c>
      <c r="B2148" s="4" t="inlineStr">
        <is>
          <t>yes</t>
        </is>
      </c>
      <c r="C2148" s="4" t="inlineStr">
        <is>
          <t>Provesthöhe</t>
        </is>
      </c>
      <c r="D2148" s="4" t="inlineStr">
        <is>
          <t>33</t>
        </is>
      </c>
      <c r="E2148" s="13" t="n">
        <v>56.9</v>
      </c>
      <c r="F2148" s="12" t="n">
        <v>0.3199996948242188</v>
      </c>
      <c r="G2148" s="4" t="n">
        <v>2</v>
      </c>
      <c r="H2148" s="4">
        <f>IF(OR(N(F2148)&gt;=0.5,G2148&gt;=4),3,IF(OR(N(F2148)&gt;=0.3,G2148=3),2,IF(OR(N(F2148)&gt;=0.1,G2148&gt;=1),1,0)))</f>
        <v/>
      </c>
      <c r="I2148" s="4">
        <f>CHOOSE(H2148+1,"Kein Risiko","Gering","Mittel","Hoch")</f>
        <v/>
      </c>
    </row>
    <row r="2149">
      <c r="A2149" s="4" t="n">
        <v>2145</v>
      </c>
      <c r="B2149" s="4" t="inlineStr">
        <is>
          <t>yes</t>
        </is>
      </c>
      <c r="C2149" s="4" t="inlineStr">
        <is>
          <t>Engelssiepen</t>
        </is>
      </c>
      <c r="D2149" s="4" t="inlineStr">
        <is>
          <t>33</t>
        </is>
      </c>
      <c r="E2149" s="13" t="n">
        <v>116.4</v>
      </c>
      <c r="F2149" s="12" t="n">
        <v>0.06000518798828125</v>
      </c>
      <c r="G2149" s="4" t="n">
        <v>0</v>
      </c>
      <c r="H2149" s="4">
        <f>IF(OR(N(F2149)&gt;=0.5,G2149&gt;=4),3,IF(OR(N(F2149)&gt;=0.3,G2149=3),2,IF(OR(N(F2149)&gt;=0.1,G2149&gt;=1),1,0)))</f>
        <v/>
      </c>
      <c r="I2149" s="4">
        <f>CHOOSE(H2149+1,"Kein Risiko","Gering","Mittel","Hoch")</f>
        <v/>
      </c>
    </row>
    <row r="2150">
      <c r="A2150" s="4" t="n">
        <v>2146</v>
      </c>
      <c r="B2150" s="4" t="inlineStr">
        <is>
          <t>yes</t>
        </is>
      </c>
      <c r="C2150" s="4" t="inlineStr">
        <is>
          <t>Provesthöhe</t>
        </is>
      </c>
      <c r="D2150" s="4" t="inlineStr">
        <is>
          <t>34</t>
        </is>
      </c>
      <c r="E2150" s="13" t="n">
        <v>54.3</v>
      </c>
      <c r="F2150" s="12" t="n">
        <v>0</v>
      </c>
      <c r="G2150" s="4" t="n">
        <v>1</v>
      </c>
      <c r="H2150" s="4">
        <f>IF(OR(N(F2150)&gt;=0.5,G2150&gt;=4),3,IF(OR(N(F2150)&gt;=0.3,G2150=3),2,IF(OR(N(F2150)&gt;=0.1,G2150&gt;=1),1,0)))</f>
        <v/>
      </c>
      <c r="I2150" s="4">
        <f>CHOOSE(H2150+1,"Kein Risiko","Gering","Mittel","Hoch")</f>
        <v/>
      </c>
    </row>
    <row r="2151">
      <c r="A2151" s="4" t="n">
        <v>2147</v>
      </c>
      <c r="B2151" s="4" t="inlineStr">
        <is>
          <t>yes</t>
        </is>
      </c>
      <c r="C2151" s="4" t="inlineStr">
        <is>
          <t>Bovermanns Weg</t>
        </is>
      </c>
      <c r="D2151" s="4" t="inlineStr">
        <is>
          <t>34</t>
        </is>
      </c>
      <c r="E2151" s="13" t="n">
        <v>103.9</v>
      </c>
      <c r="F2151" s="12" t="n">
        <v>0.01000213623046875</v>
      </c>
      <c r="G2151" s="4" t="n">
        <v>1</v>
      </c>
      <c r="H2151" s="4">
        <f>IF(OR(N(F2151)&gt;=0.5,G2151&gt;=4),3,IF(OR(N(F2151)&gt;=0.3,G2151=3),2,IF(OR(N(F2151)&gt;=0.1,G2151&gt;=1),1,0)))</f>
        <v/>
      </c>
      <c r="I2151" s="4">
        <f>CHOOSE(H2151+1,"Kein Risiko","Gering","Mittel","Hoch")</f>
        <v/>
      </c>
    </row>
    <row r="2152">
      <c r="A2152" s="4" t="n">
        <v>2148</v>
      </c>
      <c r="B2152" s="4" t="inlineStr">
        <is>
          <t>yes</t>
        </is>
      </c>
      <c r="C2152" s="4" t="inlineStr">
        <is>
          <t>Schliepersberg</t>
        </is>
      </c>
      <c r="D2152" s="4" t="inlineStr">
        <is>
          <t>34a</t>
        </is>
      </c>
      <c r="E2152" s="13" t="n">
        <v>108.1</v>
      </c>
      <c r="F2152" s="12" t="n">
        <v>0</v>
      </c>
      <c r="G2152" s="4" t="n">
        <v>0</v>
      </c>
      <c r="H2152" s="4">
        <f>IF(OR(N(F2152)&gt;=0.5,G2152&gt;=4),3,IF(OR(N(F2152)&gt;=0.3,G2152=3),2,IF(OR(N(F2152)&gt;=0.1,G2152&gt;=1),1,0)))</f>
        <v/>
      </c>
      <c r="I2152" s="4">
        <f>CHOOSE(H2152+1,"Kein Risiko","Gering","Mittel","Hoch")</f>
        <v/>
      </c>
    </row>
    <row r="2153">
      <c r="A2153" s="4" t="n">
        <v>2149</v>
      </c>
      <c r="B2153" s="4" t="inlineStr">
        <is>
          <t>yes</t>
        </is>
      </c>
      <c r="C2153" s="4" t="inlineStr">
        <is>
          <t>Am Gerichtshaus</t>
        </is>
      </c>
      <c r="D2153" s="4" t="inlineStr">
        <is>
          <t>35</t>
        </is>
      </c>
      <c r="E2153" s="13" t="n">
        <v>114.6</v>
      </c>
      <c r="F2153" s="12" t="n">
        <v>0</v>
      </c>
      <c r="G2153" s="4" t="n">
        <v>0</v>
      </c>
      <c r="H2153" s="4">
        <f>IF(OR(N(F2153)&gt;=0.5,G2153&gt;=4),3,IF(OR(N(F2153)&gt;=0.3,G2153=3),2,IF(OR(N(F2153)&gt;=0.1,G2153&gt;=1),1,0)))</f>
        <v/>
      </c>
      <c r="I2153" s="4">
        <f>CHOOSE(H2153+1,"Kein Risiko","Gering","Mittel","Hoch")</f>
        <v/>
      </c>
    </row>
    <row r="2154">
      <c r="A2154" s="4" t="n">
        <v>2150</v>
      </c>
      <c r="B2154" s="4" t="inlineStr">
        <is>
          <t>yes</t>
        </is>
      </c>
      <c r="C2154" s="4" t="inlineStr">
        <is>
          <t>Provesthöhe</t>
        </is>
      </c>
      <c r="D2154" s="4" t="inlineStr">
        <is>
          <t>35</t>
        </is>
      </c>
      <c r="E2154" s="13" t="n">
        <v>56.9</v>
      </c>
      <c r="F2154" s="12" t="n">
        <v>0</v>
      </c>
      <c r="G2154" s="4" t="n">
        <v>2</v>
      </c>
      <c r="H2154" s="4">
        <f>IF(OR(N(F2154)&gt;=0.5,G2154&gt;=4),3,IF(OR(N(F2154)&gt;=0.3,G2154=3),2,IF(OR(N(F2154)&gt;=0.1,G2154&gt;=1),1,0)))</f>
        <v/>
      </c>
      <c r="I2154" s="4">
        <f>CHOOSE(H2154+1,"Kein Risiko","Gering","Mittel","Hoch")</f>
        <v/>
      </c>
    </row>
    <row r="2155">
      <c r="A2155" s="4" t="n">
        <v>2151</v>
      </c>
      <c r="B2155" s="4" t="inlineStr">
        <is>
          <t>yes</t>
        </is>
      </c>
      <c r="C2155" s="4" t="inlineStr">
        <is>
          <t>Scharpenhang</t>
        </is>
      </c>
      <c r="D2155" s="4" t="inlineStr">
        <is>
          <t>35</t>
        </is>
      </c>
      <c r="E2155" s="13" t="n">
        <v>122.2</v>
      </c>
      <c r="F2155" s="12" t="n">
        <v>0.06999969482421875</v>
      </c>
      <c r="G2155" s="4" t="n">
        <v>1</v>
      </c>
      <c r="H2155" s="4">
        <f>IF(OR(N(F2155)&gt;=0.5,G2155&gt;=4),3,IF(OR(N(F2155)&gt;=0.3,G2155=3),2,IF(OR(N(F2155)&gt;=0.1,G2155&gt;=1),1,0)))</f>
        <v/>
      </c>
      <c r="I2155" s="4">
        <f>CHOOSE(H2155+1,"Kein Risiko","Gering","Mittel","Hoch")</f>
        <v/>
      </c>
    </row>
    <row r="2156">
      <c r="A2156" s="4" t="n">
        <v>2152</v>
      </c>
      <c r="B2156" s="4" t="inlineStr">
        <is>
          <t>yes</t>
        </is>
      </c>
      <c r="C2156" s="4" t="inlineStr">
        <is>
          <t>An den Friedhöfen</t>
        </is>
      </c>
      <c r="D2156" s="4" t="inlineStr">
        <is>
          <t>36</t>
        </is>
      </c>
      <c r="E2156" s="13" t="n">
        <v>73.40000000000001</v>
      </c>
      <c r="F2156" s="12" t="n">
        <v>0</v>
      </c>
      <c r="G2156" s="4" t="n">
        <v>0</v>
      </c>
      <c r="H2156" s="4">
        <f>IF(OR(N(F2156)&gt;=0.5,G2156&gt;=4),3,IF(OR(N(F2156)&gt;=0.3,G2156=3),2,IF(OR(N(F2156)&gt;=0.1,G2156&gt;=1),1,0)))</f>
        <v/>
      </c>
      <c r="I2156" s="4">
        <f>CHOOSE(H2156+1,"Kein Risiko","Gering","Mittel","Hoch")</f>
        <v/>
      </c>
    </row>
    <row r="2157">
      <c r="A2157" s="4" t="n">
        <v>2153</v>
      </c>
      <c r="B2157" s="4" t="inlineStr">
        <is>
          <t>yes</t>
        </is>
      </c>
      <c r="C2157" s="4" t="inlineStr">
        <is>
          <t>Provesthöhe</t>
        </is>
      </c>
      <c r="D2157" s="4" t="inlineStr">
        <is>
          <t>36</t>
        </is>
      </c>
      <c r="E2157" s="13" t="n">
        <v>54.3</v>
      </c>
      <c r="F2157" s="12" t="n">
        <v>0</v>
      </c>
      <c r="G2157" s="4" t="n">
        <v>0</v>
      </c>
      <c r="H2157" s="4">
        <f>IF(OR(N(F2157)&gt;=0.5,G2157&gt;=4),3,IF(OR(N(F2157)&gt;=0.3,G2157=3),2,IF(OR(N(F2157)&gt;=0.1,G2157&gt;=1),1,0)))</f>
        <v/>
      </c>
      <c r="I2157" s="4">
        <f>CHOOSE(H2157+1,"Kein Risiko","Gering","Mittel","Hoch")</f>
        <v/>
      </c>
    </row>
    <row r="2158">
      <c r="A2158" s="4" t="n">
        <v>2154</v>
      </c>
      <c r="B2158" s="4" t="inlineStr">
        <is>
          <t>yes</t>
        </is>
      </c>
      <c r="C2158" s="4" t="inlineStr">
        <is>
          <t>Am Gerichtshaus</t>
        </is>
      </c>
      <c r="D2158" s="4" t="inlineStr">
        <is>
          <t>37</t>
        </is>
      </c>
      <c r="E2158" s="13" t="n">
        <v>105.4</v>
      </c>
      <c r="F2158" s="12" t="n">
        <v>0</v>
      </c>
      <c r="G2158" s="4" t="n">
        <v>2</v>
      </c>
      <c r="H2158" s="4">
        <f>IF(OR(N(F2158)&gt;=0.5,G2158&gt;=4),3,IF(OR(N(F2158)&gt;=0.3,G2158=3),2,IF(OR(N(F2158)&gt;=0.1,G2158&gt;=1),1,0)))</f>
        <v/>
      </c>
      <c r="I2158" s="4">
        <f>CHOOSE(H2158+1,"Kein Risiko","Gering","Mittel","Hoch")</f>
        <v/>
      </c>
    </row>
    <row r="2159">
      <c r="A2159" s="4" t="n">
        <v>2155</v>
      </c>
      <c r="B2159" s="4" t="inlineStr">
        <is>
          <t>yes</t>
        </is>
      </c>
      <c r="C2159" s="4" t="inlineStr">
        <is>
          <t>Provesthöhe</t>
        </is>
      </c>
      <c r="D2159" s="4" t="inlineStr">
        <is>
          <t>37</t>
        </is>
      </c>
      <c r="E2159" s="13" t="n">
        <v>56.9</v>
      </c>
      <c r="F2159" s="12" t="n">
        <v>0</v>
      </c>
      <c r="G2159" s="4" t="n">
        <v>2</v>
      </c>
      <c r="H2159" s="4">
        <f>IF(OR(N(F2159)&gt;=0.5,G2159&gt;=4),3,IF(OR(N(F2159)&gt;=0.3,G2159=3),2,IF(OR(N(F2159)&gt;=0.1,G2159&gt;=1),1,0)))</f>
        <v/>
      </c>
      <c r="I2159" s="4">
        <f>CHOOSE(H2159+1,"Kein Risiko","Gering","Mittel","Hoch")</f>
        <v/>
      </c>
    </row>
    <row r="2160">
      <c r="A2160" s="4" t="n">
        <v>2156</v>
      </c>
      <c r="B2160" s="4" t="inlineStr">
        <is>
          <t>yes</t>
        </is>
      </c>
      <c r="C2160" s="4" t="inlineStr">
        <is>
          <t>Hirtental</t>
        </is>
      </c>
      <c r="D2160" s="4" t="inlineStr">
        <is>
          <t>37</t>
        </is>
      </c>
      <c r="E2160" s="13" t="n">
        <v>128.6</v>
      </c>
      <c r="F2160" s="12" t="n"/>
      <c r="G2160" s="4" t="n">
        <v>0</v>
      </c>
      <c r="H2160" s="4">
        <f>IF(OR(N(F2160)&gt;=0.5,G2160&gt;=4),3,IF(OR(N(F2160)&gt;=0.3,G2160=3),2,IF(OR(N(F2160)&gt;=0.1,G2160&gt;=1),1,0)))</f>
        <v/>
      </c>
      <c r="I2160" s="4">
        <f>CHOOSE(H2160+1,"Kein Risiko","Gering","Mittel","Hoch")</f>
        <v/>
      </c>
    </row>
    <row r="2161">
      <c r="A2161" s="4" t="n">
        <v>2157</v>
      </c>
      <c r="B2161" s="4" t="inlineStr">
        <is>
          <t>yes</t>
        </is>
      </c>
      <c r="C2161" s="4" t="inlineStr">
        <is>
          <t>Scharpenhang</t>
        </is>
      </c>
      <c r="D2161" s="4" t="inlineStr">
        <is>
          <t>37</t>
        </is>
      </c>
      <c r="E2161" s="13" t="n">
        <v>134.4</v>
      </c>
      <c r="F2161" s="12" t="n">
        <v>0.01000213623046875</v>
      </c>
      <c r="G2161" s="4" t="n">
        <v>0</v>
      </c>
      <c r="H2161" s="4">
        <f>IF(OR(N(F2161)&gt;=0.5,G2161&gt;=4),3,IF(OR(N(F2161)&gt;=0.3,G2161=3),2,IF(OR(N(F2161)&gt;=0.1,G2161&gt;=1),1,0)))</f>
        <v/>
      </c>
      <c r="I2161" s="4">
        <f>CHOOSE(H2161+1,"Kein Risiko","Gering","Mittel","Hoch")</f>
        <v/>
      </c>
    </row>
    <row r="2162">
      <c r="A2162" s="4" t="n">
        <v>2158</v>
      </c>
      <c r="B2162" s="4" t="inlineStr">
        <is>
          <t>yes</t>
        </is>
      </c>
      <c r="C2162" s="4" t="inlineStr">
        <is>
          <t>An den Friedhöfen</t>
        </is>
      </c>
      <c r="D2162" s="4" t="inlineStr">
        <is>
          <t>38</t>
        </is>
      </c>
      <c r="E2162" s="13" t="n">
        <v>90.2</v>
      </c>
      <c r="F2162" s="12" t="n">
        <v>0</v>
      </c>
      <c r="G2162" s="4" t="n">
        <v>0</v>
      </c>
      <c r="H2162" s="4">
        <f>IF(OR(N(F2162)&gt;=0.5,G2162&gt;=4),3,IF(OR(N(F2162)&gt;=0.3,G2162=3),2,IF(OR(N(F2162)&gt;=0.1,G2162&gt;=1),1,0)))</f>
        <v/>
      </c>
      <c r="I2162" s="4">
        <f>CHOOSE(H2162+1,"Kein Risiko","Gering","Mittel","Hoch")</f>
        <v/>
      </c>
    </row>
    <row r="2163">
      <c r="A2163" s="4" t="n">
        <v>2159</v>
      </c>
      <c r="B2163" s="4" t="inlineStr">
        <is>
          <t>yes</t>
        </is>
      </c>
      <c r="C2163" s="4" t="inlineStr">
        <is>
          <t>Provesthöhe</t>
        </is>
      </c>
      <c r="D2163" s="4" t="inlineStr">
        <is>
          <t>38</t>
        </is>
      </c>
      <c r="E2163" s="13" t="n">
        <v>54.2</v>
      </c>
      <c r="F2163" s="12" t="n">
        <v>0</v>
      </c>
      <c r="G2163" s="4" t="n">
        <v>0</v>
      </c>
      <c r="H2163" s="4">
        <f>IF(OR(N(F2163)&gt;=0.5,G2163&gt;=4),3,IF(OR(N(F2163)&gt;=0.3,G2163=3),2,IF(OR(N(F2163)&gt;=0.1,G2163&gt;=1),1,0)))</f>
        <v/>
      </c>
      <c r="I2163" s="4">
        <f>CHOOSE(H2163+1,"Kein Risiko","Gering","Mittel","Hoch")</f>
        <v/>
      </c>
    </row>
    <row r="2164">
      <c r="A2164" s="4" t="n">
        <v>2160</v>
      </c>
      <c r="B2164" s="4" t="inlineStr">
        <is>
          <t>yes</t>
        </is>
      </c>
      <c r="C2164" s="4" t="inlineStr">
        <is>
          <t>Am Gerichtshaus</t>
        </is>
      </c>
      <c r="D2164" s="4" t="inlineStr">
        <is>
          <t>39</t>
        </is>
      </c>
      <c r="E2164" s="13" t="n">
        <v>113</v>
      </c>
      <c r="F2164" s="12" t="n">
        <v>0.089996337890625</v>
      </c>
      <c r="G2164" s="4" t="n">
        <v>2</v>
      </c>
      <c r="H2164" s="4">
        <f>IF(OR(N(F2164)&gt;=0.5,G2164&gt;=4),3,IF(OR(N(F2164)&gt;=0.3,G2164=3),2,IF(OR(N(F2164)&gt;=0.1,G2164&gt;=1),1,0)))</f>
        <v/>
      </c>
      <c r="I2164" s="4">
        <f>CHOOSE(H2164+1,"Kein Risiko","Gering","Mittel","Hoch")</f>
        <v/>
      </c>
    </row>
    <row r="2165">
      <c r="A2165" s="4" t="n">
        <v>2161</v>
      </c>
      <c r="B2165" s="4" t="inlineStr">
        <is>
          <t>yes</t>
        </is>
      </c>
      <c r="C2165" s="4" t="inlineStr">
        <is>
          <t>Provesthöhe</t>
        </is>
      </c>
      <c r="D2165" s="4" t="inlineStr">
        <is>
          <t>39</t>
        </is>
      </c>
      <c r="E2165" s="13" t="n">
        <v>56.9</v>
      </c>
      <c r="F2165" s="12" t="n">
        <v>0.01999664306640625</v>
      </c>
      <c r="G2165" s="4" t="n">
        <v>2</v>
      </c>
      <c r="H2165" s="4">
        <f>IF(OR(N(F2165)&gt;=0.5,G2165&gt;=4),3,IF(OR(N(F2165)&gt;=0.3,G2165=3),2,IF(OR(N(F2165)&gt;=0.1,G2165&gt;=1),1,0)))</f>
        <v/>
      </c>
      <c r="I2165" s="4">
        <f>CHOOSE(H2165+1,"Kein Risiko","Gering","Mittel","Hoch")</f>
        <v/>
      </c>
    </row>
    <row r="2166">
      <c r="A2166" s="4" t="n">
        <v>2162</v>
      </c>
      <c r="B2166" s="4" t="inlineStr">
        <is>
          <t>yes</t>
        </is>
      </c>
      <c r="C2166" s="4" t="inlineStr">
        <is>
          <t>Marienbergstraße</t>
        </is>
      </c>
      <c r="D2166" s="4" t="inlineStr">
        <is>
          <t>4</t>
        </is>
      </c>
      <c r="E2166" s="13" t="n">
        <v>65.40000000000001</v>
      </c>
      <c r="F2166" s="12" t="n">
        <v>0.0099945068359375</v>
      </c>
      <c r="G2166" s="4" t="n">
        <v>0</v>
      </c>
      <c r="H2166" s="4">
        <f>IF(OR(N(F2166)&gt;=0.5,G2166&gt;=4),3,IF(OR(N(F2166)&gt;=0.3,G2166=3),2,IF(OR(N(F2166)&gt;=0.1,G2166&gt;=1),1,0)))</f>
        <v/>
      </c>
      <c r="I2166" s="4">
        <f>CHOOSE(H2166+1,"Kein Risiko","Gering","Mittel","Hoch")</f>
        <v/>
      </c>
    </row>
    <row r="2167">
      <c r="A2167" s="4" t="n">
        <v>2163</v>
      </c>
      <c r="B2167" s="4" t="inlineStr">
        <is>
          <t>house</t>
        </is>
      </c>
      <c r="C2167" s="4" t="inlineStr"/>
      <c r="D2167" s="4" t="inlineStr"/>
      <c r="E2167" s="13" t="n">
        <v>86.90000000000001</v>
      </c>
      <c r="F2167" s="12" t="n">
        <v>0.3899993896484375</v>
      </c>
      <c r="G2167" s="4" t="n">
        <v>0</v>
      </c>
      <c r="H2167" s="4">
        <f>IF(OR(N(F2167)&gt;=0.5,G2167&gt;=4),3,IF(OR(N(F2167)&gt;=0.3,G2167=3),2,IF(OR(N(F2167)&gt;=0.1,G2167&gt;=1),1,0)))</f>
        <v/>
      </c>
      <c r="I2167" s="4">
        <f>CHOOSE(H2167+1,"Kein Risiko","Gering","Mittel","Hoch")</f>
        <v/>
      </c>
    </row>
    <row r="2168">
      <c r="A2168" s="4" t="n">
        <v>2164</v>
      </c>
      <c r="B2168" s="4" t="inlineStr">
        <is>
          <t>yes</t>
        </is>
      </c>
      <c r="C2168" s="4" t="inlineStr">
        <is>
          <t>An den Friedhöfen</t>
        </is>
      </c>
      <c r="D2168" s="4" t="inlineStr">
        <is>
          <t>40</t>
        </is>
      </c>
      <c r="E2168" s="13" t="n">
        <v>64.7</v>
      </c>
      <c r="F2168" s="12" t="n">
        <v>0</v>
      </c>
      <c r="G2168" s="4" t="n">
        <v>0</v>
      </c>
      <c r="H2168" s="4">
        <f>IF(OR(N(F2168)&gt;=0.5,G2168&gt;=4),3,IF(OR(N(F2168)&gt;=0.3,G2168=3),2,IF(OR(N(F2168)&gt;=0.1,G2168&gt;=1),1,0)))</f>
        <v/>
      </c>
      <c r="I2168" s="4">
        <f>CHOOSE(H2168+1,"Kein Risiko","Gering","Mittel","Hoch")</f>
        <v/>
      </c>
    </row>
    <row r="2169">
      <c r="A2169" s="4" t="n">
        <v>2165</v>
      </c>
      <c r="B2169" s="4" t="inlineStr">
        <is>
          <t>yes</t>
        </is>
      </c>
      <c r="C2169" s="4" t="inlineStr">
        <is>
          <t>Provesthöhe</t>
        </is>
      </c>
      <c r="D2169" s="4" t="inlineStr">
        <is>
          <t>40</t>
        </is>
      </c>
      <c r="E2169" s="13" t="n">
        <v>54.3</v>
      </c>
      <c r="F2169" s="12" t="n">
        <v>0.05999755859375</v>
      </c>
      <c r="G2169" s="4" t="n">
        <v>0</v>
      </c>
      <c r="H2169" s="4">
        <f>IF(OR(N(F2169)&gt;=0.5,G2169&gt;=4),3,IF(OR(N(F2169)&gt;=0.3,G2169=3),2,IF(OR(N(F2169)&gt;=0.1,G2169&gt;=1),1,0)))</f>
        <v/>
      </c>
      <c r="I2169" s="4">
        <f>CHOOSE(H2169+1,"Kein Risiko","Gering","Mittel","Hoch")</f>
        <v/>
      </c>
    </row>
    <row r="2170">
      <c r="A2170" s="4" t="n">
        <v>2166</v>
      </c>
      <c r="B2170" s="4" t="inlineStr">
        <is>
          <t>yes</t>
        </is>
      </c>
      <c r="C2170" s="4" t="inlineStr">
        <is>
          <t>Bovermanns Weg</t>
        </is>
      </c>
      <c r="D2170" s="4" t="inlineStr">
        <is>
          <t>40</t>
        </is>
      </c>
      <c r="E2170" s="13" t="n">
        <v>291</v>
      </c>
      <c r="F2170" s="12" t="n">
        <v>0.01999664306640625</v>
      </c>
      <c r="G2170" s="4" t="n">
        <v>0</v>
      </c>
      <c r="H2170" s="4">
        <f>IF(OR(N(F2170)&gt;=0.5,G2170&gt;=4),3,IF(OR(N(F2170)&gt;=0.3,G2170=3),2,IF(OR(N(F2170)&gt;=0.1,G2170&gt;=1),1,0)))</f>
        <v/>
      </c>
      <c r="I2170" s="4">
        <f>CHOOSE(H2170+1,"Kein Risiko","Gering","Mittel","Hoch")</f>
        <v/>
      </c>
    </row>
    <row r="2171">
      <c r="A2171" s="4" t="n">
        <v>2167</v>
      </c>
      <c r="B2171" s="4" t="inlineStr">
        <is>
          <t>house</t>
        </is>
      </c>
      <c r="C2171" s="4" t="inlineStr">
        <is>
          <t>Am Gerichtshaus</t>
        </is>
      </c>
      <c r="D2171" s="4" t="inlineStr">
        <is>
          <t>42</t>
        </is>
      </c>
      <c r="E2171" s="13" t="n">
        <v>72.40000000000001</v>
      </c>
      <c r="F2171" s="12" t="n">
        <v>0.089996337890625</v>
      </c>
      <c r="G2171" s="4" t="n">
        <v>0</v>
      </c>
      <c r="H2171" s="4">
        <f>IF(OR(N(F2171)&gt;=0.5,G2171&gt;=4),3,IF(OR(N(F2171)&gt;=0.3,G2171=3),2,IF(OR(N(F2171)&gt;=0.1,G2171&gt;=1),1,0)))</f>
        <v/>
      </c>
      <c r="I2171" s="4">
        <f>CHOOSE(H2171+1,"Kein Risiko","Gering","Mittel","Hoch")</f>
        <v/>
      </c>
    </row>
    <row r="2172">
      <c r="A2172" s="4" t="n">
        <v>2168</v>
      </c>
      <c r="B2172" s="4" t="inlineStr">
        <is>
          <t>yes</t>
        </is>
      </c>
      <c r="C2172" s="4" t="inlineStr">
        <is>
          <t>An den Friedhöfen</t>
        </is>
      </c>
      <c r="D2172" s="4" t="inlineStr">
        <is>
          <t>42</t>
        </is>
      </c>
      <c r="E2172" s="13" t="n">
        <v>105.1</v>
      </c>
      <c r="F2172" s="12" t="n">
        <v>0</v>
      </c>
      <c r="G2172" s="4" t="n">
        <v>1</v>
      </c>
      <c r="H2172" s="4">
        <f>IF(OR(N(F2172)&gt;=0.5,G2172&gt;=4),3,IF(OR(N(F2172)&gt;=0.3,G2172=3),2,IF(OR(N(F2172)&gt;=0.1,G2172&gt;=1),1,0)))</f>
        <v/>
      </c>
      <c r="I2172" s="4">
        <f>CHOOSE(H2172+1,"Kein Risiko","Gering","Mittel","Hoch")</f>
        <v/>
      </c>
    </row>
    <row r="2173">
      <c r="A2173" s="4" t="n">
        <v>2169</v>
      </c>
      <c r="B2173" s="4" t="inlineStr">
        <is>
          <t>yes</t>
        </is>
      </c>
      <c r="C2173" s="4" t="inlineStr">
        <is>
          <t>Niederweniger Straße</t>
        </is>
      </c>
      <c r="D2173" s="4" t="inlineStr">
        <is>
          <t>42a</t>
        </is>
      </c>
      <c r="E2173" s="13" t="n">
        <v>140.6</v>
      </c>
      <c r="F2173" s="12" t="n">
        <v>0</v>
      </c>
      <c r="G2173" s="4" t="n">
        <v>4</v>
      </c>
      <c r="H2173" s="4">
        <f>IF(OR(N(F2173)&gt;=0.5,G2173&gt;=4),3,IF(OR(N(F2173)&gt;=0.3,G2173=3),2,IF(OR(N(F2173)&gt;=0.1,G2173&gt;=1),1,0)))</f>
        <v/>
      </c>
      <c r="I2173" s="4">
        <f>CHOOSE(H2173+1,"Kein Risiko","Gering","Mittel","Hoch")</f>
        <v/>
      </c>
    </row>
    <row r="2174">
      <c r="A2174" s="4" t="n">
        <v>2170</v>
      </c>
      <c r="B2174" s="4" t="inlineStr">
        <is>
          <t>yes</t>
        </is>
      </c>
      <c r="C2174" s="4" t="inlineStr">
        <is>
          <t>Am Gerichtshaus</t>
        </is>
      </c>
      <c r="D2174" s="4" t="inlineStr">
        <is>
          <t>43</t>
        </is>
      </c>
      <c r="E2174" s="13" t="n">
        <v>122.7</v>
      </c>
      <c r="F2174" s="12" t="n">
        <v>0.040008544921875</v>
      </c>
      <c r="G2174" s="4" t="n">
        <v>2</v>
      </c>
      <c r="H2174" s="4">
        <f>IF(OR(N(F2174)&gt;=0.5,G2174&gt;=4),3,IF(OR(N(F2174)&gt;=0.3,G2174=3),2,IF(OR(N(F2174)&gt;=0.1,G2174&gt;=1),1,0)))</f>
        <v/>
      </c>
      <c r="I2174" s="4">
        <f>CHOOSE(H2174+1,"Kein Risiko","Gering","Mittel","Hoch")</f>
        <v/>
      </c>
    </row>
    <row r="2175">
      <c r="A2175" s="4" t="n">
        <v>2171</v>
      </c>
      <c r="B2175" s="4" t="inlineStr">
        <is>
          <t>yes</t>
        </is>
      </c>
      <c r="C2175" s="4" t="inlineStr">
        <is>
          <t>Bovermanns Weg</t>
        </is>
      </c>
      <c r="D2175" s="4" t="inlineStr">
        <is>
          <t>44</t>
        </is>
      </c>
      <c r="E2175" s="13" t="n">
        <v>140.6</v>
      </c>
      <c r="F2175" s="12" t="n">
        <v>0.09999847412109375</v>
      </c>
      <c r="G2175" s="4" t="n">
        <v>0</v>
      </c>
      <c r="H2175" s="4">
        <f>IF(OR(N(F2175)&gt;=0.5,G2175&gt;=4),3,IF(OR(N(F2175)&gt;=0.3,G2175=3),2,IF(OR(N(F2175)&gt;=0.1,G2175&gt;=1),1,0)))</f>
        <v/>
      </c>
      <c r="I2175" s="4">
        <f>CHOOSE(H2175+1,"Kein Risiko","Gering","Mittel","Hoch")</f>
        <v/>
      </c>
    </row>
    <row r="2176">
      <c r="A2176" s="4" t="n">
        <v>2172</v>
      </c>
      <c r="B2176" s="4" t="inlineStr">
        <is>
          <t>apartments</t>
        </is>
      </c>
      <c r="C2176" s="4" t="inlineStr"/>
      <c r="D2176" s="4" t="inlineStr"/>
      <c r="E2176" s="13" t="n">
        <v>111.5</v>
      </c>
      <c r="F2176" s="12" t="n">
        <v>0.1500015258789062</v>
      </c>
      <c r="G2176" s="4" t="n">
        <v>0</v>
      </c>
      <c r="H2176" s="4">
        <f>IF(OR(N(F2176)&gt;=0.5,G2176&gt;=4),3,IF(OR(N(F2176)&gt;=0.3,G2176=3),2,IF(OR(N(F2176)&gt;=0.1,G2176&gt;=1),1,0)))</f>
        <v/>
      </c>
      <c r="I2176" s="4">
        <f>CHOOSE(H2176+1,"Kein Risiko","Gering","Mittel","Hoch")</f>
        <v/>
      </c>
    </row>
    <row r="2177">
      <c r="A2177" s="4" t="n">
        <v>2173</v>
      </c>
      <c r="B2177" s="4" t="inlineStr">
        <is>
          <t>house</t>
        </is>
      </c>
      <c r="C2177" s="4" t="inlineStr">
        <is>
          <t>Am Gerichtshaus</t>
        </is>
      </c>
      <c r="D2177" s="4" t="inlineStr">
        <is>
          <t>46</t>
        </is>
      </c>
      <c r="E2177" s="13" t="n">
        <v>70.8</v>
      </c>
      <c r="F2177" s="12" t="n">
        <v>0</v>
      </c>
      <c r="G2177" s="4" t="n">
        <v>0</v>
      </c>
      <c r="H2177" s="4">
        <f>IF(OR(N(F2177)&gt;=0.5,G2177&gt;=4),3,IF(OR(N(F2177)&gt;=0.3,G2177=3),2,IF(OR(N(F2177)&gt;=0.1,G2177&gt;=1),1,0)))</f>
        <v/>
      </c>
      <c r="I2177" s="4">
        <f>CHOOSE(H2177+1,"Kein Risiko","Gering","Mittel","Hoch")</f>
        <v/>
      </c>
    </row>
    <row r="2178">
      <c r="A2178" s="4" t="n">
        <v>2174</v>
      </c>
      <c r="B2178" s="4" t="inlineStr">
        <is>
          <t>yes</t>
        </is>
      </c>
      <c r="C2178" s="4" t="inlineStr">
        <is>
          <t>An den Friedhöfen</t>
        </is>
      </c>
      <c r="D2178" s="4" t="inlineStr">
        <is>
          <t>46</t>
        </is>
      </c>
      <c r="E2178" s="13" t="n">
        <v>73.3</v>
      </c>
      <c r="F2178" s="12" t="n">
        <v>0</v>
      </c>
      <c r="G2178" s="4" t="n">
        <v>0</v>
      </c>
      <c r="H2178" s="4">
        <f>IF(OR(N(F2178)&gt;=0.5,G2178&gt;=4),3,IF(OR(N(F2178)&gt;=0.3,G2178=3),2,IF(OR(N(F2178)&gt;=0.1,G2178&gt;=1),1,0)))</f>
        <v/>
      </c>
      <c r="I2178" s="4">
        <f>CHOOSE(H2178+1,"Kein Risiko","Gering","Mittel","Hoch")</f>
        <v/>
      </c>
    </row>
    <row r="2179">
      <c r="A2179" s="4" t="n">
        <v>2175</v>
      </c>
      <c r="B2179" s="4" t="inlineStr">
        <is>
          <t>yes</t>
        </is>
      </c>
      <c r="C2179" s="4" t="inlineStr">
        <is>
          <t>Niederweniger Straße</t>
        </is>
      </c>
      <c r="D2179" s="4" t="inlineStr">
        <is>
          <t>46</t>
        </is>
      </c>
      <c r="E2179" s="13" t="n">
        <v>90.90000000000001</v>
      </c>
      <c r="F2179" s="12" t="n">
        <v>0</v>
      </c>
      <c r="G2179" s="4" t="n">
        <v>1</v>
      </c>
      <c r="H2179" s="4">
        <f>IF(OR(N(F2179)&gt;=0.5,G2179&gt;=4),3,IF(OR(N(F2179)&gt;=0.3,G2179=3),2,IF(OR(N(F2179)&gt;=0.1,G2179&gt;=1),1,0)))</f>
        <v/>
      </c>
      <c r="I2179" s="4">
        <f>CHOOSE(H2179+1,"Kein Risiko","Gering","Mittel","Hoch")</f>
        <v/>
      </c>
    </row>
    <row r="2180">
      <c r="A2180" s="4" t="n">
        <v>2176</v>
      </c>
      <c r="B2180" s="4" t="inlineStr">
        <is>
          <t>apartments</t>
        </is>
      </c>
      <c r="C2180" s="4" t="inlineStr"/>
      <c r="D2180" s="4" t="inlineStr"/>
      <c r="E2180" s="13" t="n">
        <v>87.09999999999999</v>
      </c>
      <c r="F2180" s="12" t="n">
        <v>0</v>
      </c>
      <c r="G2180" s="4" t="n">
        <v>0</v>
      </c>
      <c r="H2180" s="4">
        <f>IF(OR(N(F2180)&gt;=0.5,G2180&gt;=4),3,IF(OR(N(F2180)&gt;=0.3,G2180=3),2,IF(OR(N(F2180)&gt;=0.1,G2180&gt;=1),1,0)))</f>
        <v/>
      </c>
      <c r="I2180" s="4">
        <f>CHOOSE(H2180+1,"Kein Risiko","Gering","Mittel","Hoch")</f>
        <v/>
      </c>
    </row>
    <row r="2181">
      <c r="A2181" s="4" t="n">
        <v>2177</v>
      </c>
      <c r="B2181" s="4" t="inlineStr">
        <is>
          <t>apartments</t>
        </is>
      </c>
      <c r="C2181" s="4" t="inlineStr"/>
      <c r="D2181" s="4" t="inlineStr"/>
      <c r="E2181" s="13" t="n">
        <v>86.2</v>
      </c>
      <c r="F2181" s="12" t="n">
        <v>0</v>
      </c>
      <c r="G2181" s="4" t="n">
        <v>0</v>
      </c>
      <c r="H2181" s="4">
        <f>IF(OR(N(F2181)&gt;=0.5,G2181&gt;=4),3,IF(OR(N(F2181)&gt;=0.3,G2181=3),2,IF(OR(N(F2181)&gt;=0.1,G2181&gt;=1),1,0)))</f>
        <v/>
      </c>
      <c r="I2181" s="4">
        <f>CHOOSE(H2181+1,"Kein Risiko","Gering","Mittel","Hoch")</f>
        <v/>
      </c>
    </row>
    <row r="2182">
      <c r="A2182" s="4" t="n">
        <v>2178</v>
      </c>
      <c r="B2182" s="4" t="inlineStr">
        <is>
          <t>yes</t>
        </is>
      </c>
      <c r="C2182" s="4" t="inlineStr">
        <is>
          <t>Hirtental</t>
        </is>
      </c>
      <c r="D2182" s="4" t="inlineStr">
        <is>
          <t>5</t>
        </is>
      </c>
      <c r="E2182" s="13" t="n">
        <v>247.8</v>
      </c>
      <c r="F2182" s="12" t="n">
        <v>1.839996337890625</v>
      </c>
      <c r="G2182" s="4" t="n">
        <v>4</v>
      </c>
      <c r="H2182" s="4">
        <f>IF(OR(N(F2182)&gt;=0.5,G2182&gt;=4),3,IF(OR(N(F2182)&gt;=0.3,G2182=3),2,IF(OR(N(F2182)&gt;=0.1,G2182&gt;=1),1,0)))</f>
        <v/>
      </c>
      <c r="I2182" s="4">
        <f>CHOOSE(H2182+1,"Kein Risiko","Gering","Mittel","Hoch")</f>
        <v/>
      </c>
    </row>
    <row r="2183">
      <c r="A2183" s="4" t="n">
        <v>2179</v>
      </c>
      <c r="B2183" s="4" t="inlineStr">
        <is>
          <t>yes</t>
        </is>
      </c>
      <c r="C2183" s="4" t="inlineStr">
        <is>
          <t>Leibergweg</t>
        </is>
      </c>
      <c r="D2183" s="4" t="inlineStr">
        <is>
          <t>5</t>
        </is>
      </c>
      <c r="E2183" s="13" t="n">
        <v>118.7</v>
      </c>
      <c r="F2183" s="12" t="n">
        <v>0</v>
      </c>
      <c r="G2183" s="4" t="n">
        <v>0</v>
      </c>
      <c r="H2183" s="4">
        <f>IF(OR(N(F2183)&gt;=0.5,G2183&gt;=4),3,IF(OR(N(F2183)&gt;=0.3,G2183=3),2,IF(OR(N(F2183)&gt;=0.1,G2183&gt;=1),1,0)))</f>
        <v/>
      </c>
      <c r="I2183" s="4">
        <f>CHOOSE(H2183+1,"Kein Risiko","Gering","Mittel","Hoch")</f>
        <v/>
      </c>
    </row>
    <row r="2184">
      <c r="A2184" s="4" t="n">
        <v>2180</v>
      </c>
      <c r="B2184" s="4" t="inlineStr">
        <is>
          <t>semidetached_house</t>
        </is>
      </c>
      <c r="C2184" s="4" t="inlineStr">
        <is>
          <t>Marienbergstraße</t>
        </is>
      </c>
      <c r="D2184" s="4" t="inlineStr">
        <is>
          <t>5</t>
        </is>
      </c>
      <c r="E2184" s="13" t="n">
        <v>83.2</v>
      </c>
      <c r="F2184" s="12" t="n">
        <v>0.01000213623046875</v>
      </c>
      <c r="G2184" s="4" t="n">
        <v>0</v>
      </c>
      <c r="H2184" s="4">
        <f>IF(OR(N(F2184)&gt;=0.5,G2184&gt;=4),3,IF(OR(N(F2184)&gt;=0.3,G2184=3),2,IF(OR(N(F2184)&gt;=0.1,G2184&gt;=1),1,0)))</f>
        <v/>
      </c>
      <c r="I2184" s="4">
        <f>CHOOSE(H2184+1,"Kein Risiko","Gering","Mittel","Hoch")</f>
        <v/>
      </c>
    </row>
    <row r="2185">
      <c r="A2185" s="4" t="n">
        <v>2181</v>
      </c>
      <c r="B2185" s="4" t="inlineStr">
        <is>
          <t>house</t>
        </is>
      </c>
      <c r="C2185" s="4" t="inlineStr">
        <is>
          <t>Am Gerichtshaus</t>
        </is>
      </c>
      <c r="D2185" s="4" t="inlineStr">
        <is>
          <t>50</t>
        </is>
      </c>
      <c r="E2185" s="13" t="n">
        <v>74.5</v>
      </c>
      <c r="F2185" s="12" t="n">
        <v>0</v>
      </c>
      <c r="G2185" s="4" t="n">
        <v>1</v>
      </c>
      <c r="H2185" s="4">
        <f>IF(OR(N(F2185)&gt;=0.5,G2185&gt;=4),3,IF(OR(N(F2185)&gt;=0.3,G2185=3),2,IF(OR(N(F2185)&gt;=0.1,G2185&gt;=1),1,0)))</f>
        <v/>
      </c>
      <c r="I2185" s="4">
        <f>CHOOSE(H2185+1,"Kein Risiko","Gering","Mittel","Hoch")</f>
        <v/>
      </c>
    </row>
    <row r="2186">
      <c r="A2186" s="4" t="n">
        <v>2182</v>
      </c>
      <c r="B2186" s="4" t="inlineStr">
        <is>
          <t>apartments</t>
        </is>
      </c>
      <c r="C2186" s="4" t="inlineStr"/>
      <c r="D2186" s="4" t="inlineStr"/>
      <c r="E2186" s="13" t="n">
        <v>86.2</v>
      </c>
      <c r="F2186" s="12" t="n">
        <v>0</v>
      </c>
      <c r="G2186" s="4" t="n">
        <v>0</v>
      </c>
      <c r="H2186" s="4">
        <f>IF(OR(N(F2186)&gt;=0.5,G2186&gt;=4),3,IF(OR(N(F2186)&gt;=0.3,G2186=3),2,IF(OR(N(F2186)&gt;=0.1,G2186&gt;=1),1,0)))</f>
        <v/>
      </c>
      <c r="I2186" s="4">
        <f>CHOOSE(H2186+1,"Kein Risiko","Gering","Mittel","Hoch")</f>
        <v/>
      </c>
    </row>
    <row r="2187">
      <c r="A2187" s="4" t="n">
        <v>2183</v>
      </c>
      <c r="B2187" s="4" t="inlineStr">
        <is>
          <t>house</t>
        </is>
      </c>
      <c r="C2187" s="4" t="inlineStr">
        <is>
          <t>Am Gerichtshaus</t>
        </is>
      </c>
      <c r="D2187" s="4" t="inlineStr">
        <is>
          <t>54</t>
        </is>
      </c>
      <c r="E2187" s="13" t="n">
        <v>72.2</v>
      </c>
      <c r="F2187" s="12" t="n">
        <v>0</v>
      </c>
      <c r="G2187" s="4" t="n">
        <v>1</v>
      </c>
      <c r="H2187" s="4">
        <f>IF(OR(N(F2187)&gt;=0.5,G2187&gt;=4),3,IF(OR(N(F2187)&gt;=0.3,G2187=3),2,IF(OR(N(F2187)&gt;=0.1,G2187&gt;=1),1,0)))</f>
        <v/>
      </c>
      <c r="I2187" s="4">
        <f>CHOOSE(H2187+1,"Kein Risiko","Gering","Mittel","Hoch")</f>
        <v/>
      </c>
    </row>
    <row r="2188">
      <c r="A2188" s="4" t="n">
        <v>2184</v>
      </c>
      <c r="B2188" s="4" t="inlineStr">
        <is>
          <t>yes</t>
        </is>
      </c>
      <c r="C2188" s="4" t="inlineStr">
        <is>
          <t>Niederweniger Straße</t>
        </is>
      </c>
      <c r="D2188" s="4" t="inlineStr">
        <is>
          <t>54</t>
        </is>
      </c>
      <c r="E2188" s="13" t="n">
        <v>128.7</v>
      </c>
      <c r="F2188" s="12" t="n">
        <v>0.0099945068359375</v>
      </c>
      <c r="G2188" s="4" t="n">
        <v>0</v>
      </c>
      <c r="H2188" s="4">
        <f>IF(OR(N(F2188)&gt;=0.5,G2188&gt;=4),3,IF(OR(N(F2188)&gt;=0.3,G2188=3),2,IF(OR(N(F2188)&gt;=0.1,G2188&gt;=1),1,0)))</f>
        <v/>
      </c>
      <c r="I2188" s="4">
        <f>CHOOSE(H2188+1,"Kein Risiko","Gering","Mittel","Hoch")</f>
        <v/>
      </c>
    </row>
    <row r="2189">
      <c r="A2189" s="4" t="n">
        <v>2185</v>
      </c>
      <c r="B2189" s="4" t="inlineStr">
        <is>
          <t>house</t>
        </is>
      </c>
      <c r="C2189" s="4" t="inlineStr">
        <is>
          <t>Am Gerichtshaus</t>
        </is>
      </c>
      <c r="D2189" s="4" t="inlineStr">
        <is>
          <t>55</t>
        </is>
      </c>
      <c r="E2189" s="13" t="n">
        <v>105.1</v>
      </c>
      <c r="F2189" s="12" t="n">
        <v>0.3899993896484375</v>
      </c>
      <c r="G2189" s="4" t="n">
        <v>3</v>
      </c>
      <c r="H2189" s="4">
        <f>IF(OR(N(F2189)&gt;=0.5,G2189&gt;=4),3,IF(OR(N(F2189)&gt;=0.3,G2189=3),2,IF(OR(N(F2189)&gt;=0.1,G2189&gt;=1),1,0)))</f>
        <v/>
      </c>
      <c r="I2189" s="4">
        <f>CHOOSE(H2189+1,"Kein Risiko","Gering","Mittel","Hoch")</f>
        <v/>
      </c>
    </row>
    <row r="2190">
      <c r="A2190" s="4" t="n">
        <v>2186</v>
      </c>
      <c r="B2190" s="4" t="inlineStr">
        <is>
          <t>house</t>
        </is>
      </c>
      <c r="C2190" s="4" t="inlineStr">
        <is>
          <t>Am Gerichtshaus</t>
        </is>
      </c>
      <c r="D2190" s="4" t="inlineStr">
        <is>
          <t>56</t>
        </is>
      </c>
      <c r="E2190" s="13" t="n">
        <v>69</v>
      </c>
      <c r="F2190" s="12" t="n">
        <v>0</v>
      </c>
      <c r="G2190" s="4" t="n">
        <v>0</v>
      </c>
      <c r="H2190" s="4">
        <f>IF(OR(N(F2190)&gt;=0.5,G2190&gt;=4),3,IF(OR(N(F2190)&gt;=0.3,G2190=3),2,IF(OR(N(F2190)&gt;=0.1,G2190&gt;=1),1,0)))</f>
        <v/>
      </c>
      <c r="I2190" s="4">
        <f>CHOOSE(H2190+1,"Kein Risiko","Gering","Mittel","Hoch")</f>
        <v/>
      </c>
    </row>
    <row r="2191">
      <c r="A2191" s="4" t="n">
        <v>2187</v>
      </c>
      <c r="B2191" s="4" t="inlineStr">
        <is>
          <t>house</t>
        </is>
      </c>
      <c r="C2191" s="4" t="inlineStr">
        <is>
          <t>Am Gerichtshaus</t>
        </is>
      </c>
      <c r="D2191" s="4" t="inlineStr">
        <is>
          <t>56a</t>
        </is>
      </c>
      <c r="E2191" s="13" t="n">
        <v>71.2</v>
      </c>
      <c r="F2191" s="12" t="n">
        <v>0</v>
      </c>
      <c r="G2191" s="4" t="n">
        <v>0</v>
      </c>
      <c r="H2191" s="4">
        <f>IF(OR(N(F2191)&gt;=0.5,G2191&gt;=4),3,IF(OR(N(F2191)&gt;=0.3,G2191=3),2,IF(OR(N(F2191)&gt;=0.1,G2191&gt;=1),1,0)))</f>
        <v/>
      </c>
      <c r="I2191" s="4">
        <f>CHOOSE(H2191+1,"Kein Risiko","Gering","Mittel","Hoch")</f>
        <v/>
      </c>
    </row>
    <row r="2192">
      <c r="A2192" s="4" t="n">
        <v>2188</v>
      </c>
      <c r="B2192" s="4" t="inlineStr">
        <is>
          <t>house</t>
        </is>
      </c>
      <c r="C2192" s="4" t="inlineStr">
        <is>
          <t>Am Gerichtshaus</t>
        </is>
      </c>
      <c r="D2192" s="4" t="inlineStr">
        <is>
          <t>57</t>
        </is>
      </c>
      <c r="E2192" s="13" t="n">
        <v>99.40000000000001</v>
      </c>
      <c r="F2192" s="12" t="n">
        <v>0.6300048828125</v>
      </c>
      <c r="G2192" s="4" t="n">
        <v>3</v>
      </c>
      <c r="H2192" s="4">
        <f>IF(OR(N(F2192)&gt;=0.5,G2192&gt;=4),3,IF(OR(N(F2192)&gt;=0.3,G2192=3),2,IF(OR(N(F2192)&gt;=0.1,G2192&gt;=1),1,0)))</f>
        <v/>
      </c>
      <c r="I2192" s="4">
        <f>CHOOSE(H2192+1,"Kein Risiko","Gering","Mittel","Hoch")</f>
        <v/>
      </c>
    </row>
    <row r="2193">
      <c r="A2193" s="4" t="n">
        <v>2189</v>
      </c>
      <c r="B2193" s="4" t="inlineStr">
        <is>
          <t>house</t>
        </is>
      </c>
      <c r="C2193" s="4" t="inlineStr">
        <is>
          <t>Am Gerichtshaus</t>
        </is>
      </c>
      <c r="D2193" s="4" t="inlineStr">
        <is>
          <t>58</t>
        </is>
      </c>
      <c r="E2193" s="13" t="n">
        <v>69.7</v>
      </c>
      <c r="F2193" s="12" t="n">
        <v>0</v>
      </c>
      <c r="G2193" s="4" t="n">
        <v>0</v>
      </c>
      <c r="H2193" s="4">
        <f>IF(OR(N(F2193)&gt;=0.5,G2193&gt;=4),3,IF(OR(N(F2193)&gt;=0.3,G2193=3),2,IF(OR(N(F2193)&gt;=0.1,G2193&gt;=1),1,0)))</f>
        <v/>
      </c>
      <c r="I2193" s="4">
        <f>CHOOSE(H2193+1,"Kein Risiko","Gering","Mittel","Hoch")</f>
        <v/>
      </c>
    </row>
    <row r="2194">
      <c r="A2194" s="4" t="n">
        <v>2190</v>
      </c>
      <c r="B2194" s="4" t="inlineStr">
        <is>
          <t>house</t>
        </is>
      </c>
      <c r="C2194" s="4" t="inlineStr">
        <is>
          <t>Am Gerichtshaus</t>
        </is>
      </c>
      <c r="D2194" s="4" t="inlineStr">
        <is>
          <t>59</t>
        </is>
      </c>
      <c r="E2194" s="13" t="n">
        <v>103.3</v>
      </c>
      <c r="F2194" s="12" t="n">
        <v>0.4200057983398438</v>
      </c>
      <c r="G2194" s="4" t="n">
        <v>1</v>
      </c>
      <c r="H2194" s="4">
        <f>IF(OR(N(F2194)&gt;=0.5,G2194&gt;=4),3,IF(OR(N(F2194)&gt;=0.3,G2194=3),2,IF(OR(N(F2194)&gt;=0.1,G2194&gt;=1),1,0)))</f>
        <v/>
      </c>
      <c r="I2194" s="4">
        <f>CHOOSE(H2194+1,"Kein Risiko","Gering","Mittel","Hoch")</f>
        <v/>
      </c>
    </row>
    <row r="2195">
      <c r="A2195" s="4" t="n">
        <v>2191</v>
      </c>
      <c r="B2195" s="4" t="inlineStr">
        <is>
          <t>house</t>
        </is>
      </c>
      <c r="C2195" s="4" t="inlineStr">
        <is>
          <t>Breddebuschhang</t>
        </is>
      </c>
      <c r="D2195" s="4" t="inlineStr">
        <is>
          <t>5a</t>
        </is>
      </c>
      <c r="E2195" s="13" t="n">
        <v>76.40000000000001</v>
      </c>
      <c r="F2195" s="12" t="n">
        <v>0</v>
      </c>
      <c r="G2195" s="4" t="n">
        <v>0</v>
      </c>
      <c r="H2195" s="4">
        <f>IF(OR(N(F2195)&gt;=0.5,G2195&gt;=4),3,IF(OR(N(F2195)&gt;=0.3,G2195=3),2,IF(OR(N(F2195)&gt;=0.1,G2195&gt;=1),1,0)))</f>
        <v/>
      </c>
      <c r="I2195" s="4">
        <f>CHOOSE(H2195+1,"Kein Risiko","Gering","Mittel","Hoch")</f>
        <v/>
      </c>
    </row>
    <row r="2196">
      <c r="A2196" s="4" t="n">
        <v>2192</v>
      </c>
      <c r="B2196" s="4" t="inlineStr">
        <is>
          <t>yes</t>
        </is>
      </c>
      <c r="C2196" s="4" t="inlineStr">
        <is>
          <t>Schliepershang</t>
        </is>
      </c>
      <c r="D2196" s="4" t="inlineStr">
        <is>
          <t>5a</t>
        </is>
      </c>
      <c r="E2196" s="13" t="n">
        <v>82.3</v>
      </c>
      <c r="F2196" s="12" t="n">
        <v>0</v>
      </c>
      <c r="G2196" s="4" t="n">
        <v>0</v>
      </c>
      <c r="H2196" s="4">
        <f>IF(OR(N(F2196)&gt;=0.5,G2196&gt;=4),3,IF(OR(N(F2196)&gt;=0.3,G2196=3),2,IF(OR(N(F2196)&gt;=0.1,G2196&gt;=1),1,0)))</f>
        <v/>
      </c>
      <c r="I2196" s="4">
        <f>CHOOSE(H2196+1,"Kein Risiko","Gering","Mittel","Hoch")</f>
        <v/>
      </c>
    </row>
    <row r="2197">
      <c r="A2197" s="4" t="n">
        <v>2193</v>
      </c>
      <c r="B2197" s="4" t="inlineStr">
        <is>
          <t>yes</t>
        </is>
      </c>
      <c r="C2197" s="4" t="inlineStr">
        <is>
          <t>Schliepershang</t>
        </is>
      </c>
      <c r="D2197" s="4" t="inlineStr">
        <is>
          <t>5b</t>
        </is>
      </c>
      <c r="E2197" s="13" t="n">
        <v>82.7</v>
      </c>
      <c r="F2197" s="12" t="n">
        <v>0</v>
      </c>
      <c r="G2197" s="4" t="n">
        <v>0</v>
      </c>
      <c r="H2197" s="4">
        <f>IF(OR(N(F2197)&gt;=0.5,G2197&gt;=4),3,IF(OR(N(F2197)&gt;=0.3,G2197=3),2,IF(OR(N(F2197)&gt;=0.1,G2197&gt;=1),1,0)))</f>
        <v/>
      </c>
      <c r="I2197" s="4">
        <f>CHOOSE(H2197+1,"Kein Risiko","Gering","Mittel","Hoch")</f>
        <v/>
      </c>
    </row>
    <row r="2198">
      <c r="A2198" s="4" t="n">
        <v>2194</v>
      </c>
      <c r="B2198" s="4" t="inlineStr">
        <is>
          <t>house</t>
        </is>
      </c>
      <c r="C2198" s="4" t="inlineStr">
        <is>
          <t>Breddebuschhang</t>
        </is>
      </c>
      <c r="D2198" s="4" t="inlineStr">
        <is>
          <t>5c</t>
        </is>
      </c>
      <c r="E2198" s="13" t="n">
        <v>97.3</v>
      </c>
      <c r="F2198" s="12" t="n">
        <v>0.06999969482421875</v>
      </c>
      <c r="G2198" s="4" t="n">
        <v>1</v>
      </c>
      <c r="H2198" s="4">
        <f>IF(OR(N(F2198)&gt;=0.5,G2198&gt;=4),3,IF(OR(N(F2198)&gt;=0.3,G2198=3),2,IF(OR(N(F2198)&gt;=0.1,G2198&gt;=1),1,0)))</f>
        <v/>
      </c>
      <c r="I2198" s="4">
        <f>CHOOSE(H2198+1,"Kein Risiko","Gering","Mittel","Hoch")</f>
        <v/>
      </c>
    </row>
    <row r="2199">
      <c r="A2199" s="4" t="n">
        <v>2195</v>
      </c>
      <c r="B2199" s="4" t="inlineStr">
        <is>
          <t>yes</t>
        </is>
      </c>
      <c r="C2199" s="4" t="inlineStr">
        <is>
          <t>Engelssiepen</t>
        </is>
      </c>
      <c r="D2199" s="4" t="inlineStr">
        <is>
          <t>6</t>
        </is>
      </c>
      <c r="E2199" s="13" t="n">
        <v>63.1</v>
      </c>
      <c r="F2199" s="12" t="n">
        <v>0</v>
      </c>
      <c r="G2199" s="4" t="n">
        <v>0</v>
      </c>
      <c r="H2199" s="4">
        <f>IF(OR(N(F2199)&gt;=0.5,G2199&gt;=4),3,IF(OR(N(F2199)&gt;=0.3,G2199=3),2,IF(OR(N(F2199)&gt;=0.1,G2199&gt;=1),1,0)))</f>
        <v/>
      </c>
      <c r="I2199" s="4">
        <f>CHOOSE(H2199+1,"Kein Risiko","Gering","Mittel","Hoch")</f>
        <v/>
      </c>
    </row>
    <row r="2200">
      <c r="A2200" s="4" t="n">
        <v>2196</v>
      </c>
      <c r="B2200" s="4" t="inlineStr">
        <is>
          <t>yes</t>
        </is>
      </c>
      <c r="C2200" s="4" t="inlineStr">
        <is>
          <t>Grotehang</t>
        </is>
      </c>
      <c r="D2200" s="4" t="inlineStr">
        <is>
          <t>6</t>
        </is>
      </c>
      <c r="E2200" s="13" t="n">
        <v>61.1</v>
      </c>
      <c r="F2200" s="12" t="n">
        <v>0</v>
      </c>
      <c r="G2200" s="4" t="n">
        <v>0</v>
      </c>
      <c r="H2200" s="4">
        <f>IF(OR(N(F2200)&gt;=0.5,G2200&gt;=4),3,IF(OR(N(F2200)&gt;=0.3,G2200=3),2,IF(OR(N(F2200)&gt;=0.1,G2200&gt;=1),1,0)))</f>
        <v/>
      </c>
      <c r="I2200" s="4">
        <f>CHOOSE(H2200+1,"Kein Risiko","Gering","Mittel","Hoch")</f>
        <v/>
      </c>
    </row>
    <row r="2201">
      <c r="A2201" s="4" t="n">
        <v>2197</v>
      </c>
      <c r="B2201" s="4" t="inlineStr">
        <is>
          <t>yes</t>
        </is>
      </c>
      <c r="C2201" s="4" t="inlineStr">
        <is>
          <t>Marienbergstraße</t>
        </is>
      </c>
      <c r="D2201" s="4" t="inlineStr">
        <is>
          <t>6</t>
        </is>
      </c>
      <c r="E2201" s="13" t="n">
        <v>73.8</v>
      </c>
      <c r="F2201" s="12" t="n">
        <v>0</v>
      </c>
      <c r="G2201" s="4" t="n">
        <v>0</v>
      </c>
      <c r="H2201" s="4">
        <f>IF(OR(N(F2201)&gt;=0.5,G2201&gt;=4),3,IF(OR(N(F2201)&gt;=0.3,G2201=3),2,IF(OR(N(F2201)&gt;=0.1,G2201&gt;=1),1,0)))</f>
        <v/>
      </c>
      <c r="I2201" s="4">
        <f>CHOOSE(H2201+1,"Kein Risiko","Gering","Mittel","Hoch")</f>
        <v/>
      </c>
    </row>
    <row r="2202">
      <c r="A2202" s="4" t="n">
        <v>2198</v>
      </c>
      <c r="B2202" s="4" t="inlineStr">
        <is>
          <t>house</t>
        </is>
      </c>
      <c r="C2202" s="4" t="inlineStr"/>
      <c r="D2202" s="4" t="inlineStr"/>
      <c r="E2202" s="13" t="n">
        <v>87.90000000000001</v>
      </c>
      <c r="F2202" s="12" t="n">
        <v>0.3000030517578125</v>
      </c>
      <c r="G2202" s="4" t="n">
        <v>0</v>
      </c>
      <c r="H2202" s="4">
        <f>IF(OR(N(F2202)&gt;=0.5,G2202&gt;=4),3,IF(OR(N(F2202)&gt;=0.3,G2202=3),2,IF(OR(N(F2202)&gt;=0.1,G2202&gt;=1),1,0)))</f>
        <v/>
      </c>
      <c r="I2202" s="4">
        <f>CHOOSE(H2202+1,"Kein Risiko","Gering","Mittel","Hoch")</f>
        <v/>
      </c>
    </row>
    <row r="2203">
      <c r="A2203" s="4" t="n">
        <v>2199</v>
      </c>
      <c r="B2203" s="4" t="inlineStr">
        <is>
          <t>house</t>
        </is>
      </c>
      <c r="C2203" s="4" t="inlineStr">
        <is>
          <t>Am Gerichtshaus</t>
        </is>
      </c>
      <c r="D2203" s="4" t="inlineStr">
        <is>
          <t>63</t>
        </is>
      </c>
      <c r="E2203" s="13" t="n">
        <v>101.7</v>
      </c>
      <c r="F2203" s="12" t="n">
        <v>0.01000213623046875</v>
      </c>
      <c r="G2203" s="4" t="n">
        <v>1</v>
      </c>
      <c r="H2203" s="4">
        <f>IF(OR(N(F2203)&gt;=0.5,G2203&gt;=4),3,IF(OR(N(F2203)&gt;=0.3,G2203=3),2,IF(OR(N(F2203)&gt;=0.1,G2203&gt;=1),1,0)))</f>
        <v/>
      </c>
      <c r="I2203" s="4">
        <f>CHOOSE(H2203+1,"Kein Risiko","Gering","Mittel","Hoch")</f>
        <v/>
      </c>
    </row>
    <row r="2204">
      <c r="A2204" s="4" t="n">
        <v>2200</v>
      </c>
      <c r="B2204" s="4" t="inlineStr">
        <is>
          <t>house</t>
        </is>
      </c>
      <c r="C2204" s="4" t="inlineStr">
        <is>
          <t>Am Gerichtshaus</t>
        </is>
      </c>
      <c r="D2204" s="4" t="inlineStr">
        <is>
          <t>65</t>
        </is>
      </c>
      <c r="E2204" s="13" t="n">
        <v>102.5</v>
      </c>
      <c r="F2204" s="12" t="n">
        <v>0</v>
      </c>
      <c r="G2204" s="4" t="n">
        <v>0</v>
      </c>
      <c r="H2204" s="4">
        <f>IF(OR(N(F2204)&gt;=0.5,G2204&gt;=4),3,IF(OR(N(F2204)&gt;=0.3,G2204=3),2,IF(OR(N(F2204)&gt;=0.1,G2204&gt;=1),1,0)))</f>
        <v/>
      </c>
      <c r="I2204" s="4">
        <f>CHOOSE(H2204+1,"Kein Risiko","Gering","Mittel","Hoch")</f>
        <v/>
      </c>
    </row>
    <row r="2205">
      <c r="A2205" s="4" t="n">
        <v>2201</v>
      </c>
      <c r="B2205" s="4" t="inlineStr">
        <is>
          <t>house</t>
        </is>
      </c>
      <c r="C2205" s="4" t="inlineStr">
        <is>
          <t>Am Gerichtshaus</t>
        </is>
      </c>
      <c r="D2205" s="4" t="inlineStr">
        <is>
          <t>67</t>
        </is>
      </c>
      <c r="E2205" s="13" t="n">
        <v>102.9</v>
      </c>
      <c r="F2205" s="12" t="n">
        <v>0</v>
      </c>
      <c r="G2205" s="4" t="n">
        <v>0</v>
      </c>
      <c r="H2205" s="4">
        <f>IF(OR(N(F2205)&gt;=0.5,G2205&gt;=4),3,IF(OR(N(F2205)&gt;=0.3,G2205=3),2,IF(OR(N(F2205)&gt;=0.1,G2205&gt;=1),1,0)))</f>
        <v/>
      </c>
      <c r="I2205" s="4">
        <f>CHOOSE(H2205+1,"Kein Risiko","Gering","Mittel","Hoch")</f>
        <v/>
      </c>
    </row>
    <row r="2206">
      <c r="A2206" s="4" t="n">
        <v>2202</v>
      </c>
      <c r="B2206" s="4" t="inlineStr">
        <is>
          <t>apartments</t>
        </is>
      </c>
      <c r="C2206" s="4" t="inlineStr">
        <is>
          <t>Am Gerichtshaus</t>
        </is>
      </c>
      <c r="D2206" s="4" t="inlineStr">
        <is>
          <t>71</t>
        </is>
      </c>
      <c r="E2206" s="13" t="n">
        <v>262.9</v>
      </c>
      <c r="F2206" s="12" t="n">
        <v>0</v>
      </c>
      <c r="G2206" s="4" t="n">
        <v>0</v>
      </c>
      <c r="H2206" s="4">
        <f>IF(OR(N(F2206)&gt;=0.5,G2206&gt;=4),3,IF(OR(N(F2206)&gt;=0.3,G2206=3),2,IF(OR(N(F2206)&gt;=0.1,G2206&gt;=1),1,0)))</f>
        <v/>
      </c>
      <c r="I2206" s="4">
        <f>CHOOSE(H2206+1,"Kein Risiko","Gering","Mittel","Hoch")</f>
        <v/>
      </c>
    </row>
    <row r="2207">
      <c r="A2207" s="4" t="n">
        <v>2203</v>
      </c>
      <c r="B2207" s="4" t="inlineStr">
        <is>
          <t>yes</t>
        </is>
      </c>
      <c r="C2207" s="4" t="inlineStr">
        <is>
          <t>Niederweniger Straße</t>
        </is>
      </c>
      <c r="D2207" s="4" t="inlineStr">
        <is>
          <t>71</t>
        </is>
      </c>
      <c r="E2207" s="13" t="n">
        <v>84.40000000000001</v>
      </c>
      <c r="F2207" s="12" t="n">
        <v>0</v>
      </c>
      <c r="G2207" s="4" t="n">
        <v>1</v>
      </c>
      <c r="H2207" s="4">
        <f>IF(OR(N(F2207)&gt;=0.5,G2207&gt;=4),3,IF(OR(N(F2207)&gt;=0.3,G2207=3),2,IF(OR(N(F2207)&gt;=0.1,G2207&gt;=1),1,0)))</f>
        <v/>
      </c>
      <c r="I2207" s="4">
        <f>CHOOSE(H2207+1,"Kein Risiko","Gering","Mittel","Hoch")</f>
        <v/>
      </c>
    </row>
    <row r="2208">
      <c r="A2208" s="4" t="n">
        <v>2204</v>
      </c>
      <c r="B2208" s="4" t="inlineStr">
        <is>
          <t>apartments</t>
        </is>
      </c>
      <c r="C2208" s="4" t="inlineStr">
        <is>
          <t>Am Gerichtshaus</t>
        </is>
      </c>
      <c r="D2208" s="4" t="inlineStr">
        <is>
          <t>73</t>
        </is>
      </c>
      <c r="E2208" s="13" t="n">
        <v>355.7</v>
      </c>
      <c r="F2208" s="12" t="n">
        <v>0.2199859619140625</v>
      </c>
      <c r="G2208" s="4" t="n">
        <v>0</v>
      </c>
      <c r="H2208" s="4">
        <f>IF(OR(N(F2208)&gt;=0.5,G2208&gt;=4),3,IF(OR(N(F2208)&gt;=0.3,G2208=3),2,IF(OR(N(F2208)&gt;=0.1,G2208&gt;=1),1,0)))</f>
        <v/>
      </c>
      <c r="I2208" s="4">
        <f>CHOOSE(H2208+1,"Kein Risiko","Gering","Mittel","Hoch")</f>
        <v/>
      </c>
    </row>
    <row r="2209">
      <c r="A2209" s="4" t="n">
        <v>2205</v>
      </c>
      <c r="B2209" s="4" t="inlineStr">
        <is>
          <t>yes</t>
        </is>
      </c>
      <c r="C2209" s="4" t="inlineStr">
        <is>
          <t>Niederweniger Straße</t>
        </is>
      </c>
      <c r="D2209" s="4" t="inlineStr">
        <is>
          <t>78</t>
        </is>
      </c>
      <c r="E2209" s="13" t="n">
        <v>135.1</v>
      </c>
      <c r="F2209" s="12" t="n">
        <v>0</v>
      </c>
      <c r="G2209" s="4" t="n">
        <v>1</v>
      </c>
      <c r="H2209" s="4">
        <f>IF(OR(N(F2209)&gt;=0.5,G2209&gt;=4),3,IF(OR(N(F2209)&gt;=0.3,G2209=3),2,IF(OR(N(F2209)&gt;=0.1,G2209&gt;=1),1,0)))</f>
        <v/>
      </c>
      <c r="I2209" s="4">
        <f>CHOOSE(H2209+1,"Kein Risiko","Gering","Mittel","Hoch")</f>
        <v/>
      </c>
    </row>
    <row r="2210">
      <c r="A2210" s="4" t="n">
        <v>2206</v>
      </c>
      <c r="B2210" s="4" t="inlineStr">
        <is>
          <t>yes</t>
        </is>
      </c>
      <c r="C2210" s="4" t="inlineStr">
        <is>
          <t>Niederweniger Straße</t>
        </is>
      </c>
      <c r="D2210" s="4" t="inlineStr">
        <is>
          <t>79</t>
        </is>
      </c>
      <c r="E2210" s="13" t="n">
        <v>140.9</v>
      </c>
      <c r="F2210" s="12" t="n">
        <v>0.1200027465820312</v>
      </c>
      <c r="G2210" s="4" t="n">
        <v>0</v>
      </c>
      <c r="H2210" s="4">
        <f>IF(OR(N(F2210)&gt;=0.5,G2210&gt;=4),3,IF(OR(N(F2210)&gt;=0.3,G2210=3),2,IF(OR(N(F2210)&gt;=0.1,G2210&gt;=1),1,0)))</f>
        <v/>
      </c>
      <c r="I2210" s="4">
        <f>CHOOSE(H2210+1,"Kein Risiko","Gering","Mittel","Hoch")</f>
        <v/>
      </c>
    </row>
    <row r="2211">
      <c r="A2211" s="4" t="n">
        <v>2207</v>
      </c>
      <c r="B2211" s="4" t="inlineStr">
        <is>
          <t>yes</t>
        </is>
      </c>
      <c r="C2211" s="4" t="inlineStr">
        <is>
          <t>Breddebuschhang</t>
        </is>
      </c>
      <c r="D2211" s="4" t="inlineStr">
        <is>
          <t>7a</t>
        </is>
      </c>
      <c r="E2211" s="13" t="n">
        <v>73</v>
      </c>
      <c r="F2211" s="12" t="n">
        <v>0</v>
      </c>
      <c r="G2211" s="4" t="n">
        <v>0</v>
      </c>
      <c r="H2211" s="4">
        <f>IF(OR(N(F2211)&gt;=0.5,G2211&gt;=4),3,IF(OR(N(F2211)&gt;=0.3,G2211=3),2,IF(OR(N(F2211)&gt;=0.1,G2211&gt;=1),1,0)))</f>
        <v/>
      </c>
      <c r="I2211" s="4">
        <f>CHOOSE(H2211+1,"Kein Risiko","Gering","Mittel","Hoch")</f>
        <v/>
      </c>
    </row>
    <row r="2212">
      <c r="A2212" s="4" t="n">
        <v>2208</v>
      </c>
      <c r="B2212" s="4" t="inlineStr">
        <is>
          <t>yes</t>
        </is>
      </c>
      <c r="C2212" s="4" t="inlineStr">
        <is>
          <t>Grotehang</t>
        </is>
      </c>
      <c r="D2212" s="4" t="inlineStr">
        <is>
          <t>8</t>
        </is>
      </c>
      <c r="E2212" s="13" t="n">
        <v>58.8</v>
      </c>
      <c r="F2212" s="12" t="n">
        <v>0.1399993896484375</v>
      </c>
      <c r="G2212" s="4" t="n">
        <v>0</v>
      </c>
      <c r="H2212" s="4">
        <f>IF(OR(N(F2212)&gt;=0.5,G2212&gt;=4),3,IF(OR(N(F2212)&gt;=0.3,G2212=3),2,IF(OR(N(F2212)&gt;=0.1,G2212&gt;=1),1,0)))</f>
        <v/>
      </c>
      <c r="I2212" s="4">
        <f>CHOOSE(H2212+1,"Kein Risiko","Gering","Mittel","Hoch")</f>
        <v/>
      </c>
    </row>
    <row r="2213">
      <c r="A2213" s="4" t="n">
        <v>2209</v>
      </c>
      <c r="B2213" s="4" t="inlineStr">
        <is>
          <t>yes</t>
        </is>
      </c>
      <c r="C2213" s="4" t="inlineStr">
        <is>
          <t>Leibergweg</t>
        </is>
      </c>
      <c r="D2213" s="4" t="inlineStr">
        <is>
          <t>8</t>
        </is>
      </c>
      <c r="E2213" s="13" t="n">
        <v>80.3</v>
      </c>
      <c r="F2213" s="12" t="n">
        <v>0</v>
      </c>
      <c r="G2213" s="4" t="n">
        <v>0</v>
      </c>
      <c r="H2213" s="4">
        <f>IF(OR(N(F2213)&gt;=0.5,G2213&gt;=4),3,IF(OR(N(F2213)&gt;=0.3,G2213=3),2,IF(OR(N(F2213)&gt;=0.1,G2213&gt;=1),1,0)))</f>
        <v/>
      </c>
      <c r="I2213" s="4">
        <f>CHOOSE(H2213+1,"Kein Risiko","Gering","Mittel","Hoch")</f>
        <v/>
      </c>
    </row>
    <row r="2214">
      <c r="A2214" s="4" t="n">
        <v>2210</v>
      </c>
      <c r="B2214" s="4" t="inlineStr">
        <is>
          <t>house</t>
        </is>
      </c>
      <c r="C2214" s="4" t="inlineStr"/>
      <c r="D2214" s="4" t="inlineStr"/>
      <c r="E2214" s="13" t="n">
        <v>87.2</v>
      </c>
      <c r="F2214" s="12" t="n">
        <v>0.2400054931640625</v>
      </c>
      <c r="G2214" s="4" t="n">
        <v>0</v>
      </c>
      <c r="H2214" s="4">
        <f>IF(OR(N(F2214)&gt;=0.5,G2214&gt;=4),3,IF(OR(N(F2214)&gt;=0.3,G2214=3),2,IF(OR(N(F2214)&gt;=0.1,G2214&gt;=1),1,0)))</f>
        <v/>
      </c>
      <c r="I2214" s="4">
        <f>CHOOSE(H2214+1,"Kein Risiko","Gering","Mittel","Hoch")</f>
        <v/>
      </c>
    </row>
    <row r="2215">
      <c r="A2215" s="4" t="n">
        <v>2211</v>
      </c>
      <c r="B2215" s="4" t="inlineStr">
        <is>
          <t>yes</t>
        </is>
      </c>
      <c r="C2215" s="4" t="inlineStr">
        <is>
          <t>Niederweniger Straße</t>
        </is>
      </c>
      <c r="D2215" s="4" t="inlineStr">
        <is>
          <t>80</t>
        </is>
      </c>
      <c r="E2215" s="13" t="n">
        <v>101.5</v>
      </c>
      <c r="F2215" s="12" t="n">
        <v>0</v>
      </c>
      <c r="G2215" s="4" t="n">
        <v>0</v>
      </c>
      <c r="H2215" s="4">
        <f>IF(OR(N(F2215)&gt;=0.5,G2215&gt;=4),3,IF(OR(N(F2215)&gt;=0.3,G2215=3),2,IF(OR(N(F2215)&gt;=0.1,G2215&gt;=1),1,0)))</f>
        <v/>
      </c>
      <c r="I2215" s="4">
        <f>CHOOSE(H2215+1,"Kein Risiko","Gering","Mittel","Hoch")</f>
        <v/>
      </c>
    </row>
    <row r="2216">
      <c r="A2216" s="4" t="n">
        <v>2212</v>
      </c>
      <c r="B2216" s="4" t="inlineStr">
        <is>
          <t>yes</t>
        </is>
      </c>
      <c r="C2216" s="4" t="inlineStr">
        <is>
          <t>Niederweniger Straße</t>
        </is>
      </c>
      <c r="D2216" s="4" t="inlineStr">
        <is>
          <t>81a</t>
        </is>
      </c>
      <c r="E2216" s="13" t="n">
        <v>210.7</v>
      </c>
      <c r="F2216" s="12" t="n">
        <v>0.01999664306640625</v>
      </c>
      <c r="G2216" s="4" t="n">
        <v>0</v>
      </c>
      <c r="H2216" s="4">
        <f>IF(OR(N(F2216)&gt;=0.5,G2216&gt;=4),3,IF(OR(N(F2216)&gt;=0.3,G2216=3),2,IF(OR(N(F2216)&gt;=0.1,G2216&gt;=1),1,0)))</f>
        <v/>
      </c>
      <c r="I2216" s="4">
        <f>CHOOSE(H2216+1,"Kein Risiko","Gering","Mittel","Hoch")</f>
        <v/>
      </c>
    </row>
    <row r="2217">
      <c r="A2217" s="4" t="n">
        <v>2213</v>
      </c>
      <c r="B2217" s="4" t="inlineStr">
        <is>
          <t>yes</t>
        </is>
      </c>
      <c r="C2217" s="4" t="inlineStr">
        <is>
          <t>Niederweniger Straße</t>
        </is>
      </c>
      <c r="D2217" s="4" t="inlineStr">
        <is>
          <t>84</t>
        </is>
      </c>
      <c r="E2217" s="13" t="n">
        <v>143.6</v>
      </c>
      <c r="F2217" s="12" t="n">
        <v>0</v>
      </c>
      <c r="G2217" s="4" t="n">
        <v>0</v>
      </c>
      <c r="H2217" s="4">
        <f>IF(OR(N(F2217)&gt;=0.5,G2217&gt;=4),3,IF(OR(N(F2217)&gt;=0.3,G2217=3),2,IF(OR(N(F2217)&gt;=0.1,G2217&gt;=1),1,0)))</f>
        <v/>
      </c>
      <c r="I2217" s="4">
        <f>CHOOSE(H2217+1,"Kein Risiko","Gering","Mittel","Hoch")</f>
        <v/>
      </c>
    </row>
    <row r="2218">
      <c r="A2218" s="4" t="n">
        <v>2214</v>
      </c>
      <c r="B2218" s="4" t="inlineStr">
        <is>
          <t>yes</t>
        </is>
      </c>
      <c r="C2218" s="4" t="inlineStr">
        <is>
          <t>Niederweniger Straße</t>
        </is>
      </c>
      <c r="D2218" s="4" t="inlineStr">
        <is>
          <t>85b</t>
        </is>
      </c>
      <c r="E2218" s="13" t="n">
        <v>206.2</v>
      </c>
      <c r="F2218" s="12" t="n">
        <v>0.010009765625</v>
      </c>
      <c r="G2218" s="4" t="n">
        <v>0</v>
      </c>
      <c r="H2218" s="4">
        <f>IF(OR(N(F2218)&gt;=0.5,G2218&gt;=4),3,IF(OR(N(F2218)&gt;=0.3,G2218=3),2,IF(OR(N(F2218)&gt;=0.1,G2218&gt;=1),1,0)))</f>
        <v/>
      </c>
      <c r="I2218" s="4">
        <f>CHOOSE(H2218+1,"Kein Risiko","Gering","Mittel","Hoch")</f>
        <v/>
      </c>
    </row>
    <row r="2219">
      <c r="A2219" s="4" t="n">
        <v>2215</v>
      </c>
      <c r="B2219" s="4" t="inlineStr">
        <is>
          <t>yes</t>
        </is>
      </c>
      <c r="C2219" s="4" t="inlineStr">
        <is>
          <t>Beisemannhang</t>
        </is>
      </c>
      <c r="D2219" s="4" t="inlineStr">
        <is>
          <t>8a</t>
        </is>
      </c>
      <c r="E2219" s="13" t="n">
        <v>111.6</v>
      </c>
      <c r="F2219" s="12" t="n">
        <v>0.0500030517578125</v>
      </c>
      <c r="G2219" s="4" t="n">
        <v>0</v>
      </c>
      <c r="H2219" s="4">
        <f>IF(OR(N(F2219)&gt;=0.5,G2219&gt;=4),3,IF(OR(N(F2219)&gt;=0.3,G2219=3),2,IF(OR(N(F2219)&gt;=0.1,G2219&gt;=1),1,0)))</f>
        <v/>
      </c>
      <c r="I2219" s="4">
        <f>CHOOSE(H2219+1,"Kein Risiko","Gering","Mittel","Hoch")</f>
        <v/>
      </c>
    </row>
    <row r="2220">
      <c r="A2220" s="4" t="n">
        <v>2216</v>
      </c>
      <c r="B2220" s="4" t="inlineStr">
        <is>
          <t>yes</t>
        </is>
      </c>
      <c r="C2220" s="4" t="inlineStr">
        <is>
          <t>Beisemannhang</t>
        </is>
      </c>
      <c r="D2220" s="4" t="inlineStr">
        <is>
          <t>8b</t>
        </is>
      </c>
      <c r="E2220" s="13" t="n">
        <v>111.7</v>
      </c>
      <c r="F2220" s="12" t="n">
        <v>0</v>
      </c>
      <c r="G2220" s="4" t="n">
        <v>0</v>
      </c>
      <c r="H2220" s="4">
        <f>IF(OR(N(F2220)&gt;=0.5,G2220&gt;=4),3,IF(OR(N(F2220)&gt;=0.3,G2220=3),2,IF(OR(N(F2220)&gt;=0.1,G2220&gt;=1),1,0)))</f>
        <v/>
      </c>
      <c r="I2220" s="4">
        <f>CHOOSE(H2220+1,"Kein Risiko","Gering","Mittel","Hoch")</f>
        <v/>
      </c>
    </row>
    <row r="2221">
      <c r="A2221" s="4" t="n">
        <v>2217</v>
      </c>
      <c r="B2221" s="4" t="inlineStr">
        <is>
          <t>semidetached_house</t>
        </is>
      </c>
      <c r="C2221" s="4" t="inlineStr">
        <is>
          <t>Marienbergstraße</t>
        </is>
      </c>
      <c r="D2221" s="4" t="inlineStr">
        <is>
          <t>9</t>
        </is>
      </c>
      <c r="E2221" s="13" t="n">
        <v>118</v>
      </c>
      <c r="F2221" s="12" t="n">
        <v>0</v>
      </c>
      <c r="G2221" s="4" t="n">
        <v>0</v>
      </c>
      <c r="H2221" s="4">
        <f>IF(OR(N(F2221)&gt;=0.5,G2221&gt;=4),3,IF(OR(N(F2221)&gt;=0.3,G2221=3),2,IF(OR(N(F2221)&gt;=0.1,G2221&gt;=1),1,0)))</f>
        <v/>
      </c>
      <c r="I2221" s="4">
        <f>CHOOSE(H2221+1,"Kein Risiko","Gering","Mittel","Hoch")</f>
        <v/>
      </c>
    </row>
    <row r="2222">
      <c r="A2222" s="4" t="n">
        <v>2218</v>
      </c>
      <c r="B2222" s="4" t="inlineStr">
        <is>
          <t>residential</t>
        </is>
      </c>
      <c r="C2222" s="4" t="inlineStr">
        <is>
          <t>Schliepershang</t>
        </is>
      </c>
      <c r="D2222" s="4" t="inlineStr">
        <is>
          <t>9-9a</t>
        </is>
      </c>
      <c r="E2222" s="13" t="n">
        <v>151.3</v>
      </c>
      <c r="F2222" s="12" t="n">
        <v>0</v>
      </c>
      <c r="G2222" s="4" t="n">
        <v>1</v>
      </c>
      <c r="H2222" s="4">
        <f>IF(OR(N(F2222)&gt;=0.5,G2222&gt;=4),3,IF(OR(N(F2222)&gt;=0.3,G2222=3),2,IF(OR(N(F2222)&gt;=0.1,G2222&gt;=1),1,0)))</f>
        <v/>
      </c>
      <c r="I2222" s="4">
        <f>CHOOSE(H2222+1,"Kein Risiko","Gering","Mittel","Hoch")</f>
        <v/>
      </c>
    </row>
    <row r="2223">
      <c r="A2223" s="4" t="n">
        <v>2219</v>
      </c>
      <c r="B2223" s="4" t="inlineStr">
        <is>
          <t>house</t>
        </is>
      </c>
      <c r="C2223" s="4" t="inlineStr">
        <is>
          <t>Am Gerichtshaus</t>
        </is>
      </c>
      <c r="D2223" s="4" t="inlineStr">
        <is>
          <t>91</t>
        </is>
      </c>
      <c r="E2223" s="13" t="n">
        <v>66</v>
      </c>
      <c r="F2223" s="12" t="n">
        <v>0</v>
      </c>
      <c r="G2223" s="4" t="n">
        <v>0</v>
      </c>
      <c r="H2223" s="4">
        <f>IF(OR(N(F2223)&gt;=0.5,G2223&gt;=4),3,IF(OR(N(F2223)&gt;=0.3,G2223=3),2,IF(OR(N(F2223)&gt;=0.1,G2223&gt;=1),1,0)))</f>
        <v/>
      </c>
      <c r="I2223" s="4">
        <f>CHOOSE(H2223+1,"Kein Risiko","Gering","Mittel","Hoch")</f>
        <v/>
      </c>
    </row>
    <row r="2224">
      <c r="A2224" s="4" t="n">
        <v>2220</v>
      </c>
      <c r="B2224" s="4" t="inlineStr">
        <is>
          <t>house</t>
        </is>
      </c>
      <c r="C2224" s="4" t="inlineStr">
        <is>
          <t>Am Gerichtshaus</t>
        </is>
      </c>
      <c r="D2224" s="4" t="inlineStr">
        <is>
          <t>95</t>
        </is>
      </c>
      <c r="E2224" s="13" t="n">
        <v>67.2</v>
      </c>
      <c r="F2224" s="12" t="n">
        <v>0</v>
      </c>
      <c r="G2224" s="4" t="n">
        <v>0</v>
      </c>
      <c r="H2224" s="4">
        <f>IF(OR(N(F2224)&gt;=0.5,G2224&gt;=4),3,IF(OR(N(F2224)&gt;=0.3,G2224=3),2,IF(OR(N(F2224)&gt;=0.1,G2224&gt;=1),1,0)))</f>
        <v/>
      </c>
      <c r="I2224" s="4">
        <f>CHOOSE(H2224+1,"Kein Risiko","Gering","Mittel","Hoch")</f>
        <v/>
      </c>
    </row>
    <row r="2225">
      <c r="A2225" s="4" t="n">
        <v>2221</v>
      </c>
      <c r="B2225" s="4" t="inlineStr">
        <is>
          <t>yes</t>
        </is>
      </c>
      <c r="C2225" s="4" t="inlineStr">
        <is>
          <t>Byfanger Straße</t>
        </is>
      </c>
      <c r="D2225" s="4" t="inlineStr">
        <is>
          <t>96</t>
        </is>
      </c>
      <c r="E2225" s="13" t="n">
        <v>151.9</v>
      </c>
      <c r="F2225" s="12" t="n">
        <v>0</v>
      </c>
      <c r="G2225" s="4" t="n">
        <v>2</v>
      </c>
      <c r="H2225" s="4">
        <f>IF(OR(N(F2225)&gt;=0.5,G2225&gt;=4),3,IF(OR(N(F2225)&gt;=0.3,G2225=3),2,IF(OR(N(F2225)&gt;=0.1,G2225&gt;=1),1,0)))</f>
        <v/>
      </c>
      <c r="I2225" s="4">
        <f>CHOOSE(H2225+1,"Kein Risiko","Gering","Mittel","Hoch")</f>
        <v/>
      </c>
    </row>
    <row r="2226">
      <c r="A2226" s="4" t="n">
        <v>2222</v>
      </c>
      <c r="B2226" s="4" t="inlineStr">
        <is>
          <t>yes</t>
        </is>
      </c>
      <c r="C2226" s="4" t="inlineStr">
        <is>
          <t>Byfanger Straße</t>
        </is>
      </c>
      <c r="D2226" s="4" t="inlineStr">
        <is>
          <t>98</t>
        </is>
      </c>
      <c r="E2226" s="13" t="n">
        <v>151.8</v>
      </c>
      <c r="F2226" s="12" t="n">
        <v>0.04000091552734375</v>
      </c>
      <c r="G2226" s="4" t="n">
        <v>2</v>
      </c>
      <c r="H2226" s="4">
        <f>IF(OR(N(F2226)&gt;=0.5,G2226&gt;=4),3,IF(OR(N(F2226)&gt;=0.3,G2226=3),2,IF(OR(N(F2226)&gt;=0.1,G2226&gt;=1),1,0)))</f>
        <v/>
      </c>
      <c r="I2226" s="4">
        <f>CHOOSE(H2226+1,"Kein Risiko","Gering","Mittel","Hoch")</f>
        <v/>
      </c>
    </row>
    <row r="2227">
      <c r="A2227" s="4" t="n">
        <v>2223</v>
      </c>
      <c r="B2227" s="4" t="inlineStr">
        <is>
          <t>house</t>
        </is>
      </c>
      <c r="C2227" s="4" t="inlineStr">
        <is>
          <t>Am Gerichtshaus</t>
        </is>
      </c>
      <c r="D2227" s="4" t="inlineStr">
        <is>
          <t>99</t>
        </is>
      </c>
      <c r="E2227" s="13" t="n">
        <v>71.7</v>
      </c>
      <c r="F2227" s="12" t="n">
        <v>0</v>
      </c>
      <c r="G2227" s="4" t="n">
        <v>0</v>
      </c>
      <c r="H2227" s="4">
        <f>IF(OR(N(F2227)&gt;=0.5,G2227&gt;=4),3,IF(OR(N(F2227)&gt;=0.3,G2227=3),2,IF(OR(N(F2227)&gt;=0.1,G2227&gt;=1),1,0)))</f>
        <v/>
      </c>
      <c r="I2227" s="4">
        <f>CHOOSE(H2227+1,"Kein Risiko","Gering","Mittel","Hoch")</f>
        <v/>
      </c>
    </row>
    <row r="2228">
      <c r="A2228" s="4" t="n">
        <v>2224</v>
      </c>
      <c r="B2228" s="4" t="inlineStr">
        <is>
          <t>yes</t>
        </is>
      </c>
      <c r="C2228" s="4" t="inlineStr">
        <is>
          <t>Byfanger Straße</t>
        </is>
      </c>
      <c r="D2228" s="4" t="inlineStr">
        <is>
          <t>99</t>
        </is>
      </c>
      <c r="E2228" s="13" t="n">
        <v>99.59999999999999</v>
      </c>
      <c r="F2228" s="12" t="n">
        <v>0.3299942016601562</v>
      </c>
      <c r="G2228" s="4" t="n">
        <v>0</v>
      </c>
      <c r="H2228" s="4">
        <f>IF(OR(N(F2228)&gt;=0.5,G2228&gt;=4),3,IF(OR(N(F2228)&gt;=0.3,G2228=3),2,IF(OR(N(F2228)&gt;=0.1,G2228&gt;=1),1,0)))</f>
        <v/>
      </c>
      <c r="I2228" s="4">
        <f>CHOOSE(H2228+1,"Kein Risiko","Gering","Mittel","Hoch")</f>
        <v/>
      </c>
    </row>
    <row r="2229">
      <c r="A2229" s="4" t="n">
        <v>2225</v>
      </c>
      <c r="B2229" s="4" t="inlineStr">
        <is>
          <t>yes</t>
        </is>
      </c>
      <c r="C2229" s="4" t="inlineStr">
        <is>
          <t>Dixbäume</t>
        </is>
      </c>
      <c r="D2229" s="4" t="inlineStr">
        <is>
          <t>9a</t>
        </is>
      </c>
      <c r="E2229" s="13" t="n">
        <v>88.59999999999999</v>
      </c>
      <c r="F2229" s="12" t="n">
        <v>0</v>
      </c>
      <c r="G2229" s="4" t="n">
        <v>0</v>
      </c>
      <c r="H2229" s="4">
        <f>IF(OR(N(F2229)&gt;=0.5,G2229&gt;=4),3,IF(OR(N(F2229)&gt;=0.3,G2229=3),2,IF(OR(N(F2229)&gt;=0.1,G2229&gt;=1),1,0)))</f>
        <v/>
      </c>
      <c r="I2229" s="4">
        <f>CHOOSE(H2229+1,"Kein Risiko","Gering","Mittel","Hoch")</f>
        <v/>
      </c>
    </row>
    <row r="2230">
      <c r="A2230" s="4" t="n">
        <v>2226</v>
      </c>
      <c r="B2230" s="4" t="inlineStr">
        <is>
          <t>yes</t>
        </is>
      </c>
      <c r="C2230" s="4" t="inlineStr"/>
      <c r="D2230" s="4" t="inlineStr"/>
      <c r="E2230" s="13" t="n">
        <v>197.4</v>
      </c>
      <c r="F2230" s="12" t="n">
        <v>0.009998321533203125</v>
      </c>
      <c r="G2230" s="4" t="n">
        <v>0</v>
      </c>
      <c r="H2230" s="4">
        <f>IF(OR(N(F2230)&gt;=0.5,G2230&gt;=4),3,IF(OR(N(F2230)&gt;=0.3,G2230=3),2,IF(OR(N(F2230)&gt;=0.1,G2230&gt;=1),1,0)))</f>
        <v/>
      </c>
      <c r="I2230" s="4">
        <f>CHOOSE(H2230+1,"Kein Risiko","Gering","Mittel","Hoch")</f>
        <v/>
      </c>
    </row>
    <row r="2231">
      <c r="A2231" s="4" t="n">
        <v>2227</v>
      </c>
      <c r="B2231" s="4" t="inlineStr">
        <is>
          <t>semidetached_house</t>
        </is>
      </c>
      <c r="C2231" s="4" t="inlineStr">
        <is>
          <t>Marienbergstraße</t>
        </is>
      </c>
      <c r="D2231" s="4" t="inlineStr">
        <is>
          <t>62</t>
        </is>
      </c>
      <c r="E2231" s="13" t="n">
        <v>165</v>
      </c>
      <c r="F2231" s="12" t="n">
        <v>0.09000396728515625</v>
      </c>
      <c r="G2231" s="4" t="n">
        <v>0</v>
      </c>
      <c r="H2231" s="4">
        <f>IF(OR(N(F2231)&gt;=0.5,G2231&gt;=4),3,IF(OR(N(F2231)&gt;=0.3,G2231=3),2,IF(OR(N(F2231)&gt;=0.1,G2231&gt;=1),1,0)))</f>
        <v/>
      </c>
      <c r="I2231" s="4">
        <f>CHOOSE(H2231+1,"Kein Risiko","Gering","Mittel","Hoch")</f>
        <v/>
      </c>
    </row>
    <row r="2232">
      <c r="A2232" s="4" t="n">
        <v>2228</v>
      </c>
      <c r="B2232" s="4" t="inlineStr">
        <is>
          <t>yes</t>
        </is>
      </c>
      <c r="C2232" s="4" t="inlineStr">
        <is>
          <t>Blockstraße</t>
        </is>
      </c>
      <c r="D2232" s="4" t="inlineStr">
        <is>
          <t>1</t>
        </is>
      </c>
      <c r="E2232" s="13" t="n">
        <v>88.59999999999999</v>
      </c>
      <c r="F2232" s="12" t="n">
        <v>0.0500030517578125</v>
      </c>
      <c r="G2232" s="4" t="n">
        <v>0</v>
      </c>
      <c r="H2232" s="4">
        <f>IF(OR(N(F2232)&gt;=0.5,G2232&gt;=4),3,IF(OR(N(F2232)&gt;=0.3,G2232=3),2,IF(OR(N(F2232)&gt;=0.1,G2232&gt;=1),1,0)))</f>
        <v/>
      </c>
      <c r="I2232" s="4">
        <f>CHOOSE(H2232+1,"Kein Risiko","Gering","Mittel","Hoch")</f>
        <v/>
      </c>
    </row>
    <row r="2233">
      <c r="A2233" s="4" t="n">
        <v>2229</v>
      </c>
      <c r="B2233" s="4" t="inlineStr">
        <is>
          <t>yes</t>
        </is>
      </c>
      <c r="C2233" s="4" t="inlineStr">
        <is>
          <t>Marienberghang</t>
        </is>
      </c>
      <c r="D2233" s="4" t="inlineStr">
        <is>
          <t>1</t>
        </is>
      </c>
      <c r="E2233" s="13" t="n">
        <v>95.90000000000001</v>
      </c>
      <c r="F2233" s="12" t="n">
        <v>0.0500030517578125</v>
      </c>
      <c r="G2233" s="4" t="n">
        <v>0</v>
      </c>
      <c r="H2233" s="4">
        <f>IF(OR(N(F2233)&gt;=0.5,G2233&gt;=4),3,IF(OR(N(F2233)&gt;=0.3,G2233=3),2,IF(OR(N(F2233)&gt;=0.1,G2233&gt;=1),1,0)))</f>
        <v/>
      </c>
      <c r="I2233" s="4">
        <f>CHOOSE(H2233+1,"Kein Risiko","Gering","Mittel","Hoch")</f>
        <v/>
      </c>
    </row>
    <row r="2234">
      <c r="A2234" s="4" t="n">
        <v>2230</v>
      </c>
      <c r="B2234" s="4" t="inlineStr">
        <is>
          <t>yes</t>
        </is>
      </c>
      <c r="C2234" s="4" t="inlineStr">
        <is>
          <t>Blockstraße</t>
        </is>
      </c>
      <c r="D2234" s="4" t="inlineStr">
        <is>
          <t>10</t>
        </is>
      </c>
      <c r="E2234" s="13" t="n">
        <v>81</v>
      </c>
      <c r="F2234" s="12" t="n">
        <v>1.539993286132812</v>
      </c>
      <c r="G2234" s="4" t="n">
        <v>1</v>
      </c>
      <c r="H2234" s="4">
        <f>IF(OR(N(F2234)&gt;=0.5,G2234&gt;=4),3,IF(OR(N(F2234)&gt;=0.3,G2234=3),2,IF(OR(N(F2234)&gt;=0.1,G2234&gt;=1),1,0)))</f>
        <v/>
      </c>
      <c r="I2234" s="4">
        <f>CHOOSE(H2234+1,"Kein Risiko","Gering","Mittel","Hoch")</f>
        <v/>
      </c>
    </row>
    <row r="2235">
      <c r="A2235" s="4" t="n">
        <v>2231</v>
      </c>
      <c r="B2235" s="4" t="inlineStr">
        <is>
          <t>yes</t>
        </is>
      </c>
      <c r="C2235" s="4" t="inlineStr">
        <is>
          <t>Marienberghang</t>
        </is>
      </c>
      <c r="D2235" s="4" t="inlineStr">
        <is>
          <t>11</t>
        </is>
      </c>
      <c r="E2235" s="13" t="n">
        <v>101.4</v>
      </c>
      <c r="F2235" s="12" t="n">
        <v>0</v>
      </c>
      <c r="G2235" s="4" t="n">
        <v>0</v>
      </c>
      <c r="H2235" s="4">
        <f>IF(OR(N(F2235)&gt;=0.5,G2235&gt;=4),3,IF(OR(N(F2235)&gt;=0.3,G2235=3),2,IF(OR(N(F2235)&gt;=0.1,G2235&gt;=1),1,0)))</f>
        <v/>
      </c>
      <c r="I2235" s="4">
        <f>CHOOSE(H2235+1,"Kein Risiko","Gering","Mittel","Hoch")</f>
        <v/>
      </c>
    </row>
    <row r="2236">
      <c r="A2236" s="4" t="n">
        <v>2232</v>
      </c>
      <c r="B2236" s="4" t="inlineStr">
        <is>
          <t>yes</t>
        </is>
      </c>
      <c r="C2236" s="4" t="inlineStr">
        <is>
          <t>Bissenkamp</t>
        </is>
      </c>
      <c r="D2236" s="4" t="inlineStr">
        <is>
          <t>12</t>
        </is>
      </c>
      <c r="E2236" s="13" t="n">
        <v>81.2</v>
      </c>
      <c r="F2236" s="12" t="n">
        <v>0</v>
      </c>
      <c r="G2236" s="4" t="n">
        <v>1</v>
      </c>
      <c r="H2236" s="4">
        <f>IF(OR(N(F2236)&gt;=0.5,G2236&gt;=4),3,IF(OR(N(F2236)&gt;=0.3,G2236=3),2,IF(OR(N(F2236)&gt;=0.1,G2236&gt;=1),1,0)))</f>
        <v/>
      </c>
      <c r="I2236" s="4">
        <f>CHOOSE(H2236+1,"Kein Risiko","Gering","Mittel","Hoch")</f>
        <v/>
      </c>
    </row>
    <row r="2237">
      <c r="A2237" s="4" t="n">
        <v>2233</v>
      </c>
      <c r="B2237" s="4" t="inlineStr">
        <is>
          <t>yes</t>
        </is>
      </c>
      <c r="C2237" s="4" t="inlineStr">
        <is>
          <t>Blockstraße</t>
        </is>
      </c>
      <c r="D2237" s="4" t="inlineStr">
        <is>
          <t>13</t>
        </is>
      </c>
      <c r="E2237" s="13" t="n">
        <v>48</v>
      </c>
      <c r="F2237" s="12" t="n">
        <v>0</v>
      </c>
      <c r="G2237" s="4" t="n">
        <v>0</v>
      </c>
      <c r="H2237" s="4">
        <f>IF(OR(N(F2237)&gt;=0.5,G2237&gt;=4),3,IF(OR(N(F2237)&gt;=0.3,G2237=3),2,IF(OR(N(F2237)&gt;=0.1,G2237&gt;=1),1,0)))</f>
        <v/>
      </c>
      <c r="I2237" s="4">
        <f>CHOOSE(H2237+1,"Kein Risiko","Gering","Mittel","Hoch")</f>
        <v/>
      </c>
    </row>
    <row r="2238">
      <c r="A2238" s="4" t="n">
        <v>2234</v>
      </c>
      <c r="B2238" s="4" t="inlineStr">
        <is>
          <t>yes</t>
        </is>
      </c>
      <c r="C2238" s="4" t="inlineStr">
        <is>
          <t>Marienberghang</t>
        </is>
      </c>
      <c r="D2238" s="4" t="inlineStr">
        <is>
          <t>13</t>
        </is>
      </c>
      <c r="E2238" s="13" t="n">
        <v>86.90000000000001</v>
      </c>
      <c r="F2238" s="12" t="n">
        <v>0.01000213623046875</v>
      </c>
      <c r="G2238" s="4" t="n">
        <v>0</v>
      </c>
      <c r="H2238" s="4">
        <f>IF(OR(N(F2238)&gt;=0.5,G2238&gt;=4),3,IF(OR(N(F2238)&gt;=0.3,G2238=3),2,IF(OR(N(F2238)&gt;=0.1,G2238&gt;=1),1,0)))</f>
        <v/>
      </c>
      <c r="I2238" s="4">
        <f>CHOOSE(H2238+1,"Kein Risiko","Gering","Mittel","Hoch")</f>
        <v/>
      </c>
    </row>
    <row r="2239">
      <c r="A2239" s="4" t="n">
        <v>2235</v>
      </c>
      <c r="B2239" s="4" t="inlineStr">
        <is>
          <t>yes</t>
        </is>
      </c>
      <c r="C2239" s="4" t="inlineStr">
        <is>
          <t>Blockstraße</t>
        </is>
      </c>
      <c r="D2239" s="4" t="inlineStr">
        <is>
          <t>14</t>
        </is>
      </c>
      <c r="E2239" s="13" t="n">
        <v>49.2</v>
      </c>
      <c r="F2239" s="12" t="n">
        <v>1.360000610351562</v>
      </c>
      <c r="G2239" s="4" t="n">
        <v>1</v>
      </c>
      <c r="H2239" s="4">
        <f>IF(OR(N(F2239)&gt;=0.5,G2239&gt;=4),3,IF(OR(N(F2239)&gt;=0.3,G2239=3),2,IF(OR(N(F2239)&gt;=0.1,G2239&gt;=1),1,0)))</f>
        <v/>
      </c>
      <c r="I2239" s="4">
        <f>CHOOSE(H2239+1,"Kein Risiko","Gering","Mittel","Hoch")</f>
        <v/>
      </c>
    </row>
    <row r="2240">
      <c r="A2240" s="4" t="n">
        <v>2236</v>
      </c>
      <c r="B2240" s="4" t="inlineStr">
        <is>
          <t>apartments</t>
        </is>
      </c>
      <c r="C2240" s="4" t="inlineStr">
        <is>
          <t>Kupferdreher Straße</t>
        </is>
      </c>
      <c r="D2240" s="4" t="inlineStr">
        <is>
          <t>140</t>
        </is>
      </c>
      <c r="E2240" s="13" t="n">
        <v>149.6</v>
      </c>
      <c r="F2240" s="12" t="n">
        <v>0</v>
      </c>
      <c r="G2240" s="4" t="n">
        <v>0</v>
      </c>
      <c r="H2240" s="4">
        <f>IF(OR(N(F2240)&gt;=0.5,G2240&gt;=4),3,IF(OR(N(F2240)&gt;=0.3,G2240=3),2,IF(OR(N(F2240)&gt;=0.1,G2240&gt;=1),1,0)))</f>
        <v/>
      </c>
      <c r="I2240" s="4">
        <f>CHOOSE(H2240+1,"Kein Risiko","Gering","Mittel","Hoch")</f>
        <v/>
      </c>
    </row>
    <row r="2241">
      <c r="A2241" s="4" t="n">
        <v>2237</v>
      </c>
      <c r="B2241" s="4" t="inlineStr">
        <is>
          <t>yes</t>
        </is>
      </c>
      <c r="C2241" s="4" t="inlineStr">
        <is>
          <t>Blockstraße</t>
        </is>
      </c>
      <c r="D2241" s="4" t="inlineStr">
        <is>
          <t>15</t>
        </is>
      </c>
      <c r="E2241" s="13" t="n">
        <v>54.7</v>
      </c>
      <c r="F2241" s="12" t="n">
        <v>0.2700042724609375</v>
      </c>
      <c r="G2241" s="4" t="n">
        <v>0</v>
      </c>
      <c r="H2241" s="4">
        <f>IF(OR(N(F2241)&gt;=0.5,G2241&gt;=4),3,IF(OR(N(F2241)&gt;=0.3,G2241=3),2,IF(OR(N(F2241)&gt;=0.1,G2241&gt;=1),1,0)))</f>
        <v/>
      </c>
      <c r="I2241" s="4">
        <f>CHOOSE(H2241+1,"Kein Risiko","Gering","Mittel","Hoch")</f>
        <v/>
      </c>
    </row>
    <row r="2242">
      <c r="A2242" s="4" t="n">
        <v>2238</v>
      </c>
      <c r="B2242" s="4" t="inlineStr">
        <is>
          <t>yes</t>
        </is>
      </c>
      <c r="C2242" s="4" t="inlineStr">
        <is>
          <t>Marienberghang</t>
        </is>
      </c>
      <c r="D2242" s="4" t="inlineStr">
        <is>
          <t>15</t>
        </is>
      </c>
      <c r="E2242" s="13" t="n">
        <v>87</v>
      </c>
      <c r="F2242" s="12" t="n">
        <v>0.029998779296875</v>
      </c>
      <c r="G2242" s="4" t="n">
        <v>0</v>
      </c>
      <c r="H2242" s="4">
        <f>IF(OR(N(F2242)&gt;=0.5,G2242&gt;=4),3,IF(OR(N(F2242)&gt;=0.3,G2242=3),2,IF(OR(N(F2242)&gt;=0.1,G2242&gt;=1),1,0)))</f>
        <v/>
      </c>
      <c r="I2242" s="4">
        <f>CHOOSE(H2242+1,"Kein Risiko","Gering","Mittel","Hoch")</f>
        <v/>
      </c>
    </row>
    <row r="2243">
      <c r="A2243" s="4" t="n">
        <v>2239</v>
      </c>
      <c r="B2243" s="4" t="inlineStr">
        <is>
          <t>yes</t>
        </is>
      </c>
      <c r="C2243" s="4" t="inlineStr">
        <is>
          <t>Bissenkamp</t>
        </is>
      </c>
      <c r="D2243" s="4" t="inlineStr">
        <is>
          <t>16</t>
        </is>
      </c>
      <c r="E2243" s="13" t="n">
        <v>96.09999999999999</v>
      </c>
      <c r="F2243" s="12" t="n">
        <v>0</v>
      </c>
      <c r="G2243" s="4" t="n">
        <v>0</v>
      </c>
      <c r="H2243" s="4">
        <f>IF(OR(N(F2243)&gt;=0.5,G2243&gt;=4),3,IF(OR(N(F2243)&gt;=0.3,G2243=3),2,IF(OR(N(F2243)&gt;=0.1,G2243&gt;=1),1,0)))</f>
        <v/>
      </c>
      <c r="I2243" s="4">
        <f>CHOOSE(H2243+1,"Kein Risiko","Gering","Mittel","Hoch")</f>
        <v/>
      </c>
    </row>
    <row r="2244">
      <c r="A2244" s="4" t="n">
        <v>2240</v>
      </c>
      <c r="B2244" s="4" t="inlineStr">
        <is>
          <t>yes</t>
        </is>
      </c>
      <c r="C2244" s="4" t="inlineStr">
        <is>
          <t>Blockstraße</t>
        </is>
      </c>
      <c r="D2244" s="4" t="inlineStr">
        <is>
          <t>16</t>
        </is>
      </c>
      <c r="E2244" s="13" t="n">
        <v>95.8</v>
      </c>
      <c r="F2244" s="12" t="n">
        <v>0.5699996948242188</v>
      </c>
      <c r="G2244" s="4" t="n">
        <v>2</v>
      </c>
      <c r="H2244" s="4">
        <f>IF(OR(N(F2244)&gt;=0.5,G2244&gt;=4),3,IF(OR(N(F2244)&gt;=0.3,G2244=3),2,IF(OR(N(F2244)&gt;=0.1,G2244&gt;=1),1,0)))</f>
        <v/>
      </c>
      <c r="I2244" s="4">
        <f>CHOOSE(H2244+1,"Kein Risiko","Gering","Mittel","Hoch")</f>
        <v/>
      </c>
    </row>
    <row r="2245">
      <c r="A2245" s="4" t="n">
        <v>2241</v>
      </c>
      <c r="B2245" s="4" t="inlineStr">
        <is>
          <t>yes</t>
        </is>
      </c>
      <c r="C2245" s="4" t="inlineStr">
        <is>
          <t>Blockstraße</t>
        </is>
      </c>
      <c r="D2245" s="4" t="inlineStr">
        <is>
          <t>17</t>
        </is>
      </c>
      <c r="E2245" s="13" t="n">
        <v>66.40000000000001</v>
      </c>
      <c r="F2245" s="12" t="n">
        <v>0</v>
      </c>
      <c r="G2245" s="4" t="n">
        <v>3</v>
      </c>
      <c r="H2245" s="4">
        <f>IF(OR(N(F2245)&gt;=0.5,G2245&gt;=4),3,IF(OR(N(F2245)&gt;=0.3,G2245=3),2,IF(OR(N(F2245)&gt;=0.1,G2245&gt;=1),1,0)))</f>
        <v/>
      </c>
      <c r="I2245" s="4">
        <f>CHOOSE(H2245+1,"Kein Risiko","Gering","Mittel","Hoch")</f>
        <v/>
      </c>
    </row>
    <row r="2246">
      <c r="A2246" s="4" t="n">
        <v>2242</v>
      </c>
      <c r="B2246" s="4" t="inlineStr">
        <is>
          <t>yes</t>
        </is>
      </c>
      <c r="C2246" s="4" t="inlineStr">
        <is>
          <t>Marienberghang</t>
        </is>
      </c>
      <c r="D2246" s="4" t="inlineStr">
        <is>
          <t>17</t>
        </is>
      </c>
      <c r="E2246" s="13" t="n">
        <v>99.90000000000001</v>
      </c>
      <c r="F2246" s="12" t="n">
        <v>0.01000213623046875</v>
      </c>
      <c r="G2246" s="4" t="n">
        <v>0</v>
      </c>
      <c r="H2246" s="4">
        <f>IF(OR(N(F2246)&gt;=0.5,G2246&gt;=4),3,IF(OR(N(F2246)&gt;=0.3,G2246=3),2,IF(OR(N(F2246)&gt;=0.1,G2246&gt;=1),1,0)))</f>
        <v/>
      </c>
      <c r="I2246" s="4">
        <f>CHOOSE(H2246+1,"Kein Risiko","Gering","Mittel","Hoch")</f>
        <v/>
      </c>
    </row>
    <row r="2247">
      <c r="A2247" s="4" t="n">
        <v>2243</v>
      </c>
      <c r="B2247" s="4" t="inlineStr">
        <is>
          <t>yes</t>
        </is>
      </c>
      <c r="C2247" s="4" t="inlineStr">
        <is>
          <t>Bissenkamp</t>
        </is>
      </c>
      <c r="D2247" s="4" t="inlineStr">
        <is>
          <t>18</t>
        </is>
      </c>
      <c r="E2247" s="13" t="n">
        <v>81.40000000000001</v>
      </c>
      <c r="F2247" s="12" t="n">
        <v>0.0200042724609375</v>
      </c>
      <c r="G2247" s="4" t="n">
        <v>0</v>
      </c>
      <c r="H2247" s="4">
        <f>IF(OR(N(F2247)&gt;=0.5,G2247&gt;=4),3,IF(OR(N(F2247)&gt;=0.3,G2247=3),2,IF(OR(N(F2247)&gt;=0.1,G2247&gt;=1),1,0)))</f>
        <v/>
      </c>
      <c r="I2247" s="4">
        <f>CHOOSE(H2247+1,"Kein Risiko","Gering","Mittel","Hoch")</f>
        <v/>
      </c>
    </row>
    <row r="2248">
      <c r="A2248" s="4" t="n">
        <v>2244</v>
      </c>
      <c r="B2248" s="4" t="inlineStr">
        <is>
          <t>yes</t>
        </is>
      </c>
      <c r="C2248" s="4" t="inlineStr">
        <is>
          <t>Blockstraße</t>
        </is>
      </c>
      <c r="D2248" s="4" t="inlineStr">
        <is>
          <t>18</t>
        </is>
      </c>
      <c r="E2248" s="13" t="n">
        <v>57.9</v>
      </c>
      <c r="F2248" s="12" t="n">
        <v>0.09999847412109375</v>
      </c>
      <c r="G2248" s="4" t="n">
        <v>1</v>
      </c>
      <c r="H2248" s="4">
        <f>IF(OR(N(F2248)&gt;=0.5,G2248&gt;=4),3,IF(OR(N(F2248)&gt;=0.3,G2248=3),2,IF(OR(N(F2248)&gt;=0.1,G2248&gt;=1),1,0)))</f>
        <v/>
      </c>
      <c r="I2248" s="4">
        <f>CHOOSE(H2248+1,"Kein Risiko","Gering","Mittel","Hoch")</f>
        <v/>
      </c>
    </row>
    <row r="2249">
      <c r="A2249" s="4" t="n">
        <v>2245</v>
      </c>
      <c r="B2249" s="4" t="inlineStr">
        <is>
          <t>yes</t>
        </is>
      </c>
      <c r="C2249" s="4" t="inlineStr">
        <is>
          <t>Marienberghang</t>
        </is>
      </c>
      <c r="D2249" s="4" t="inlineStr">
        <is>
          <t>19</t>
        </is>
      </c>
      <c r="E2249" s="13" t="n">
        <v>99.8</v>
      </c>
      <c r="F2249" s="12" t="n">
        <v>0.04000091552734375</v>
      </c>
      <c r="G2249" s="4" t="n">
        <v>0</v>
      </c>
      <c r="H2249" s="4">
        <f>IF(OR(N(F2249)&gt;=0.5,G2249&gt;=4),3,IF(OR(N(F2249)&gt;=0.3,G2249=3),2,IF(OR(N(F2249)&gt;=0.1,G2249&gt;=1),1,0)))</f>
        <v/>
      </c>
      <c r="I2249" s="4">
        <f>CHOOSE(H2249+1,"Kein Risiko","Gering","Mittel","Hoch")</f>
        <v/>
      </c>
    </row>
    <row r="2250">
      <c r="A2250" s="4" t="n">
        <v>2246</v>
      </c>
      <c r="B2250" s="4" t="inlineStr">
        <is>
          <t>yes</t>
        </is>
      </c>
      <c r="C2250" s="4" t="inlineStr">
        <is>
          <t>Blockstraße</t>
        </is>
      </c>
      <c r="D2250" s="4" t="inlineStr">
        <is>
          <t>2</t>
        </is>
      </c>
      <c r="E2250" s="13" t="n">
        <v>78.40000000000001</v>
      </c>
      <c r="F2250" s="12" t="n">
        <v>0</v>
      </c>
      <c r="G2250" s="4" t="n">
        <v>0</v>
      </c>
      <c r="H2250" s="4">
        <f>IF(OR(N(F2250)&gt;=0.5,G2250&gt;=4),3,IF(OR(N(F2250)&gt;=0.3,G2250=3),2,IF(OR(N(F2250)&gt;=0.1,G2250&gt;=1),1,0)))</f>
        <v/>
      </c>
      <c r="I2250" s="4">
        <f>CHOOSE(H2250+1,"Kein Risiko","Gering","Mittel","Hoch")</f>
        <v/>
      </c>
    </row>
    <row r="2251">
      <c r="A2251" s="4" t="n">
        <v>2247</v>
      </c>
      <c r="B2251" s="4" t="inlineStr">
        <is>
          <t>yes</t>
        </is>
      </c>
      <c r="C2251" s="4" t="inlineStr">
        <is>
          <t>Blockstraße</t>
        </is>
      </c>
      <c r="D2251" s="4" t="inlineStr">
        <is>
          <t>21</t>
        </is>
      </c>
      <c r="E2251" s="13" t="n">
        <v>78.8</v>
      </c>
      <c r="F2251" s="12" t="n">
        <v>0.5100021362304688</v>
      </c>
      <c r="G2251" s="4" t="n">
        <v>3</v>
      </c>
      <c r="H2251" s="4">
        <f>IF(OR(N(F2251)&gt;=0.5,G2251&gt;=4),3,IF(OR(N(F2251)&gt;=0.3,G2251=3),2,IF(OR(N(F2251)&gt;=0.1,G2251&gt;=1),1,0)))</f>
        <v/>
      </c>
      <c r="I2251" s="4">
        <f>CHOOSE(H2251+1,"Kein Risiko","Gering","Mittel","Hoch")</f>
        <v/>
      </c>
    </row>
    <row r="2252">
      <c r="A2252" s="4" t="n">
        <v>2248</v>
      </c>
      <c r="B2252" s="4" t="inlineStr">
        <is>
          <t>semidetached_house</t>
        </is>
      </c>
      <c r="C2252" s="4" t="inlineStr">
        <is>
          <t>Marienbergstraße</t>
        </is>
      </c>
      <c r="D2252" s="4" t="inlineStr">
        <is>
          <t>21</t>
        </is>
      </c>
      <c r="E2252" s="13" t="n">
        <v>55.3</v>
      </c>
      <c r="F2252" s="12" t="n">
        <v>0.04000091552734375</v>
      </c>
      <c r="G2252" s="4" t="n">
        <v>2</v>
      </c>
      <c r="H2252" s="4">
        <f>IF(OR(N(F2252)&gt;=0.5,G2252&gt;=4),3,IF(OR(N(F2252)&gt;=0.3,G2252=3),2,IF(OR(N(F2252)&gt;=0.1,G2252&gt;=1),1,0)))</f>
        <v/>
      </c>
      <c r="I2252" s="4">
        <f>CHOOSE(H2252+1,"Kein Risiko","Gering","Mittel","Hoch")</f>
        <v/>
      </c>
    </row>
    <row r="2253">
      <c r="A2253" s="4" t="n">
        <v>2249</v>
      </c>
      <c r="B2253" s="4" t="inlineStr">
        <is>
          <t>house</t>
        </is>
      </c>
      <c r="C2253" s="4" t="inlineStr">
        <is>
          <t>Bissenkamp</t>
        </is>
      </c>
      <c r="D2253" s="4" t="inlineStr">
        <is>
          <t>22</t>
        </is>
      </c>
      <c r="E2253" s="13" t="n">
        <v>101</v>
      </c>
      <c r="F2253" s="12" t="n">
        <v>0</v>
      </c>
      <c r="G2253" s="4" t="n">
        <v>0</v>
      </c>
      <c r="H2253" s="4">
        <f>IF(OR(N(F2253)&gt;=0.5,G2253&gt;=4),3,IF(OR(N(F2253)&gt;=0.3,G2253=3),2,IF(OR(N(F2253)&gt;=0.1,G2253&gt;=1),1,0)))</f>
        <v/>
      </c>
      <c r="I2253" s="4">
        <f>CHOOSE(H2253+1,"Kein Risiko","Gering","Mittel","Hoch")</f>
        <v/>
      </c>
    </row>
    <row r="2254">
      <c r="A2254" s="4" t="n">
        <v>2250</v>
      </c>
      <c r="B2254" s="4" t="inlineStr">
        <is>
          <t>yes</t>
        </is>
      </c>
      <c r="C2254" s="4" t="inlineStr">
        <is>
          <t>Blockstraße</t>
        </is>
      </c>
      <c r="D2254" s="4" t="inlineStr">
        <is>
          <t>22</t>
        </is>
      </c>
      <c r="E2254" s="13" t="n">
        <v>53.2</v>
      </c>
      <c r="F2254" s="12" t="n">
        <v>0</v>
      </c>
      <c r="G2254" s="4" t="n">
        <v>0</v>
      </c>
      <c r="H2254" s="4">
        <f>IF(OR(N(F2254)&gt;=0.5,G2254&gt;=4),3,IF(OR(N(F2254)&gt;=0.3,G2254=3),2,IF(OR(N(F2254)&gt;=0.1,G2254&gt;=1),1,0)))</f>
        <v/>
      </c>
      <c r="I2254" s="4">
        <f>CHOOSE(H2254+1,"Kein Risiko","Gering","Mittel","Hoch")</f>
        <v/>
      </c>
    </row>
    <row r="2255">
      <c r="A2255" s="4" t="n">
        <v>2251</v>
      </c>
      <c r="B2255" s="4" t="inlineStr">
        <is>
          <t>semidetached_house</t>
        </is>
      </c>
      <c r="C2255" s="4" t="inlineStr">
        <is>
          <t>Marienbergstraße</t>
        </is>
      </c>
      <c r="D2255" s="4" t="inlineStr">
        <is>
          <t>22</t>
        </is>
      </c>
      <c r="E2255" s="13" t="n">
        <v>64.3</v>
      </c>
      <c r="F2255" s="12" t="n">
        <v>0</v>
      </c>
      <c r="G2255" s="4" t="n">
        <v>0</v>
      </c>
      <c r="H2255" s="4">
        <f>IF(OR(N(F2255)&gt;=0.5,G2255&gt;=4),3,IF(OR(N(F2255)&gt;=0.3,G2255=3),2,IF(OR(N(F2255)&gt;=0.1,G2255&gt;=1),1,0)))</f>
        <v/>
      </c>
      <c r="I2255" s="4">
        <f>CHOOSE(H2255+1,"Kein Risiko","Gering","Mittel","Hoch")</f>
        <v/>
      </c>
    </row>
    <row r="2256">
      <c r="A2256" s="4" t="n">
        <v>2252</v>
      </c>
      <c r="B2256" s="4" t="inlineStr">
        <is>
          <t>yes</t>
        </is>
      </c>
      <c r="C2256" s="4" t="inlineStr">
        <is>
          <t>Blockstraße</t>
        </is>
      </c>
      <c r="D2256" s="4" t="inlineStr">
        <is>
          <t>23</t>
        </is>
      </c>
      <c r="E2256" s="13" t="n">
        <v>54.8</v>
      </c>
      <c r="F2256" s="12" t="n">
        <v>0</v>
      </c>
      <c r="G2256" s="4" t="n">
        <v>0</v>
      </c>
      <c r="H2256" s="4">
        <f>IF(OR(N(F2256)&gt;=0.5,G2256&gt;=4),3,IF(OR(N(F2256)&gt;=0.3,G2256=3),2,IF(OR(N(F2256)&gt;=0.1,G2256&gt;=1),1,0)))</f>
        <v/>
      </c>
      <c r="I2256" s="4">
        <f>CHOOSE(H2256+1,"Kein Risiko","Gering","Mittel","Hoch")</f>
        <v/>
      </c>
    </row>
    <row r="2257">
      <c r="A2257" s="4" t="n">
        <v>2253</v>
      </c>
      <c r="B2257" s="4" t="inlineStr">
        <is>
          <t>house</t>
        </is>
      </c>
      <c r="C2257" s="4" t="inlineStr">
        <is>
          <t>Bissenkamp</t>
        </is>
      </c>
      <c r="D2257" s="4" t="inlineStr">
        <is>
          <t>24</t>
        </is>
      </c>
      <c r="E2257" s="13" t="n">
        <v>78.40000000000001</v>
      </c>
      <c r="F2257" s="12" t="n">
        <v>0</v>
      </c>
      <c r="G2257" s="4" t="n">
        <v>0</v>
      </c>
      <c r="H2257" s="4">
        <f>IF(OR(N(F2257)&gt;=0.5,G2257&gt;=4),3,IF(OR(N(F2257)&gt;=0.3,G2257=3),2,IF(OR(N(F2257)&gt;=0.1,G2257&gt;=1),1,0)))</f>
        <v/>
      </c>
      <c r="I2257" s="4">
        <f>CHOOSE(H2257+1,"Kein Risiko","Gering","Mittel","Hoch")</f>
        <v/>
      </c>
    </row>
    <row r="2258">
      <c r="A2258" s="4" t="n">
        <v>2254</v>
      </c>
      <c r="B2258" s="4" t="inlineStr">
        <is>
          <t>yes</t>
        </is>
      </c>
      <c r="C2258" s="4" t="inlineStr">
        <is>
          <t>Blockstraße</t>
        </is>
      </c>
      <c r="D2258" s="4" t="inlineStr">
        <is>
          <t>24</t>
        </is>
      </c>
      <c r="E2258" s="13" t="n">
        <v>119.1</v>
      </c>
      <c r="F2258" s="12" t="n">
        <v>0</v>
      </c>
      <c r="G2258" s="4" t="n">
        <v>1</v>
      </c>
      <c r="H2258" s="4">
        <f>IF(OR(N(F2258)&gt;=0.5,G2258&gt;=4),3,IF(OR(N(F2258)&gt;=0.3,G2258=3),2,IF(OR(N(F2258)&gt;=0.1,G2258&gt;=1),1,0)))</f>
        <v/>
      </c>
      <c r="I2258" s="4">
        <f>CHOOSE(H2258+1,"Kein Risiko","Gering","Mittel","Hoch")</f>
        <v/>
      </c>
    </row>
    <row r="2259">
      <c r="A2259" s="4" t="n">
        <v>2255</v>
      </c>
      <c r="B2259" s="4" t="inlineStr">
        <is>
          <t>yes</t>
        </is>
      </c>
      <c r="C2259" s="4" t="inlineStr">
        <is>
          <t>Marienbergstraße</t>
        </is>
      </c>
      <c r="D2259" s="4" t="inlineStr">
        <is>
          <t>25</t>
        </is>
      </c>
      <c r="E2259" s="13" t="n">
        <v>116.4</v>
      </c>
      <c r="F2259" s="12" t="n">
        <v>0</v>
      </c>
      <c r="G2259" s="4" t="n">
        <v>0</v>
      </c>
      <c r="H2259" s="4">
        <f>IF(OR(N(F2259)&gt;=0.5,G2259&gt;=4),3,IF(OR(N(F2259)&gt;=0.3,G2259=3),2,IF(OR(N(F2259)&gt;=0.1,G2259&gt;=1),1,0)))</f>
        <v/>
      </c>
      <c r="I2259" s="4">
        <f>CHOOSE(H2259+1,"Kein Risiko","Gering","Mittel","Hoch")</f>
        <v/>
      </c>
    </row>
    <row r="2260">
      <c r="A2260" s="4" t="n">
        <v>2256</v>
      </c>
      <c r="B2260" s="4" t="inlineStr">
        <is>
          <t>yes</t>
        </is>
      </c>
      <c r="C2260" s="4" t="inlineStr">
        <is>
          <t>Blockstraße</t>
        </is>
      </c>
      <c r="D2260" s="4" t="inlineStr">
        <is>
          <t>26</t>
        </is>
      </c>
      <c r="E2260" s="13" t="n">
        <v>111.2</v>
      </c>
      <c r="F2260" s="12" t="n">
        <v>0</v>
      </c>
      <c r="G2260" s="4" t="n">
        <v>0</v>
      </c>
      <c r="H2260" s="4">
        <f>IF(OR(N(F2260)&gt;=0.5,G2260&gt;=4),3,IF(OR(N(F2260)&gt;=0.3,G2260=3),2,IF(OR(N(F2260)&gt;=0.1,G2260&gt;=1),1,0)))</f>
        <v/>
      </c>
      <c r="I2260" s="4">
        <f>CHOOSE(H2260+1,"Kein Risiko","Gering","Mittel","Hoch")</f>
        <v/>
      </c>
    </row>
    <row r="2261">
      <c r="A2261" s="4" t="n">
        <v>2257</v>
      </c>
      <c r="B2261" s="4" t="inlineStr">
        <is>
          <t>semidetached_house</t>
        </is>
      </c>
      <c r="C2261" s="4" t="inlineStr">
        <is>
          <t>Marienbergstraße</t>
        </is>
      </c>
      <c r="D2261" s="4" t="inlineStr">
        <is>
          <t>26</t>
        </is>
      </c>
      <c r="E2261" s="13" t="n">
        <v>76.59999999999999</v>
      </c>
      <c r="F2261" s="12" t="n">
        <v>0</v>
      </c>
      <c r="G2261" s="4" t="n">
        <v>0</v>
      </c>
      <c r="H2261" s="4">
        <f>IF(OR(N(F2261)&gt;=0.5,G2261&gt;=4),3,IF(OR(N(F2261)&gt;=0.3,G2261=3),2,IF(OR(N(F2261)&gt;=0.1,G2261&gt;=1),1,0)))</f>
        <v/>
      </c>
      <c r="I2261" s="4">
        <f>CHOOSE(H2261+1,"Kein Risiko","Gering","Mittel","Hoch")</f>
        <v/>
      </c>
    </row>
    <row r="2262">
      <c r="A2262" s="4" t="n">
        <v>2258</v>
      </c>
      <c r="B2262" s="4" t="inlineStr">
        <is>
          <t>yes</t>
        </is>
      </c>
      <c r="C2262" s="4" t="inlineStr">
        <is>
          <t>Blockstraße</t>
        </is>
      </c>
      <c r="D2262" s="4" t="inlineStr">
        <is>
          <t>27</t>
        </is>
      </c>
      <c r="E2262" s="13" t="n">
        <v>122.1</v>
      </c>
      <c r="F2262" s="12" t="n">
        <v>0</v>
      </c>
      <c r="G2262" s="4" t="n">
        <v>0</v>
      </c>
      <c r="H2262" s="4">
        <f>IF(OR(N(F2262)&gt;=0.5,G2262&gt;=4),3,IF(OR(N(F2262)&gt;=0.3,G2262=3),2,IF(OR(N(F2262)&gt;=0.1,G2262&gt;=1),1,0)))</f>
        <v/>
      </c>
      <c r="I2262" s="4">
        <f>CHOOSE(H2262+1,"Kein Risiko","Gering","Mittel","Hoch")</f>
        <v/>
      </c>
    </row>
    <row r="2263">
      <c r="A2263" s="4" t="n">
        <v>2259</v>
      </c>
      <c r="B2263" s="4" t="inlineStr">
        <is>
          <t>yes</t>
        </is>
      </c>
      <c r="C2263" s="4" t="inlineStr">
        <is>
          <t>Marienbergstraße</t>
        </is>
      </c>
      <c r="D2263" s="4" t="inlineStr">
        <is>
          <t>29</t>
        </is>
      </c>
      <c r="E2263" s="13" t="n">
        <v>65</v>
      </c>
      <c r="F2263" s="12" t="n">
        <v>0</v>
      </c>
      <c r="G2263" s="4" t="n">
        <v>0</v>
      </c>
      <c r="H2263" s="4">
        <f>IF(OR(N(F2263)&gt;=0.5,G2263&gt;=4),3,IF(OR(N(F2263)&gt;=0.3,G2263=3),2,IF(OR(N(F2263)&gt;=0.1,G2263&gt;=1),1,0)))</f>
        <v/>
      </c>
      <c r="I2263" s="4">
        <f>CHOOSE(H2263+1,"Kein Risiko","Gering","Mittel","Hoch")</f>
        <v/>
      </c>
    </row>
    <row r="2264">
      <c r="A2264" s="4" t="n">
        <v>2260</v>
      </c>
      <c r="B2264" s="4" t="inlineStr">
        <is>
          <t>yes</t>
        </is>
      </c>
      <c r="C2264" s="4" t="inlineStr">
        <is>
          <t>Gasstraße</t>
        </is>
      </c>
      <c r="D2264" s="4" t="inlineStr">
        <is>
          <t>2b</t>
        </is>
      </c>
      <c r="E2264" s="13" t="n">
        <v>348.6</v>
      </c>
      <c r="F2264" s="12" t="n">
        <v>0.04000091552734375</v>
      </c>
      <c r="G2264" s="4" t="n">
        <v>2</v>
      </c>
      <c r="H2264" s="4">
        <f>IF(OR(N(F2264)&gt;=0.5,G2264&gt;=4),3,IF(OR(N(F2264)&gt;=0.3,G2264=3),2,IF(OR(N(F2264)&gt;=0.1,G2264&gt;=1),1,0)))</f>
        <v/>
      </c>
      <c r="I2264" s="4">
        <f>CHOOSE(H2264+1,"Kein Risiko","Gering","Mittel","Hoch")</f>
        <v/>
      </c>
    </row>
    <row r="2265">
      <c r="A2265" s="4" t="n">
        <v>2261</v>
      </c>
      <c r="B2265" s="4" t="inlineStr">
        <is>
          <t>yes</t>
        </is>
      </c>
      <c r="C2265" s="4" t="inlineStr">
        <is>
          <t>Bissenkamp</t>
        </is>
      </c>
      <c r="D2265" s="4" t="inlineStr">
        <is>
          <t>3</t>
        </is>
      </c>
      <c r="E2265" s="13" t="n">
        <v>66.59999999999999</v>
      </c>
      <c r="F2265" s="12" t="n">
        <v>0</v>
      </c>
      <c r="G2265" s="4" t="n">
        <v>0</v>
      </c>
      <c r="H2265" s="4">
        <f>IF(OR(N(F2265)&gt;=0.5,G2265&gt;=4),3,IF(OR(N(F2265)&gt;=0.3,G2265=3),2,IF(OR(N(F2265)&gt;=0.1,G2265&gt;=1),1,0)))</f>
        <v/>
      </c>
      <c r="I2265" s="4">
        <f>CHOOSE(H2265+1,"Kein Risiko","Gering","Mittel","Hoch")</f>
        <v/>
      </c>
    </row>
    <row r="2266">
      <c r="A2266" s="4" t="n">
        <v>2262</v>
      </c>
      <c r="B2266" s="4" t="inlineStr">
        <is>
          <t>yes</t>
        </is>
      </c>
      <c r="C2266" s="4" t="inlineStr">
        <is>
          <t>Marienberghang</t>
        </is>
      </c>
      <c r="D2266" s="4" t="inlineStr">
        <is>
          <t>3</t>
        </is>
      </c>
      <c r="E2266" s="13" t="n">
        <v>95.8</v>
      </c>
      <c r="F2266" s="12" t="n">
        <v>0</v>
      </c>
      <c r="G2266" s="4" t="n">
        <v>0</v>
      </c>
      <c r="H2266" s="4">
        <f>IF(OR(N(F2266)&gt;=0.5,G2266&gt;=4),3,IF(OR(N(F2266)&gt;=0.3,G2266=3),2,IF(OR(N(F2266)&gt;=0.1,G2266&gt;=1),1,0)))</f>
        <v/>
      </c>
      <c r="I2266" s="4">
        <f>CHOOSE(H2266+1,"Kein Risiko","Gering","Mittel","Hoch")</f>
        <v/>
      </c>
    </row>
    <row r="2267">
      <c r="A2267" s="4" t="n">
        <v>2263</v>
      </c>
      <c r="B2267" s="4" t="inlineStr">
        <is>
          <t>yes</t>
        </is>
      </c>
      <c r="C2267" s="4" t="inlineStr">
        <is>
          <t>Fahrenberg</t>
        </is>
      </c>
      <c r="D2267" s="4" t="inlineStr">
        <is>
          <t>30</t>
        </is>
      </c>
      <c r="E2267" s="13" t="n">
        <v>75.90000000000001</v>
      </c>
      <c r="F2267" s="12" t="n">
        <v>0.01000213623046875</v>
      </c>
      <c r="G2267" s="4" t="n">
        <v>0</v>
      </c>
      <c r="H2267" s="4">
        <f>IF(OR(N(F2267)&gt;=0.5,G2267&gt;=4),3,IF(OR(N(F2267)&gt;=0.3,G2267=3),2,IF(OR(N(F2267)&gt;=0.1,G2267&gt;=1),1,0)))</f>
        <v/>
      </c>
      <c r="I2267" s="4">
        <f>CHOOSE(H2267+1,"Kein Risiko","Gering","Mittel","Hoch")</f>
        <v/>
      </c>
    </row>
    <row r="2268">
      <c r="A2268" s="4" t="n">
        <v>2264</v>
      </c>
      <c r="B2268" s="4" t="inlineStr">
        <is>
          <t>yes</t>
        </is>
      </c>
      <c r="C2268" s="4" t="inlineStr">
        <is>
          <t>Marienbergstraße</t>
        </is>
      </c>
      <c r="D2268" s="4" t="inlineStr">
        <is>
          <t>30</t>
        </is>
      </c>
      <c r="E2268" s="13" t="n">
        <v>58.5</v>
      </c>
      <c r="F2268" s="12" t="n">
        <v>0</v>
      </c>
      <c r="G2268" s="4" t="n">
        <v>0</v>
      </c>
      <c r="H2268" s="4">
        <f>IF(OR(N(F2268)&gt;=0.5,G2268&gt;=4),3,IF(OR(N(F2268)&gt;=0.3,G2268=3),2,IF(OR(N(F2268)&gt;=0.1,G2268&gt;=1),1,0)))</f>
        <v/>
      </c>
      <c r="I2268" s="4">
        <f>CHOOSE(H2268+1,"Kein Risiko","Gering","Mittel","Hoch")</f>
        <v/>
      </c>
    </row>
    <row r="2269">
      <c r="A2269" s="4" t="n">
        <v>2265</v>
      </c>
      <c r="B2269" s="4" t="inlineStr">
        <is>
          <t>yes</t>
        </is>
      </c>
      <c r="C2269" s="4" t="inlineStr">
        <is>
          <t>Fahrenberg</t>
        </is>
      </c>
      <c r="D2269" s="4" t="inlineStr">
        <is>
          <t>30a</t>
        </is>
      </c>
      <c r="E2269" s="13" t="n">
        <v>95.2</v>
      </c>
      <c r="F2269" s="12" t="n">
        <v>0.04000091552734375</v>
      </c>
      <c r="G2269" s="4" t="n">
        <v>0</v>
      </c>
      <c r="H2269" s="4">
        <f>IF(OR(N(F2269)&gt;=0.5,G2269&gt;=4),3,IF(OR(N(F2269)&gt;=0.3,G2269=3),2,IF(OR(N(F2269)&gt;=0.1,G2269&gt;=1),1,0)))</f>
        <v/>
      </c>
      <c r="I2269" s="4">
        <f>CHOOSE(H2269+1,"Kein Risiko","Gering","Mittel","Hoch")</f>
        <v/>
      </c>
    </row>
    <row r="2270">
      <c r="A2270" s="4" t="n">
        <v>2266</v>
      </c>
      <c r="B2270" s="4" t="inlineStr">
        <is>
          <t>yes</t>
        </is>
      </c>
      <c r="C2270" s="4" t="inlineStr">
        <is>
          <t>Fahrenberg</t>
        </is>
      </c>
      <c r="D2270" s="4" t="inlineStr">
        <is>
          <t>30b</t>
        </is>
      </c>
      <c r="E2270" s="13" t="n">
        <v>65.40000000000001</v>
      </c>
      <c r="F2270" s="12" t="n">
        <v>0</v>
      </c>
      <c r="G2270" s="4" t="n">
        <v>0</v>
      </c>
      <c r="H2270" s="4">
        <f>IF(OR(N(F2270)&gt;=0.5,G2270&gt;=4),3,IF(OR(N(F2270)&gt;=0.3,G2270=3),2,IF(OR(N(F2270)&gt;=0.1,G2270&gt;=1),1,0)))</f>
        <v/>
      </c>
      <c r="I2270" s="4">
        <f>CHOOSE(H2270+1,"Kein Risiko","Gering","Mittel","Hoch")</f>
        <v/>
      </c>
    </row>
    <row r="2271">
      <c r="A2271" s="4" t="n">
        <v>2267</v>
      </c>
      <c r="B2271" s="4" t="inlineStr">
        <is>
          <t>yes</t>
        </is>
      </c>
      <c r="C2271" s="4" t="inlineStr">
        <is>
          <t>Fahrenberg</t>
        </is>
      </c>
      <c r="D2271" s="4" t="inlineStr">
        <is>
          <t>30c</t>
        </is>
      </c>
      <c r="E2271" s="13" t="n">
        <v>91.5</v>
      </c>
      <c r="F2271" s="12" t="n">
        <v>0</v>
      </c>
      <c r="G2271" s="4" t="n">
        <v>0</v>
      </c>
      <c r="H2271" s="4">
        <f>IF(OR(N(F2271)&gt;=0.5,G2271&gt;=4),3,IF(OR(N(F2271)&gt;=0.3,G2271=3),2,IF(OR(N(F2271)&gt;=0.1,G2271&gt;=1),1,0)))</f>
        <v/>
      </c>
      <c r="I2271" s="4">
        <f>CHOOSE(H2271+1,"Kein Risiko","Gering","Mittel","Hoch")</f>
        <v/>
      </c>
    </row>
    <row r="2272">
      <c r="A2272" s="4" t="n">
        <v>2268</v>
      </c>
      <c r="B2272" s="4" t="inlineStr">
        <is>
          <t>yes</t>
        </is>
      </c>
      <c r="C2272" s="4" t="inlineStr">
        <is>
          <t>Blockstraße</t>
        </is>
      </c>
      <c r="D2272" s="4" t="inlineStr">
        <is>
          <t>31</t>
        </is>
      </c>
      <c r="E2272" s="13" t="n">
        <v>199</v>
      </c>
      <c r="F2272" s="12" t="n">
        <v>0.04000091552734375</v>
      </c>
      <c r="G2272" s="4" t="n">
        <v>0</v>
      </c>
      <c r="H2272" s="4">
        <f>IF(OR(N(F2272)&gt;=0.5,G2272&gt;=4),3,IF(OR(N(F2272)&gt;=0.3,G2272=3),2,IF(OR(N(F2272)&gt;=0.1,G2272&gt;=1),1,0)))</f>
        <v/>
      </c>
      <c r="I2272" s="4">
        <f>CHOOSE(H2272+1,"Kein Risiko","Gering","Mittel","Hoch")</f>
        <v/>
      </c>
    </row>
    <row r="2273">
      <c r="A2273" s="4" t="n">
        <v>2269</v>
      </c>
      <c r="B2273" s="4" t="inlineStr">
        <is>
          <t>yes</t>
        </is>
      </c>
      <c r="C2273" s="4" t="inlineStr">
        <is>
          <t>Scharpenhang</t>
        </is>
      </c>
      <c r="D2273" s="4" t="inlineStr">
        <is>
          <t>32,32a</t>
        </is>
      </c>
      <c r="E2273" s="13" t="n">
        <v>229.8</v>
      </c>
      <c r="F2273" s="12" t="n">
        <v>2.400001525878906</v>
      </c>
      <c r="G2273" s="4" t="n">
        <v>4</v>
      </c>
      <c r="H2273" s="4">
        <f>IF(OR(N(F2273)&gt;=0.5,G2273&gt;=4),3,IF(OR(N(F2273)&gt;=0.3,G2273=3),2,IF(OR(N(F2273)&gt;=0.1,G2273&gt;=1),1,0)))</f>
        <v/>
      </c>
      <c r="I2273" s="4">
        <f>CHOOSE(H2273+1,"Kein Risiko","Gering","Mittel","Hoch")</f>
        <v/>
      </c>
    </row>
    <row r="2274">
      <c r="A2274" s="4" t="n">
        <v>2270</v>
      </c>
      <c r="B2274" s="4" t="inlineStr">
        <is>
          <t>yes</t>
        </is>
      </c>
      <c r="C2274" s="4" t="inlineStr">
        <is>
          <t>Marienbergstraße</t>
        </is>
      </c>
      <c r="D2274" s="4" t="inlineStr">
        <is>
          <t>33</t>
        </is>
      </c>
      <c r="E2274" s="13" t="n">
        <v>58.9</v>
      </c>
      <c r="F2274" s="12" t="n">
        <v>0</v>
      </c>
      <c r="G2274" s="4" t="n">
        <v>0</v>
      </c>
      <c r="H2274" s="4">
        <f>IF(OR(N(F2274)&gt;=0.5,G2274&gt;=4),3,IF(OR(N(F2274)&gt;=0.3,G2274=3),2,IF(OR(N(F2274)&gt;=0.1,G2274&gt;=1),1,0)))</f>
        <v/>
      </c>
      <c r="I2274" s="4">
        <f>CHOOSE(H2274+1,"Kein Risiko","Gering","Mittel","Hoch")</f>
        <v/>
      </c>
    </row>
    <row r="2275">
      <c r="A2275" s="4" t="n">
        <v>2271</v>
      </c>
      <c r="B2275" s="4" t="inlineStr">
        <is>
          <t>yes</t>
        </is>
      </c>
      <c r="C2275" s="4" t="inlineStr">
        <is>
          <t>Blockstraße</t>
        </is>
      </c>
      <c r="D2275" s="4" t="inlineStr">
        <is>
          <t>34</t>
        </is>
      </c>
      <c r="E2275" s="13" t="n">
        <v>235.5</v>
      </c>
      <c r="F2275" s="12" t="n">
        <v>0.0200042724609375</v>
      </c>
      <c r="G2275" s="4" t="n">
        <v>0</v>
      </c>
      <c r="H2275" s="4">
        <f>IF(OR(N(F2275)&gt;=0.5,G2275&gt;=4),3,IF(OR(N(F2275)&gt;=0.3,G2275=3),2,IF(OR(N(F2275)&gt;=0.1,G2275&gt;=1),1,0)))</f>
        <v/>
      </c>
      <c r="I2275" s="4">
        <f>CHOOSE(H2275+1,"Kein Risiko","Gering","Mittel","Hoch")</f>
        <v/>
      </c>
    </row>
    <row r="2276">
      <c r="A2276" s="4" t="n">
        <v>2272</v>
      </c>
      <c r="B2276" s="4" t="inlineStr">
        <is>
          <t>semidetached_house</t>
        </is>
      </c>
      <c r="C2276" s="4" t="inlineStr">
        <is>
          <t>Marienbergstraße</t>
        </is>
      </c>
      <c r="D2276" s="4" t="inlineStr">
        <is>
          <t>34</t>
        </is>
      </c>
      <c r="E2276" s="13" t="n">
        <v>63.6</v>
      </c>
      <c r="F2276" s="12" t="n">
        <v>0</v>
      </c>
      <c r="G2276" s="4" t="n">
        <v>0</v>
      </c>
      <c r="H2276" s="4">
        <f>IF(OR(N(F2276)&gt;=0.5,G2276&gt;=4),3,IF(OR(N(F2276)&gt;=0.3,G2276=3),2,IF(OR(N(F2276)&gt;=0.1,G2276&gt;=1),1,0)))</f>
        <v/>
      </c>
      <c r="I2276" s="4">
        <f>CHOOSE(H2276+1,"Kein Risiko","Gering","Mittel","Hoch")</f>
        <v/>
      </c>
    </row>
    <row r="2277">
      <c r="A2277" s="4" t="n">
        <v>2273</v>
      </c>
      <c r="B2277" s="4" t="inlineStr">
        <is>
          <t>yes</t>
        </is>
      </c>
      <c r="C2277" s="4" t="inlineStr">
        <is>
          <t>Blockstraße</t>
        </is>
      </c>
      <c r="D2277" s="4" t="inlineStr">
        <is>
          <t>35</t>
        </is>
      </c>
      <c r="E2277" s="13" t="n">
        <v>196.7</v>
      </c>
      <c r="F2277" s="12" t="n">
        <v>0.0099945068359375</v>
      </c>
      <c r="G2277" s="4" t="n">
        <v>0</v>
      </c>
      <c r="H2277" s="4">
        <f>IF(OR(N(F2277)&gt;=0.5,G2277&gt;=4),3,IF(OR(N(F2277)&gt;=0.3,G2277=3),2,IF(OR(N(F2277)&gt;=0.1,G2277&gt;=1),1,0)))</f>
        <v/>
      </c>
      <c r="I2277" s="4">
        <f>CHOOSE(H2277+1,"Kein Risiko","Gering","Mittel","Hoch")</f>
        <v/>
      </c>
    </row>
    <row r="2278">
      <c r="A2278" s="4" t="n">
        <v>2274</v>
      </c>
      <c r="B2278" s="4" t="inlineStr">
        <is>
          <t>yes</t>
        </is>
      </c>
      <c r="C2278" s="4" t="inlineStr">
        <is>
          <t>Blockstraße</t>
        </is>
      </c>
      <c r="D2278" s="4" t="inlineStr">
        <is>
          <t>36</t>
        </is>
      </c>
      <c r="E2278" s="13" t="n">
        <v>212.9</v>
      </c>
      <c r="F2278" s="12" t="n">
        <v>0.04000091552734375</v>
      </c>
      <c r="G2278" s="4" t="n">
        <v>0</v>
      </c>
      <c r="H2278" s="4">
        <f>IF(OR(N(F2278)&gt;=0.5,G2278&gt;=4),3,IF(OR(N(F2278)&gt;=0.3,G2278=3),2,IF(OR(N(F2278)&gt;=0.1,G2278&gt;=1),1,0)))</f>
        <v/>
      </c>
      <c r="I2278" s="4">
        <f>CHOOSE(H2278+1,"Kein Risiko","Gering","Mittel","Hoch")</f>
        <v/>
      </c>
    </row>
    <row r="2279">
      <c r="A2279" s="4" t="n">
        <v>2275</v>
      </c>
      <c r="B2279" s="4" t="inlineStr">
        <is>
          <t>yes</t>
        </is>
      </c>
      <c r="C2279" s="4" t="inlineStr">
        <is>
          <t>Scharpenhang</t>
        </is>
      </c>
      <c r="D2279" s="4" t="inlineStr">
        <is>
          <t>36,36a</t>
        </is>
      </c>
      <c r="E2279" s="13" t="n">
        <v>174.7</v>
      </c>
      <c r="F2279" s="12" t="n">
        <v>0</v>
      </c>
      <c r="G2279" s="4" t="n">
        <v>0</v>
      </c>
      <c r="H2279" s="4">
        <f>IF(OR(N(F2279)&gt;=0.5,G2279&gt;=4),3,IF(OR(N(F2279)&gt;=0.3,G2279=3),2,IF(OR(N(F2279)&gt;=0.1,G2279&gt;=1),1,0)))</f>
        <v/>
      </c>
      <c r="I2279" s="4">
        <f>CHOOSE(H2279+1,"Kein Risiko","Gering","Mittel","Hoch")</f>
        <v/>
      </c>
    </row>
    <row r="2280">
      <c r="A2280" s="4" t="n">
        <v>2276</v>
      </c>
      <c r="B2280" s="4" t="inlineStr">
        <is>
          <t>yes</t>
        </is>
      </c>
      <c r="C2280" s="4" t="inlineStr">
        <is>
          <t>Blockstraße</t>
        </is>
      </c>
      <c r="D2280" s="4" t="inlineStr">
        <is>
          <t>37</t>
        </is>
      </c>
      <c r="E2280" s="13" t="n">
        <v>196.7</v>
      </c>
      <c r="F2280" s="12" t="n">
        <v>0.04999542236328125</v>
      </c>
      <c r="G2280" s="4" t="n">
        <v>0</v>
      </c>
      <c r="H2280" s="4">
        <f>IF(OR(N(F2280)&gt;=0.5,G2280&gt;=4),3,IF(OR(N(F2280)&gt;=0.3,G2280=3),2,IF(OR(N(F2280)&gt;=0.1,G2280&gt;=1),1,0)))</f>
        <v/>
      </c>
      <c r="I2280" s="4">
        <f>CHOOSE(H2280+1,"Kein Risiko","Gering","Mittel","Hoch")</f>
        <v/>
      </c>
    </row>
    <row r="2281">
      <c r="A2281" s="4" t="n">
        <v>2277</v>
      </c>
      <c r="B2281" s="4" t="inlineStr">
        <is>
          <t>yes</t>
        </is>
      </c>
      <c r="C2281" s="4" t="inlineStr">
        <is>
          <t>Marienbergstraße</t>
        </is>
      </c>
      <c r="D2281" s="4" t="inlineStr">
        <is>
          <t>37</t>
        </is>
      </c>
      <c r="E2281" s="13" t="n">
        <v>104.3</v>
      </c>
      <c r="F2281" s="12" t="n">
        <v>0.04999542236328125</v>
      </c>
      <c r="G2281" s="4" t="n">
        <v>0</v>
      </c>
      <c r="H2281" s="4">
        <f>IF(OR(N(F2281)&gt;=0.5,G2281&gt;=4),3,IF(OR(N(F2281)&gt;=0.3,G2281=3),2,IF(OR(N(F2281)&gt;=0.1,G2281&gt;=1),1,0)))</f>
        <v/>
      </c>
      <c r="I2281" s="4">
        <f>CHOOSE(H2281+1,"Kein Risiko","Gering","Mittel","Hoch")</f>
        <v/>
      </c>
    </row>
    <row r="2282">
      <c r="A2282" s="4" t="n">
        <v>2278</v>
      </c>
      <c r="B2282" s="4" t="inlineStr">
        <is>
          <t>yes</t>
        </is>
      </c>
      <c r="C2282" s="4" t="inlineStr">
        <is>
          <t>Blockstraße</t>
        </is>
      </c>
      <c r="D2282" s="4" t="inlineStr">
        <is>
          <t>38</t>
        </is>
      </c>
      <c r="E2282" s="13" t="n">
        <v>212.9</v>
      </c>
      <c r="F2282" s="12" t="n">
        <v>0</v>
      </c>
      <c r="G2282" s="4" t="n">
        <v>0</v>
      </c>
      <c r="H2282" s="4">
        <f>IF(OR(N(F2282)&gt;=0.5,G2282&gt;=4),3,IF(OR(N(F2282)&gt;=0.3,G2282=3),2,IF(OR(N(F2282)&gt;=0.1,G2282&gt;=1),1,0)))</f>
        <v/>
      </c>
      <c r="I2282" s="4">
        <f>CHOOSE(H2282+1,"Kein Risiko","Gering","Mittel","Hoch")</f>
        <v/>
      </c>
    </row>
    <row r="2283">
      <c r="A2283" s="4" t="n">
        <v>2279</v>
      </c>
      <c r="B2283" s="4" t="inlineStr">
        <is>
          <t>semidetached_house</t>
        </is>
      </c>
      <c r="C2283" s="4" t="inlineStr">
        <is>
          <t>Marienbergstraße</t>
        </is>
      </c>
      <c r="D2283" s="4" t="inlineStr">
        <is>
          <t>38</t>
        </is>
      </c>
      <c r="E2283" s="13" t="n">
        <v>54.6</v>
      </c>
      <c r="F2283" s="12" t="n">
        <v>0</v>
      </c>
      <c r="G2283" s="4" t="n">
        <v>0</v>
      </c>
      <c r="H2283" s="4">
        <f>IF(OR(N(F2283)&gt;=0.5,G2283&gt;=4),3,IF(OR(N(F2283)&gt;=0.3,G2283=3),2,IF(OR(N(F2283)&gt;=0.1,G2283&gt;=1),1,0)))</f>
        <v/>
      </c>
      <c r="I2283" s="4">
        <f>CHOOSE(H2283+1,"Kein Risiko","Gering","Mittel","Hoch")</f>
        <v/>
      </c>
    </row>
    <row r="2284">
      <c r="A2284" s="4" t="n">
        <v>2280</v>
      </c>
      <c r="B2284" s="4" t="inlineStr">
        <is>
          <t>yes</t>
        </is>
      </c>
      <c r="C2284" s="4" t="inlineStr">
        <is>
          <t>Scharpenhang</t>
        </is>
      </c>
      <c r="D2284" s="4" t="inlineStr">
        <is>
          <t>38,38a</t>
        </is>
      </c>
      <c r="E2284" s="13" t="n">
        <v>163.9</v>
      </c>
      <c r="F2284" s="12" t="n">
        <v>0</v>
      </c>
      <c r="G2284" s="4" t="n">
        <v>0</v>
      </c>
      <c r="H2284" s="4">
        <f>IF(OR(N(F2284)&gt;=0.5,G2284&gt;=4),3,IF(OR(N(F2284)&gt;=0.3,G2284=3),2,IF(OR(N(F2284)&gt;=0.1,G2284&gt;=1),1,0)))</f>
        <v/>
      </c>
      <c r="I2284" s="4">
        <f>CHOOSE(H2284+1,"Kein Risiko","Gering","Mittel","Hoch")</f>
        <v/>
      </c>
    </row>
    <row r="2285">
      <c r="A2285" s="4" t="n">
        <v>2281</v>
      </c>
      <c r="B2285" s="4" t="inlineStr">
        <is>
          <t>yes</t>
        </is>
      </c>
      <c r="C2285" s="4" t="inlineStr">
        <is>
          <t>Bissenkamp</t>
        </is>
      </c>
      <c r="D2285" s="4" t="inlineStr">
        <is>
          <t>4</t>
        </is>
      </c>
      <c r="E2285" s="13" t="n">
        <v>100</v>
      </c>
      <c r="F2285" s="12" t="n">
        <v>0</v>
      </c>
      <c r="G2285" s="4" t="n">
        <v>0</v>
      </c>
      <c r="H2285" s="4">
        <f>IF(OR(N(F2285)&gt;=0.5,G2285&gt;=4),3,IF(OR(N(F2285)&gt;=0.3,G2285=3),2,IF(OR(N(F2285)&gt;=0.1,G2285&gt;=1),1,0)))</f>
        <v/>
      </c>
      <c r="I2285" s="4">
        <f>CHOOSE(H2285+1,"Kein Risiko","Gering","Mittel","Hoch")</f>
        <v/>
      </c>
    </row>
    <row r="2286">
      <c r="A2286" s="4" t="n">
        <v>2282</v>
      </c>
      <c r="B2286" s="4" t="inlineStr">
        <is>
          <t>yes</t>
        </is>
      </c>
      <c r="C2286" s="4" t="inlineStr">
        <is>
          <t>Gasstraße</t>
        </is>
      </c>
      <c r="D2286" s="4" t="inlineStr">
        <is>
          <t>4</t>
        </is>
      </c>
      <c r="E2286" s="13" t="n">
        <v>93.7</v>
      </c>
      <c r="F2286" s="12" t="n">
        <v>0</v>
      </c>
      <c r="G2286" s="4" t="n">
        <v>0</v>
      </c>
      <c r="H2286" s="4">
        <f>IF(OR(N(F2286)&gt;=0.5,G2286&gt;=4),3,IF(OR(N(F2286)&gt;=0.3,G2286=3),2,IF(OR(N(F2286)&gt;=0.1,G2286&gt;=1),1,0)))</f>
        <v/>
      </c>
      <c r="I2286" s="4">
        <f>CHOOSE(H2286+1,"Kein Risiko","Gering","Mittel","Hoch")</f>
        <v/>
      </c>
    </row>
    <row r="2287">
      <c r="A2287" s="4" t="n">
        <v>2283</v>
      </c>
      <c r="B2287" s="4" t="inlineStr">
        <is>
          <t>yes</t>
        </is>
      </c>
      <c r="C2287" s="4" t="inlineStr">
        <is>
          <t>Blockstraße</t>
        </is>
      </c>
      <c r="D2287" s="4" t="inlineStr">
        <is>
          <t>40</t>
        </is>
      </c>
      <c r="E2287" s="13" t="n">
        <v>220.1</v>
      </c>
      <c r="F2287" s="12" t="n">
        <v>0.1200027465820312</v>
      </c>
      <c r="G2287" s="4" t="n">
        <v>0</v>
      </c>
      <c r="H2287" s="4">
        <f>IF(OR(N(F2287)&gt;=0.5,G2287&gt;=4),3,IF(OR(N(F2287)&gt;=0.3,G2287=3),2,IF(OR(N(F2287)&gt;=0.1,G2287&gt;=1),1,0)))</f>
        <v/>
      </c>
      <c r="I2287" s="4">
        <f>CHOOSE(H2287+1,"Kein Risiko","Gering","Mittel","Hoch")</f>
        <v/>
      </c>
    </row>
    <row r="2288">
      <c r="A2288" s="4" t="n">
        <v>2284</v>
      </c>
      <c r="B2288" s="4" t="inlineStr">
        <is>
          <t>yes</t>
        </is>
      </c>
      <c r="C2288" s="4" t="inlineStr">
        <is>
          <t>Marienbergstraße</t>
        </is>
      </c>
      <c r="D2288" s="4" t="inlineStr">
        <is>
          <t>41</t>
        </is>
      </c>
      <c r="E2288" s="13" t="n">
        <v>65.2</v>
      </c>
      <c r="F2288" s="12" t="n">
        <v>0.029998779296875</v>
      </c>
      <c r="G2288" s="4" t="n">
        <v>2</v>
      </c>
      <c r="H2288" s="4">
        <f>IF(OR(N(F2288)&gt;=0.5,G2288&gt;=4),3,IF(OR(N(F2288)&gt;=0.3,G2288=3),2,IF(OR(N(F2288)&gt;=0.1,G2288&gt;=1),1,0)))</f>
        <v/>
      </c>
      <c r="I2288" s="4">
        <f>CHOOSE(H2288+1,"Kein Risiko","Gering","Mittel","Hoch")</f>
        <v/>
      </c>
    </row>
    <row r="2289">
      <c r="A2289" s="4" t="n">
        <v>2285</v>
      </c>
      <c r="B2289" s="4" t="inlineStr">
        <is>
          <t>yes</t>
        </is>
      </c>
      <c r="C2289" s="4" t="inlineStr">
        <is>
          <t>Marienbergstraße</t>
        </is>
      </c>
      <c r="D2289" s="4" t="inlineStr">
        <is>
          <t>42</t>
        </is>
      </c>
      <c r="E2289" s="13" t="n">
        <v>124.8</v>
      </c>
      <c r="F2289" s="12" t="n">
        <v>0</v>
      </c>
      <c r="G2289" s="4" t="n">
        <v>0</v>
      </c>
      <c r="H2289" s="4">
        <f>IF(OR(N(F2289)&gt;=0.5,G2289&gt;=4),3,IF(OR(N(F2289)&gt;=0.3,G2289=3),2,IF(OR(N(F2289)&gt;=0.1,G2289&gt;=1),1,0)))</f>
        <v/>
      </c>
      <c r="I2289" s="4">
        <f>CHOOSE(H2289+1,"Kein Risiko","Gering","Mittel","Hoch")</f>
        <v/>
      </c>
    </row>
    <row r="2290">
      <c r="A2290" s="4" t="n">
        <v>2286</v>
      </c>
      <c r="B2290" s="4" t="inlineStr">
        <is>
          <t>house</t>
        </is>
      </c>
      <c r="C2290" s="4" t="inlineStr">
        <is>
          <t>Scharpenhang</t>
        </is>
      </c>
      <c r="D2290" s="4" t="inlineStr">
        <is>
          <t>44</t>
        </is>
      </c>
      <c r="E2290" s="13" t="n">
        <v>93.3</v>
      </c>
      <c r="F2290" s="12" t="n">
        <v>0.01999664306640625</v>
      </c>
      <c r="G2290" s="4" t="n">
        <v>0</v>
      </c>
      <c r="H2290" s="4">
        <f>IF(OR(N(F2290)&gt;=0.5,G2290&gt;=4),3,IF(OR(N(F2290)&gt;=0.3,G2290=3),2,IF(OR(N(F2290)&gt;=0.1,G2290&gt;=1),1,0)))</f>
        <v/>
      </c>
      <c r="I2290" s="4">
        <f>CHOOSE(H2290+1,"Kein Risiko","Gering","Mittel","Hoch")</f>
        <v/>
      </c>
    </row>
    <row r="2291">
      <c r="A2291" s="4" t="n">
        <v>2287</v>
      </c>
      <c r="B2291" s="4" t="inlineStr">
        <is>
          <t>house</t>
        </is>
      </c>
      <c r="C2291" s="4" t="inlineStr">
        <is>
          <t>Scharpenhang</t>
        </is>
      </c>
      <c r="D2291" s="4" t="inlineStr">
        <is>
          <t>44a</t>
        </is>
      </c>
      <c r="E2291" s="13" t="n">
        <v>74.3</v>
      </c>
      <c r="F2291" s="12" t="n">
        <v>0.1299972534179688</v>
      </c>
      <c r="G2291" s="4" t="n">
        <v>0</v>
      </c>
      <c r="H2291" s="4">
        <f>IF(OR(N(F2291)&gt;=0.5,G2291&gt;=4),3,IF(OR(N(F2291)&gt;=0.3,G2291=3),2,IF(OR(N(F2291)&gt;=0.1,G2291&gt;=1),1,0)))</f>
        <v/>
      </c>
      <c r="I2291" s="4">
        <f>CHOOSE(H2291+1,"Kein Risiko","Gering","Mittel","Hoch")</f>
        <v/>
      </c>
    </row>
    <row r="2292">
      <c r="A2292" s="4" t="n">
        <v>2288</v>
      </c>
      <c r="B2292" s="4" t="inlineStr">
        <is>
          <t>yes</t>
        </is>
      </c>
      <c r="C2292" s="4" t="inlineStr">
        <is>
          <t>Marienbergstraße</t>
        </is>
      </c>
      <c r="D2292" s="4" t="inlineStr">
        <is>
          <t>45</t>
        </is>
      </c>
      <c r="E2292" s="13" t="n">
        <v>57</v>
      </c>
      <c r="F2292" s="12" t="n">
        <v>0</v>
      </c>
      <c r="G2292" s="4" t="n">
        <v>0</v>
      </c>
      <c r="H2292" s="4">
        <f>IF(OR(N(F2292)&gt;=0.5,G2292&gt;=4),3,IF(OR(N(F2292)&gt;=0.3,G2292=3),2,IF(OR(N(F2292)&gt;=0.1,G2292&gt;=1),1,0)))</f>
        <v/>
      </c>
      <c r="I2292" s="4">
        <f>CHOOSE(H2292+1,"Kein Risiko","Gering","Mittel","Hoch")</f>
        <v/>
      </c>
    </row>
    <row r="2293">
      <c r="A2293" s="4" t="n">
        <v>2289</v>
      </c>
      <c r="B2293" s="4" t="inlineStr">
        <is>
          <t>house</t>
        </is>
      </c>
      <c r="C2293" s="4" t="inlineStr">
        <is>
          <t>Scharpenhang</t>
        </is>
      </c>
      <c r="D2293" s="4" t="inlineStr">
        <is>
          <t>46a</t>
        </is>
      </c>
      <c r="E2293" s="13" t="n">
        <v>92.8</v>
      </c>
      <c r="F2293" s="12" t="n">
        <v>0.0099945068359375</v>
      </c>
      <c r="G2293" s="4" t="n">
        <v>0</v>
      </c>
      <c r="H2293" s="4">
        <f>IF(OR(N(F2293)&gt;=0.5,G2293&gt;=4),3,IF(OR(N(F2293)&gt;=0.3,G2293=3),2,IF(OR(N(F2293)&gt;=0.1,G2293&gt;=1),1,0)))</f>
        <v/>
      </c>
      <c r="I2293" s="4">
        <f>CHOOSE(H2293+1,"Kein Risiko","Gering","Mittel","Hoch")</f>
        <v/>
      </c>
    </row>
    <row r="2294">
      <c r="A2294" s="4" t="n">
        <v>2290</v>
      </c>
      <c r="B2294" s="4" t="inlineStr">
        <is>
          <t>yes</t>
        </is>
      </c>
      <c r="C2294" s="4" t="inlineStr">
        <is>
          <t>Marienbergstraße</t>
        </is>
      </c>
      <c r="D2294" s="4" t="inlineStr">
        <is>
          <t>47</t>
        </is>
      </c>
      <c r="E2294" s="13" t="n">
        <v>103.4</v>
      </c>
      <c r="F2294" s="12" t="n">
        <v>0</v>
      </c>
      <c r="G2294" s="4" t="n">
        <v>1</v>
      </c>
      <c r="H2294" s="4">
        <f>IF(OR(N(F2294)&gt;=0.5,G2294&gt;=4),3,IF(OR(N(F2294)&gt;=0.3,G2294=3),2,IF(OR(N(F2294)&gt;=0.1,G2294&gt;=1),1,0)))</f>
        <v/>
      </c>
      <c r="I2294" s="4">
        <f>CHOOSE(H2294+1,"Kein Risiko","Gering","Mittel","Hoch")</f>
        <v/>
      </c>
    </row>
    <row r="2295">
      <c r="A2295" s="4" t="n">
        <v>2291</v>
      </c>
      <c r="B2295" s="4" t="inlineStr">
        <is>
          <t>yes</t>
        </is>
      </c>
      <c r="C2295" s="4" t="inlineStr">
        <is>
          <t>Marienbergstraße</t>
        </is>
      </c>
      <c r="D2295" s="4" t="inlineStr">
        <is>
          <t>48</t>
        </is>
      </c>
      <c r="E2295" s="13" t="n">
        <v>234</v>
      </c>
      <c r="F2295" s="12" t="n">
        <v>0.01999664306640625</v>
      </c>
      <c r="G2295" s="4" t="n">
        <v>3</v>
      </c>
      <c r="H2295" s="4">
        <f>IF(OR(N(F2295)&gt;=0.5,G2295&gt;=4),3,IF(OR(N(F2295)&gt;=0.3,G2295=3),2,IF(OR(N(F2295)&gt;=0.1,G2295&gt;=1),1,0)))</f>
        <v/>
      </c>
      <c r="I2295" s="4">
        <f>CHOOSE(H2295+1,"Kein Risiko","Gering","Mittel","Hoch")</f>
        <v/>
      </c>
    </row>
    <row r="2296">
      <c r="A2296" s="4" t="n">
        <v>2292</v>
      </c>
      <c r="B2296" s="4" t="inlineStr">
        <is>
          <t>house</t>
        </is>
      </c>
      <c r="C2296" s="4" t="inlineStr">
        <is>
          <t>Scharpenhang</t>
        </is>
      </c>
      <c r="D2296" s="4" t="inlineStr">
        <is>
          <t>48</t>
        </is>
      </c>
      <c r="E2296" s="13" t="n">
        <v>88.7</v>
      </c>
      <c r="F2296" s="12" t="n">
        <v>0</v>
      </c>
      <c r="G2296" s="4" t="n">
        <v>0</v>
      </c>
      <c r="H2296" s="4">
        <f>IF(OR(N(F2296)&gt;=0.5,G2296&gt;=4),3,IF(OR(N(F2296)&gt;=0.3,G2296=3),2,IF(OR(N(F2296)&gt;=0.1,G2296&gt;=1),1,0)))</f>
        <v/>
      </c>
      <c r="I2296" s="4">
        <f>CHOOSE(H2296+1,"Kein Risiko","Gering","Mittel","Hoch")</f>
        <v/>
      </c>
    </row>
    <row r="2297">
      <c r="A2297" s="4" t="n">
        <v>2293</v>
      </c>
      <c r="B2297" s="4" t="inlineStr">
        <is>
          <t>house</t>
        </is>
      </c>
      <c r="C2297" s="4" t="inlineStr">
        <is>
          <t>Marienbergstraße</t>
        </is>
      </c>
      <c r="D2297" s="4" t="inlineStr">
        <is>
          <t>48a</t>
        </is>
      </c>
      <c r="E2297" s="13" t="n">
        <v>137.6</v>
      </c>
      <c r="F2297" s="12" t="n">
        <v>0</v>
      </c>
      <c r="G2297" s="4" t="n">
        <v>0</v>
      </c>
      <c r="H2297" s="4">
        <f>IF(OR(N(F2297)&gt;=0.5,G2297&gt;=4),3,IF(OR(N(F2297)&gt;=0.3,G2297=3),2,IF(OR(N(F2297)&gt;=0.1,G2297&gt;=1),1,0)))</f>
        <v/>
      </c>
      <c r="I2297" s="4">
        <f>CHOOSE(H2297+1,"Kein Risiko","Gering","Mittel","Hoch")</f>
        <v/>
      </c>
    </row>
    <row r="2298">
      <c r="A2298" s="4" t="n">
        <v>2294</v>
      </c>
      <c r="B2298" s="4" t="inlineStr">
        <is>
          <t>house</t>
        </is>
      </c>
      <c r="C2298" s="4" t="inlineStr">
        <is>
          <t>Scharpenhang</t>
        </is>
      </c>
      <c r="D2298" s="4" t="inlineStr">
        <is>
          <t>48a</t>
        </is>
      </c>
      <c r="E2298" s="13" t="n">
        <v>79.90000000000001</v>
      </c>
      <c r="F2298" s="12" t="n">
        <v>0</v>
      </c>
      <c r="G2298" s="4" t="n">
        <v>0</v>
      </c>
      <c r="H2298" s="4">
        <f>IF(OR(N(F2298)&gt;=0.5,G2298&gt;=4),3,IF(OR(N(F2298)&gt;=0.3,G2298=3),2,IF(OR(N(F2298)&gt;=0.1,G2298&gt;=1),1,0)))</f>
        <v/>
      </c>
      <c r="I2298" s="4">
        <f>CHOOSE(H2298+1,"Kein Risiko","Gering","Mittel","Hoch")</f>
        <v/>
      </c>
    </row>
    <row r="2299">
      <c r="A2299" s="4" t="n">
        <v>2295</v>
      </c>
      <c r="B2299" s="4" t="inlineStr">
        <is>
          <t>yes</t>
        </is>
      </c>
      <c r="C2299" s="4" t="inlineStr">
        <is>
          <t>Marienbergstraße</t>
        </is>
      </c>
      <c r="D2299" s="4" t="inlineStr">
        <is>
          <t>49</t>
        </is>
      </c>
      <c r="E2299" s="13" t="n">
        <v>64.3</v>
      </c>
      <c r="F2299" s="12" t="n">
        <v>0</v>
      </c>
      <c r="G2299" s="4" t="n">
        <v>0</v>
      </c>
      <c r="H2299" s="4">
        <f>IF(OR(N(F2299)&gt;=0.5,G2299&gt;=4),3,IF(OR(N(F2299)&gt;=0.3,G2299=3),2,IF(OR(N(F2299)&gt;=0.1,G2299&gt;=1),1,0)))</f>
        <v/>
      </c>
      <c r="I2299" s="4">
        <f>CHOOSE(H2299+1,"Kein Risiko","Gering","Mittel","Hoch")</f>
        <v/>
      </c>
    </row>
    <row r="2300">
      <c r="A2300" s="4" t="n">
        <v>2296</v>
      </c>
      <c r="B2300" s="4" t="inlineStr">
        <is>
          <t>yes</t>
        </is>
      </c>
      <c r="C2300" s="4" t="inlineStr">
        <is>
          <t>Marienbergstraße</t>
        </is>
      </c>
      <c r="D2300" s="4" t="inlineStr">
        <is>
          <t>49a</t>
        </is>
      </c>
      <c r="E2300" s="13" t="n">
        <v>73.3</v>
      </c>
      <c r="F2300" s="12" t="n">
        <v>0.01000213623046875</v>
      </c>
      <c r="G2300" s="4" t="n">
        <v>2</v>
      </c>
      <c r="H2300" s="4">
        <f>IF(OR(N(F2300)&gt;=0.5,G2300&gt;=4),3,IF(OR(N(F2300)&gt;=0.3,G2300=3),2,IF(OR(N(F2300)&gt;=0.1,G2300&gt;=1),1,0)))</f>
        <v/>
      </c>
      <c r="I2300" s="4">
        <f>CHOOSE(H2300+1,"Kein Risiko","Gering","Mittel","Hoch")</f>
        <v/>
      </c>
    </row>
    <row r="2301">
      <c r="A2301" s="4" t="n">
        <v>2297</v>
      </c>
      <c r="B2301" s="4" t="inlineStr">
        <is>
          <t>yes</t>
        </is>
      </c>
      <c r="C2301" s="4" t="inlineStr">
        <is>
          <t>Blockstraße</t>
        </is>
      </c>
      <c r="D2301" s="4" t="inlineStr">
        <is>
          <t>5</t>
        </is>
      </c>
      <c r="E2301" s="13" t="n">
        <v>61.3</v>
      </c>
      <c r="F2301" s="12" t="n">
        <v>0</v>
      </c>
      <c r="G2301" s="4" t="n">
        <v>0</v>
      </c>
      <c r="H2301" s="4">
        <f>IF(OR(N(F2301)&gt;=0.5,G2301&gt;=4),3,IF(OR(N(F2301)&gt;=0.3,G2301=3),2,IF(OR(N(F2301)&gt;=0.1,G2301&gt;=1),1,0)))</f>
        <v/>
      </c>
      <c r="I2301" s="4">
        <f>CHOOSE(H2301+1,"Kein Risiko","Gering","Mittel","Hoch")</f>
        <v/>
      </c>
    </row>
    <row r="2302">
      <c r="A2302" s="4" t="n">
        <v>2298</v>
      </c>
      <c r="B2302" s="4" t="inlineStr">
        <is>
          <t>yes</t>
        </is>
      </c>
      <c r="C2302" s="4" t="inlineStr">
        <is>
          <t>Marienberghang</t>
        </is>
      </c>
      <c r="D2302" s="4" t="inlineStr">
        <is>
          <t>5</t>
        </is>
      </c>
      <c r="E2302" s="13" t="n">
        <v>98.3</v>
      </c>
      <c r="F2302" s="12" t="n">
        <v>0.01000213623046875</v>
      </c>
      <c r="G2302" s="4" t="n">
        <v>0</v>
      </c>
      <c r="H2302" s="4">
        <f>IF(OR(N(F2302)&gt;=0.5,G2302&gt;=4),3,IF(OR(N(F2302)&gt;=0.3,G2302=3),2,IF(OR(N(F2302)&gt;=0.1,G2302&gt;=1),1,0)))</f>
        <v/>
      </c>
      <c r="I2302" s="4">
        <f>CHOOSE(H2302+1,"Kein Risiko","Gering","Mittel","Hoch")</f>
        <v/>
      </c>
    </row>
    <row r="2303">
      <c r="A2303" s="4" t="n">
        <v>2299</v>
      </c>
      <c r="B2303" s="4" t="inlineStr">
        <is>
          <t>yes</t>
        </is>
      </c>
      <c r="C2303" s="4" t="inlineStr">
        <is>
          <t>Fahrenberg</t>
        </is>
      </c>
      <c r="D2303" s="4" t="inlineStr">
        <is>
          <t>50</t>
        </is>
      </c>
      <c r="E2303" s="13" t="n">
        <v>170.4</v>
      </c>
      <c r="F2303" s="12" t="n">
        <v>0.0200042724609375</v>
      </c>
      <c r="G2303" s="4" t="n">
        <v>0</v>
      </c>
      <c r="H2303" s="4">
        <f>IF(OR(N(F2303)&gt;=0.5,G2303&gt;=4),3,IF(OR(N(F2303)&gt;=0.3,G2303=3),2,IF(OR(N(F2303)&gt;=0.1,G2303&gt;=1),1,0)))</f>
        <v/>
      </c>
      <c r="I2303" s="4">
        <f>CHOOSE(H2303+1,"Kein Risiko","Gering","Mittel","Hoch")</f>
        <v/>
      </c>
    </row>
    <row r="2304">
      <c r="A2304" s="4" t="n">
        <v>2300</v>
      </c>
      <c r="B2304" s="4" t="inlineStr">
        <is>
          <t>house</t>
        </is>
      </c>
      <c r="C2304" s="4" t="inlineStr">
        <is>
          <t>Marienbergstraße</t>
        </is>
      </c>
      <c r="D2304" s="4" t="inlineStr">
        <is>
          <t>50</t>
        </is>
      </c>
      <c r="E2304" s="13" t="n">
        <v>117.8</v>
      </c>
      <c r="F2304" s="12" t="n">
        <v>0.01000213623046875</v>
      </c>
      <c r="G2304" s="4" t="n">
        <v>0</v>
      </c>
      <c r="H2304" s="4">
        <f>IF(OR(N(F2304)&gt;=0.5,G2304&gt;=4),3,IF(OR(N(F2304)&gt;=0.3,G2304=3),2,IF(OR(N(F2304)&gt;=0.1,G2304&gt;=1),1,0)))</f>
        <v/>
      </c>
      <c r="I2304" s="4">
        <f>CHOOSE(H2304+1,"Kein Risiko","Gering","Mittel","Hoch")</f>
        <v/>
      </c>
    </row>
    <row r="2305">
      <c r="A2305" s="4" t="n">
        <v>2301</v>
      </c>
      <c r="B2305" s="4" t="inlineStr">
        <is>
          <t>house</t>
        </is>
      </c>
      <c r="C2305" s="4" t="inlineStr">
        <is>
          <t>Scharpenhang</t>
        </is>
      </c>
      <c r="D2305" s="4" t="inlineStr">
        <is>
          <t>50</t>
        </is>
      </c>
      <c r="E2305" s="13" t="n">
        <v>70.7</v>
      </c>
      <c r="F2305" s="12" t="n">
        <v>0</v>
      </c>
      <c r="G2305" s="4" t="n">
        <v>0</v>
      </c>
      <c r="H2305" s="4">
        <f>IF(OR(N(F2305)&gt;=0.5,G2305&gt;=4),3,IF(OR(N(F2305)&gt;=0.3,G2305=3),2,IF(OR(N(F2305)&gt;=0.1,G2305&gt;=1),1,0)))</f>
        <v/>
      </c>
      <c r="I2305" s="4">
        <f>CHOOSE(H2305+1,"Kein Risiko","Gering","Mittel","Hoch")</f>
        <v/>
      </c>
    </row>
    <row r="2306">
      <c r="A2306" s="4" t="n">
        <v>2302</v>
      </c>
      <c r="B2306" s="4" t="inlineStr">
        <is>
          <t>house</t>
        </is>
      </c>
      <c r="C2306" s="4" t="inlineStr">
        <is>
          <t>Scharpenhang</t>
        </is>
      </c>
      <c r="D2306" s="4" t="inlineStr">
        <is>
          <t>50a</t>
        </is>
      </c>
      <c r="E2306" s="13" t="n">
        <v>89.5</v>
      </c>
      <c r="F2306" s="12" t="n">
        <v>0</v>
      </c>
      <c r="G2306" s="4" t="n">
        <v>0</v>
      </c>
      <c r="H2306" s="4">
        <f>IF(OR(N(F2306)&gt;=0.5,G2306&gt;=4),3,IF(OR(N(F2306)&gt;=0.3,G2306=3),2,IF(OR(N(F2306)&gt;=0.1,G2306&gt;=1),1,0)))</f>
        <v/>
      </c>
      <c r="I2306" s="4">
        <f>CHOOSE(H2306+1,"Kein Risiko","Gering","Mittel","Hoch")</f>
        <v/>
      </c>
    </row>
    <row r="2307">
      <c r="A2307" s="4" t="n">
        <v>2303</v>
      </c>
      <c r="B2307" s="4" t="inlineStr">
        <is>
          <t>yes</t>
        </is>
      </c>
      <c r="C2307" s="4" t="inlineStr">
        <is>
          <t>Marienbergstraße</t>
        </is>
      </c>
      <c r="D2307" s="4" t="inlineStr">
        <is>
          <t>51</t>
        </is>
      </c>
      <c r="E2307" s="13" t="n">
        <v>96.09999999999999</v>
      </c>
      <c r="F2307" s="12" t="n">
        <v>0.04000091552734375</v>
      </c>
      <c r="G2307" s="4" t="n">
        <v>0</v>
      </c>
      <c r="H2307" s="4">
        <f>IF(OR(N(F2307)&gt;=0.5,G2307&gt;=4),3,IF(OR(N(F2307)&gt;=0.3,G2307=3),2,IF(OR(N(F2307)&gt;=0.1,G2307&gt;=1),1,0)))</f>
        <v/>
      </c>
      <c r="I2307" s="4">
        <f>CHOOSE(H2307+1,"Kein Risiko","Gering","Mittel","Hoch")</f>
        <v/>
      </c>
    </row>
    <row r="2308">
      <c r="A2308" s="4" t="n">
        <v>2304</v>
      </c>
      <c r="B2308" s="4" t="inlineStr">
        <is>
          <t>house</t>
        </is>
      </c>
      <c r="C2308" s="4" t="inlineStr">
        <is>
          <t>Scharpenhang</t>
        </is>
      </c>
      <c r="D2308" s="4" t="inlineStr">
        <is>
          <t>52</t>
        </is>
      </c>
      <c r="E2308" s="13" t="n">
        <v>105.5</v>
      </c>
      <c r="F2308" s="12" t="n">
        <v>0.1500015258789062</v>
      </c>
      <c r="G2308" s="4" t="n">
        <v>0</v>
      </c>
      <c r="H2308" s="4">
        <f>IF(OR(N(F2308)&gt;=0.5,G2308&gt;=4),3,IF(OR(N(F2308)&gt;=0.3,G2308=3),2,IF(OR(N(F2308)&gt;=0.1,G2308&gt;=1),1,0)))</f>
        <v/>
      </c>
      <c r="I2308" s="4">
        <f>CHOOSE(H2308+1,"Kein Risiko","Gering","Mittel","Hoch")</f>
        <v/>
      </c>
    </row>
    <row r="2309">
      <c r="A2309" s="4" t="n">
        <v>2305</v>
      </c>
      <c r="B2309" s="4" t="inlineStr">
        <is>
          <t>yes</t>
        </is>
      </c>
      <c r="C2309" s="4" t="inlineStr">
        <is>
          <t>Marienbergstraße</t>
        </is>
      </c>
      <c r="D2309" s="4" t="inlineStr">
        <is>
          <t>53</t>
        </is>
      </c>
      <c r="E2309" s="13" t="n">
        <v>99.59999999999999</v>
      </c>
      <c r="F2309" s="12" t="n">
        <v>0</v>
      </c>
      <c r="G2309" s="4" t="n">
        <v>0</v>
      </c>
      <c r="H2309" s="4">
        <f>IF(OR(N(F2309)&gt;=0.5,G2309&gt;=4),3,IF(OR(N(F2309)&gt;=0.3,G2309=3),2,IF(OR(N(F2309)&gt;=0.1,G2309&gt;=1),1,0)))</f>
        <v/>
      </c>
      <c r="I2309" s="4">
        <f>CHOOSE(H2309+1,"Kein Risiko","Gering","Mittel","Hoch")</f>
        <v/>
      </c>
    </row>
    <row r="2310">
      <c r="A2310" s="4" t="n">
        <v>2306</v>
      </c>
      <c r="B2310" s="4" t="inlineStr">
        <is>
          <t>semidetached_house</t>
        </is>
      </c>
      <c r="C2310" s="4" t="inlineStr">
        <is>
          <t>Marienbergstraße</t>
        </is>
      </c>
      <c r="D2310" s="4" t="inlineStr">
        <is>
          <t>54</t>
        </is>
      </c>
      <c r="E2310" s="13" t="n">
        <v>79.90000000000001</v>
      </c>
      <c r="F2310" s="12" t="n">
        <v>0</v>
      </c>
      <c r="G2310" s="4" t="n">
        <v>0</v>
      </c>
      <c r="H2310" s="4">
        <f>IF(OR(N(F2310)&gt;=0.5,G2310&gt;=4),3,IF(OR(N(F2310)&gt;=0.3,G2310=3),2,IF(OR(N(F2310)&gt;=0.1,G2310&gt;=1),1,0)))</f>
        <v/>
      </c>
      <c r="I2310" s="4">
        <f>CHOOSE(H2310+1,"Kein Risiko","Gering","Mittel","Hoch")</f>
        <v/>
      </c>
    </row>
    <row r="2311">
      <c r="A2311" s="4" t="n">
        <v>2307</v>
      </c>
      <c r="B2311" s="4" t="inlineStr">
        <is>
          <t>house</t>
        </is>
      </c>
      <c r="C2311" s="4" t="inlineStr">
        <is>
          <t>Scharpenhang</t>
        </is>
      </c>
      <c r="D2311" s="4" t="inlineStr">
        <is>
          <t>54</t>
        </is>
      </c>
      <c r="E2311" s="13" t="n">
        <v>74.90000000000001</v>
      </c>
      <c r="F2311" s="12" t="n">
        <v>0.1100006103515625</v>
      </c>
      <c r="G2311" s="4" t="n">
        <v>0</v>
      </c>
      <c r="H2311" s="4">
        <f>IF(OR(N(F2311)&gt;=0.5,G2311&gt;=4),3,IF(OR(N(F2311)&gt;=0.3,G2311=3),2,IF(OR(N(F2311)&gt;=0.1,G2311&gt;=1),1,0)))</f>
        <v/>
      </c>
      <c r="I2311" s="4">
        <f>CHOOSE(H2311+1,"Kein Risiko","Gering","Mittel","Hoch")</f>
        <v/>
      </c>
    </row>
    <row r="2312">
      <c r="A2312" s="4" t="n">
        <v>2308</v>
      </c>
      <c r="B2312" s="4" t="inlineStr">
        <is>
          <t>house</t>
        </is>
      </c>
      <c r="C2312" s="4" t="inlineStr">
        <is>
          <t>Scharpenhang</t>
        </is>
      </c>
      <c r="D2312" s="4" t="inlineStr">
        <is>
          <t>54a</t>
        </is>
      </c>
      <c r="E2312" s="13" t="n">
        <v>78.59999999999999</v>
      </c>
      <c r="F2312" s="12" t="n">
        <v>0</v>
      </c>
      <c r="G2312" s="4" t="n">
        <v>0</v>
      </c>
      <c r="H2312" s="4">
        <f>IF(OR(N(F2312)&gt;=0.5,G2312&gt;=4),3,IF(OR(N(F2312)&gt;=0.3,G2312=3),2,IF(OR(N(F2312)&gt;=0.1,G2312&gt;=1),1,0)))</f>
        <v/>
      </c>
      <c r="I2312" s="4">
        <f>CHOOSE(H2312+1,"Kein Risiko","Gering","Mittel","Hoch")</f>
        <v/>
      </c>
    </row>
    <row r="2313">
      <c r="A2313" s="4" t="n">
        <v>2309</v>
      </c>
      <c r="B2313" s="4" t="inlineStr">
        <is>
          <t>house</t>
        </is>
      </c>
      <c r="C2313" s="4" t="inlineStr">
        <is>
          <t>Scharpenhang</t>
        </is>
      </c>
      <c r="D2313" s="4" t="inlineStr">
        <is>
          <t>56</t>
        </is>
      </c>
      <c r="E2313" s="13" t="n">
        <v>70.2</v>
      </c>
      <c r="F2313" s="12" t="n">
        <v>0</v>
      </c>
      <c r="G2313" s="4" t="n">
        <v>0</v>
      </c>
      <c r="H2313" s="4">
        <f>IF(OR(N(F2313)&gt;=0.5,G2313&gt;=4),3,IF(OR(N(F2313)&gt;=0.3,G2313=3),2,IF(OR(N(F2313)&gt;=0.1,G2313&gt;=1),1,0)))</f>
        <v/>
      </c>
      <c r="I2313" s="4">
        <f>CHOOSE(H2313+1,"Kein Risiko","Gering","Mittel","Hoch")</f>
        <v/>
      </c>
    </row>
    <row r="2314">
      <c r="A2314" s="4" t="n">
        <v>2310</v>
      </c>
      <c r="B2314" s="4" t="inlineStr">
        <is>
          <t>house</t>
        </is>
      </c>
      <c r="C2314" s="4" t="inlineStr">
        <is>
          <t>Scharpenhang</t>
        </is>
      </c>
      <c r="D2314" s="4" t="inlineStr">
        <is>
          <t>56a</t>
        </is>
      </c>
      <c r="E2314" s="13" t="n">
        <v>83.90000000000001</v>
      </c>
      <c r="F2314" s="12" t="n">
        <v>0</v>
      </c>
      <c r="G2314" s="4" t="n">
        <v>0</v>
      </c>
      <c r="H2314" s="4">
        <f>IF(OR(N(F2314)&gt;=0.5,G2314&gt;=4),3,IF(OR(N(F2314)&gt;=0.3,G2314=3),2,IF(OR(N(F2314)&gt;=0.1,G2314&gt;=1),1,0)))</f>
        <v/>
      </c>
      <c r="I2314" s="4">
        <f>CHOOSE(H2314+1,"Kein Risiko","Gering","Mittel","Hoch")</f>
        <v/>
      </c>
    </row>
    <row r="2315">
      <c r="A2315" s="4" t="n">
        <v>2311</v>
      </c>
      <c r="B2315" s="4" t="inlineStr">
        <is>
          <t>yes</t>
        </is>
      </c>
      <c r="C2315" s="4" t="inlineStr">
        <is>
          <t>Marienbergstraße</t>
        </is>
      </c>
      <c r="D2315" s="4" t="inlineStr">
        <is>
          <t>57</t>
        </is>
      </c>
      <c r="E2315" s="13" t="n">
        <v>73.8</v>
      </c>
      <c r="F2315" s="12" t="n">
        <v>0</v>
      </c>
      <c r="G2315" s="4" t="n">
        <v>0</v>
      </c>
      <c r="H2315" s="4">
        <f>IF(OR(N(F2315)&gt;=0.5,G2315&gt;=4),3,IF(OR(N(F2315)&gt;=0.3,G2315=3),2,IF(OR(N(F2315)&gt;=0.1,G2315&gt;=1),1,0)))</f>
        <v/>
      </c>
      <c r="I2315" s="4">
        <f>CHOOSE(H2315+1,"Kein Risiko","Gering","Mittel","Hoch")</f>
        <v/>
      </c>
    </row>
    <row r="2316">
      <c r="A2316" s="4" t="n">
        <v>2312</v>
      </c>
      <c r="B2316" s="4" t="inlineStr">
        <is>
          <t>semidetached_house</t>
        </is>
      </c>
      <c r="C2316" s="4" t="inlineStr">
        <is>
          <t>Marienbergstraße</t>
        </is>
      </c>
      <c r="D2316" s="4" t="inlineStr">
        <is>
          <t>58</t>
        </is>
      </c>
      <c r="E2316" s="13" t="n">
        <v>85.8</v>
      </c>
      <c r="F2316" s="12" t="n">
        <v>0</v>
      </c>
      <c r="G2316" s="4" t="n">
        <v>0</v>
      </c>
      <c r="H2316" s="4">
        <f>IF(OR(N(F2316)&gt;=0.5,G2316&gt;=4),3,IF(OR(N(F2316)&gt;=0.3,G2316=3),2,IF(OR(N(F2316)&gt;=0.1,G2316&gt;=1),1,0)))</f>
        <v/>
      </c>
      <c r="I2316" s="4">
        <f>CHOOSE(H2316+1,"Kein Risiko","Gering","Mittel","Hoch")</f>
        <v/>
      </c>
    </row>
    <row r="2317">
      <c r="A2317" s="4" t="n">
        <v>2313</v>
      </c>
      <c r="B2317" s="4" t="inlineStr">
        <is>
          <t>house</t>
        </is>
      </c>
      <c r="C2317" s="4" t="inlineStr">
        <is>
          <t>Scharpenhang</t>
        </is>
      </c>
      <c r="D2317" s="4" t="inlineStr">
        <is>
          <t>58</t>
        </is>
      </c>
      <c r="E2317" s="13" t="n">
        <v>85.40000000000001</v>
      </c>
      <c r="F2317" s="12" t="n">
        <v>0</v>
      </c>
      <c r="G2317" s="4" t="n">
        <v>0</v>
      </c>
      <c r="H2317" s="4">
        <f>IF(OR(N(F2317)&gt;=0.5,G2317&gt;=4),3,IF(OR(N(F2317)&gt;=0.3,G2317=3),2,IF(OR(N(F2317)&gt;=0.1,G2317&gt;=1),1,0)))</f>
        <v/>
      </c>
      <c r="I2317" s="4">
        <f>CHOOSE(H2317+1,"Kein Risiko","Gering","Mittel","Hoch")</f>
        <v/>
      </c>
    </row>
    <row r="2318">
      <c r="A2318" s="4" t="n">
        <v>2314</v>
      </c>
      <c r="B2318" s="4" t="inlineStr">
        <is>
          <t>house</t>
        </is>
      </c>
      <c r="C2318" s="4" t="inlineStr">
        <is>
          <t>Scharpenhang</t>
        </is>
      </c>
      <c r="D2318" s="4" t="inlineStr">
        <is>
          <t>58a</t>
        </is>
      </c>
      <c r="E2318" s="13" t="n">
        <v>87.7</v>
      </c>
      <c r="F2318" s="12" t="n">
        <v>0.0200042724609375</v>
      </c>
      <c r="G2318" s="4" t="n">
        <v>0</v>
      </c>
      <c r="H2318" s="4">
        <f>IF(OR(N(F2318)&gt;=0.5,G2318&gt;=4),3,IF(OR(N(F2318)&gt;=0.3,G2318=3),2,IF(OR(N(F2318)&gt;=0.1,G2318&gt;=1),1,0)))</f>
        <v/>
      </c>
      <c r="I2318" s="4">
        <f>CHOOSE(H2318+1,"Kein Risiko","Gering","Mittel","Hoch")</f>
        <v/>
      </c>
    </row>
    <row r="2319">
      <c r="A2319" s="4" t="n">
        <v>2315</v>
      </c>
      <c r="B2319" s="4" t="inlineStr">
        <is>
          <t>yes</t>
        </is>
      </c>
      <c r="C2319" s="4" t="inlineStr">
        <is>
          <t>Blockstraße</t>
        </is>
      </c>
      <c r="D2319" s="4" t="inlineStr">
        <is>
          <t>6</t>
        </is>
      </c>
      <c r="E2319" s="13" t="n">
        <v>56.2</v>
      </c>
      <c r="F2319" s="12" t="n">
        <v>0.2699966430664062</v>
      </c>
      <c r="G2319" s="4" t="n">
        <v>1</v>
      </c>
      <c r="H2319" s="4">
        <f>IF(OR(N(F2319)&gt;=0.5,G2319&gt;=4),3,IF(OR(N(F2319)&gt;=0.3,G2319=3),2,IF(OR(N(F2319)&gt;=0.1,G2319&gt;=1),1,0)))</f>
        <v/>
      </c>
      <c r="I2319" s="4">
        <f>CHOOSE(H2319+1,"Kein Risiko","Gering","Mittel","Hoch")</f>
        <v/>
      </c>
    </row>
    <row r="2320">
      <c r="A2320" s="4" t="n">
        <v>2316</v>
      </c>
      <c r="B2320" s="4" t="inlineStr">
        <is>
          <t>yes</t>
        </is>
      </c>
      <c r="C2320" s="4" t="inlineStr">
        <is>
          <t>Gasstraße</t>
        </is>
      </c>
      <c r="D2320" s="4" t="inlineStr">
        <is>
          <t>6</t>
        </is>
      </c>
      <c r="E2320" s="13" t="n">
        <v>57.2</v>
      </c>
      <c r="F2320" s="12" t="n">
        <v>0.1800003051757812</v>
      </c>
      <c r="G2320" s="4" t="n">
        <v>0</v>
      </c>
      <c r="H2320" s="4">
        <f>IF(OR(N(F2320)&gt;=0.5,G2320&gt;=4),3,IF(OR(N(F2320)&gt;=0.3,G2320=3),2,IF(OR(N(F2320)&gt;=0.1,G2320&gt;=1),1,0)))</f>
        <v/>
      </c>
      <c r="I2320" s="4">
        <f>CHOOSE(H2320+1,"Kein Risiko","Gering","Mittel","Hoch")</f>
        <v/>
      </c>
    </row>
    <row r="2321">
      <c r="A2321" s="4" t="n">
        <v>2317</v>
      </c>
      <c r="B2321" s="4" t="inlineStr">
        <is>
          <t>yes</t>
        </is>
      </c>
      <c r="C2321" s="4" t="inlineStr">
        <is>
          <t>Marienbergstraße</t>
        </is>
      </c>
      <c r="D2321" s="4" t="inlineStr">
        <is>
          <t>61</t>
        </is>
      </c>
      <c r="E2321" s="13" t="n">
        <v>58.7</v>
      </c>
      <c r="F2321" s="12" t="n">
        <v>0</v>
      </c>
      <c r="G2321" s="4" t="n">
        <v>0</v>
      </c>
      <c r="H2321" s="4">
        <f>IF(OR(N(F2321)&gt;=0.5,G2321&gt;=4),3,IF(OR(N(F2321)&gt;=0.3,G2321=3),2,IF(OR(N(F2321)&gt;=0.1,G2321&gt;=1),1,0)))</f>
        <v/>
      </c>
      <c r="I2321" s="4">
        <f>CHOOSE(H2321+1,"Kein Risiko","Gering","Mittel","Hoch")</f>
        <v/>
      </c>
    </row>
    <row r="2322">
      <c r="A2322" s="4" t="n">
        <v>2318</v>
      </c>
      <c r="B2322" s="4" t="inlineStr">
        <is>
          <t>house</t>
        </is>
      </c>
      <c r="C2322" s="4" t="inlineStr">
        <is>
          <t>Scharpenhang</t>
        </is>
      </c>
      <c r="D2322" s="4" t="inlineStr">
        <is>
          <t>62</t>
        </is>
      </c>
      <c r="E2322" s="13" t="n">
        <v>129.8</v>
      </c>
      <c r="F2322" s="12" t="n">
        <v>0.2599945068359375</v>
      </c>
      <c r="G2322" s="4" t="n">
        <v>0</v>
      </c>
      <c r="H2322" s="4">
        <f>IF(OR(N(F2322)&gt;=0.5,G2322&gt;=4),3,IF(OR(N(F2322)&gt;=0.3,G2322=3),2,IF(OR(N(F2322)&gt;=0.1,G2322&gt;=1),1,0)))</f>
        <v/>
      </c>
      <c r="I2322" s="4">
        <f>CHOOSE(H2322+1,"Kein Risiko","Gering","Mittel","Hoch")</f>
        <v/>
      </c>
    </row>
    <row r="2323">
      <c r="A2323" s="4" t="n">
        <v>2319</v>
      </c>
      <c r="B2323" s="4" t="inlineStr">
        <is>
          <t>house</t>
        </is>
      </c>
      <c r="C2323" s="4" t="inlineStr">
        <is>
          <t>Scharpenhang</t>
        </is>
      </c>
      <c r="D2323" s="4" t="inlineStr">
        <is>
          <t>64</t>
        </is>
      </c>
      <c r="E2323" s="13" t="n">
        <v>106.2</v>
      </c>
      <c r="F2323" s="12" t="n">
        <v>0.3199996948242188</v>
      </c>
      <c r="G2323" s="4" t="n">
        <v>0</v>
      </c>
      <c r="H2323" s="4">
        <f>IF(OR(N(F2323)&gt;=0.5,G2323&gt;=4),3,IF(OR(N(F2323)&gt;=0.3,G2323=3),2,IF(OR(N(F2323)&gt;=0.1,G2323&gt;=1),1,0)))</f>
        <v/>
      </c>
      <c r="I2323" s="4">
        <f>CHOOSE(H2323+1,"Kein Risiko","Gering","Mittel","Hoch")</f>
        <v/>
      </c>
    </row>
    <row r="2324">
      <c r="A2324" s="4" t="n">
        <v>2320</v>
      </c>
      <c r="B2324" s="4" t="inlineStr">
        <is>
          <t>yes</t>
        </is>
      </c>
      <c r="C2324" s="4" t="inlineStr">
        <is>
          <t>Marienbergstraße</t>
        </is>
      </c>
      <c r="D2324" s="4" t="inlineStr">
        <is>
          <t>65</t>
        </is>
      </c>
      <c r="E2324" s="13" t="n">
        <v>60.7</v>
      </c>
      <c r="F2324" s="12" t="n">
        <v>0</v>
      </c>
      <c r="G2324" s="4" t="n">
        <v>0</v>
      </c>
      <c r="H2324" s="4">
        <f>IF(OR(N(F2324)&gt;=0.5,G2324&gt;=4),3,IF(OR(N(F2324)&gt;=0.3,G2324=3),2,IF(OR(N(F2324)&gt;=0.1,G2324&gt;=1),1,0)))</f>
        <v/>
      </c>
      <c r="I2324" s="4">
        <f>CHOOSE(H2324+1,"Kein Risiko","Gering","Mittel","Hoch")</f>
        <v/>
      </c>
    </row>
    <row r="2325">
      <c r="A2325" s="4" t="n">
        <v>2321</v>
      </c>
      <c r="B2325" s="4" t="inlineStr">
        <is>
          <t>house</t>
        </is>
      </c>
      <c r="C2325" s="4" t="inlineStr">
        <is>
          <t>Scharpenhang</t>
        </is>
      </c>
      <c r="D2325" s="4" t="inlineStr">
        <is>
          <t>66</t>
        </is>
      </c>
      <c r="E2325" s="13" t="n">
        <v>105.8</v>
      </c>
      <c r="F2325" s="12" t="n">
        <v>0.339996337890625</v>
      </c>
      <c r="G2325" s="4" t="n">
        <v>1</v>
      </c>
      <c r="H2325" s="4">
        <f>IF(OR(N(F2325)&gt;=0.5,G2325&gt;=4),3,IF(OR(N(F2325)&gt;=0.3,G2325=3),2,IF(OR(N(F2325)&gt;=0.1,G2325&gt;=1),1,0)))</f>
        <v/>
      </c>
      <c r="I2325" s="4">
        <f>CHOOSE(H2325+1,"Kein Risiko","Gering","Mittel","Hoch")</f>
        <v/>
      </c>
    </row>
    <row r="2326">
      <c r="A2326" s="4" t="n">
        <v>2322</v>
      </c>
      <c r="B2326" s="4" t="inlineStr">
        <is>
          <t>house</t>
        </is>
      </c>
      <c r="C2326" s="4" t="inlineStr">
        <is>
          <t>Scharpenhang</t>
        </is>
      </c>
      <c r="D2326" s="4" t="inlineStr">
        <is>
          <t>68</t>
        </is>
      </c>
      <c r="E2326" s="13" t="n">
        <v>118.8</v>
      </c>
      <c r="F2326" s="12" t="n">
        <v>0.3499984741210938</v>
      </c>
      <c r="G2326" s="4" t="n">
        <v>1</v>
      </c>
      <c r="H2326" s="4">
        <f>IF(OR(N(F2326)&gt;=0.5,G2326&gt;=4),3,IF(OR(N(F2326)&gt;=0.3,G2326=3),2,IF(OR(N(F2326)&gt;=0.1,G2326&gt;=1),1,0)))</f>
        <v/>
      </c>
      <c r="I2326" s="4">
        <f>CHOOSE(H2326+1,"Kein Risiko","Gering","Mittel","Hoch")</f>
        <v/>
      </c>
    </row>
    <row r="2327">
      <c r="A2327" s="4" t="n">
        <v>2323</v>
      </c>
      <c r="B2327" s="4" t="inlineStr">
        <is>
          <t>yes</t>
        </is>
      </c>
      <c r="C2327" s="4" t="inlineStr">
        <is>
          <t>Marienbergstraße</t>
        </is>
      </c>
      <c r="D2327" s="4" t="inlineStr">
        <is>
          <t>69a</t>
        </is>
      </c>
      <c r="E2327" s="13" t="n">
        <v>63</v>
      </c>
      <c r="F2327" s="12" t="n">
        <v>0.2900009155273438</v>
      </c>
      <c r="G2327" s="4" t="n">
        <v>0</v>
      </c>
      <c r="H2327" s="4">
        <f>IF(OR(N(F2327)&gt;=0.5,G2327&gt;=4),3,IF(OR(N(F2327)&gt;=0.3,G2327=3),2,IF(OR(N(F2327)&gt;=0.1,G2327&gt;=1),1,0)))</f>
        <v/>
      </c>
      <c r="I2327" s="4">
        <f>CHOOSE(H2327+1,"Kein Risiko","Gering","Mittel","Hoch")</f>
        <v/>
      </c>
    </row>
    <row r="2328">
      <c r="A2328" s="4" t="n">
        <v>2324</v>
      </c>
      <c r="B2328" s="4" t="inlineStr">
        <is>
          <t>yes</t>
        </is>
      </c>
      <c r="C2328" s="4" t="inlineStr">
        <is>
          <t>Blockstraße</t>
        </is>
      </c>
      <c r="D2328" s="4" t="inlineStr">
        <is>
          <t>7</t>
        </is>
      </c>
      <c r="E2328" s="13" t="n">
        <v>61.3</v>
      </c>
      <c r="F2328" s="12" t="n">
        <v>0.01000213623046875</v>
      </c>
      <c r="G2328" s="4" t="n">
        <v>0</v>
      </c>
      <c r="H2328" s="4">
        <f>IF(OR(N(F2328)&gt;=0.5,G2328&gt;=4),3,IF(OR(N(F2328)&gt;=0.3,G2328=3),2,IF(OR(N(F2328)&gt;=0.1,G2328&gt;=1),1,0)))</f>
        <v/>
      </c>
      <c r="I2328" s="4">
        <f>CHOOSE(H2328+1,"Kein Risiko","Gering","Mittel","Hoch")</f>
        <v/>
      </c>
    </row>
    <row r="2329">
      <c r="A2329" s="4" t="n">
        <v>2325</v>
      </c>
      <c r="B2329" s="4" t="inlineStr">
        <is>
          <t>yes</t>
        </is>
      </c>
      <c r="C2329" s="4" t="inlineStr">
        <is>
          <t>Marienberghang</t>
        </is>
      </c>
      <c r="D2329" s="4" t="inlineStr">
        <is>
          <t>7</t>
        </is>
      </c>
      <c r="E2329" s="13" t="n">
        <v>98.2</v>
      </c>
      <c r="F2329" s="12" t="n">
        <v>0.04999542236328125</v>
      </c>
      <c r="G2329" s="4" t="n">
        <v>0</v>
      </c>
      <c r="H2329" s="4">
        <f>IF(OR(N(F2329)&gt;=0.5,G2329&gt;=4),3,IF(OR(N(F2329)&gt;=0.3,G2329=3),2,IF(OR(N(F2329)&gt;=0.1,G2329&gt;=1),1,0)))</f>
        <v/>
      </c>
      <c r="I2329" s="4">
        <f>CHOOSE(H2329+1,"Kein Risiko","Gering","Mittel","Hoch")</f>
        <v/>
      </c>
    </row>
    <row r="2330">
      <c r="A2330" s="4" t="n">
        <v>2326</v>
      </c>
      <c r="B2330" s="4" t="inlineStr">
        <is>
          <t>house</t>
        </is>
      </c>
      <c r="C2330" s="4" t="inlineStr">
        <is>
          <t>Scharpenhang</t>
        </is>
      </c>
      <c r="D2330" s="4" t="inlineStr">
        <is>
          <t>70</t>
        </is>
      </c>
      <c r="E2330" s="13" t="n">
        <v>109.4</v>
      </c>
      <c r="F2330" s="12" t="n">
        <v>0.339996337890625</v>
      </c>
      <c r="G2330" s="4" t="n">
        <v>2</v>
      </c>
      <c r="H2330" s="4">
        <f>IF(OR(N(F2330)&gt;=0.5,G2330&gt;=4),3,IF(OR(N(F2330)&gt;=0.3,G2330=3),2,IF(OR(N(F2330)&gt;=0.1,G2330&gt;=1),1,0)))</f>
        <v/>
      </c>
      <c r="I2330" s="4">
        <f>CHOOSE(H2330+1,"Kein Risiko","Gering","Mittel","Hoch")</f>
        <v/>
      </c>
    </row>
    <row r="2331">
      <c r="A2331" s="4" t="n">
        <v>2327</v>
      </c>
      <c r="B2331" s="4" t="inlineStr">
        <is>
          <t>house</t>
        </is>
      </c>
      <c r="C2331" s="4" t="inlineStr">
        <is>
          <t>Scharpenhang</t>
        </is>
      </c>
      <c r="D2331" s="4" t="inlineStr">
        <is>
          <t>72</t>
        </is>
      </c>
      <c r="E2331" s="13" t="n">
        <v>103.7</v>
      </c>
      <c r="F2331" s="12" t="n">
        <v>0.2999954223632812</v>
      </c>
      <c r="G2331" s="4" t="n">
        <v>1</v>
      </c>
      <c r="H2331" s="4">
        <f>IF(OR(N(F2331)&gt;=0.5,G2331&gt;=4),3,IF(OR(N(F2331)&gt;=0.3,G2331=3),2,IF(OR(N(F2331)&gt;=0.1,G2331&gt;=1),1,0)))</f>
        <v/>
      </c>
      <c r="I2331" s="4">
        <f>CHOOSE(H2331+1,"Kein Risiko","Gering","Mittel","Hoch")</f>
        <v/>
      </c>
    </row>
    <row r="2332">
      <c r="A2332" s="4" t="n">
        <v>2328</v>
      </c>
      <c r="B2332" s="4" t="inlineStr">
        <is>
          <t>yes</t>
        </is>
      </c>
      <c r="C2332" s="4" t="inlineStr">
        <is>
          <t>Blockstraße</t>
        </is>
      </c>
      <c r="D2332" s="4" t="inlineStr">
        <is>
          <t>8</t>
        </is>
      </c>
      <c r="E2332" s="13" t="n">
        <v>56.1</v>
      </c>
      <c r="F2332" s="12" t="n">
        <v>0.3499984741210938</v>
      </c>
      <c r="G2332" s="4" t="n">
        <v>1</v>
      </c>
      <c r="H2332" s="4">
        <f>IF(OR(N(F2332)&gt;=0.5,G2332&gt;=4),3,IF(OR(N(F2332)&gt;=0.3,G2332=3),2,IF(OR(N(F2332)&gt;=0.1,G2332&gt;=1),1,0)))</f>
        <v/>
      </c>
      <c r="I2332" s="4">
        <f>CHOOSE(H2332+1,"Kein Risiko","Gering","Mittel","Hoch")</f>
        <v/>
      </c>
    </row>
    <row r="2333">
      <c r="A2333" s="4" t="n">
        <v>2329</v>
      </c>
      <c r="B2333" s="4" t="inlineStr">
        <is>
          <t>yes</t>
        </is>
      </c>
      <c r="C2333" s="4" t="inlineStr">
        <is>
          <t>Gasstraße</t>
        </is>
      </c>
      <c r="D2333" s="4" t="inlineStr">
        <is>
          <t>8</t>
        </is>
      </c>
      <c r="E2333" s="13" t="n">
        <v>118.8</v>
      </c>
      <c r="F2333" s="12" t="n">
        <v>0.3699989318847656</v>
      </c>
      <c r="G2333" s="4" t="n">
        <v>0</v>
      </c>
      <c r="H2333" s="4">
        <f>IF(OR(N(F2333)&gt;=0.5,G2333&gt;=4),3,IF(OR(N(F2333)&gt;=0.3,G2333=3),2,IF(OR(N(F2333)&gt;=0.1,G2333&gt;=1),1,0)))</f>
        <v/>
      </c>
      <c r="I2333" s="4">
        <f>CHOOSE(H2333+1,"Kein Risiko","Gering","Mittel","Hoch")</f>
        <v/>
      </c>
    </row>
    <row r="2334">
      <c r="A2334" s="4" t="n">
        <v>2330</v>
      </c>
      <c r="B2334" s="4" t="inlineStr">
        <is>
          <t>yes</t>
        </is>
      </c>
      <c r="C2334" s="4" t="inlineStr">
        <is>
          <t>Marienbergstraße</t>
        </is>
      </c>
      <c r="D2334" s="4" t="inlineStr">
        <is>
          <t>82</t>
        </is>
      </c>
      <c r="E2334" s="13" t="n">
        <v>242.2</v>
      </c>
      <c r="F2334" s="12" t="n">
        <v>0</v>
      </c>
      <c r="G2334" s="4" t="n">
        <v>2</v>
      </c>
      <c r="H2334" s="4">
        <f>IF(OR(N(F2334)&gt;=0.5,G2334&gt;=4),3,IF(OR(N(F2334)&gt;=0.3,G2334=3),2,IF(OR(N(F2334)&gt;=0.1,G2334&gt;=1),1,0)))</f>
        <v/>
      </c>
      <c r="I2334" s="4">
        <f>CHOOSE(H2334+1,"Kein Risiko","Gering","Mittel","Hoch")</f>
        <v/>
      </c>
    </row>
    <row r="2335">
      <c r="A2335" s="4" t="n">
        <v>2331</v>
      </c>
      <c r="B2335" s="4" t="inlineStr">
        <is>
          <t>yes</t>
        </is>
      </c>
      <c r="C2335" s="4" t="inlineStr">
        <is>
          <t>Blockstraße</t>
        </is>
      </c>
      <c r="D2335" s="4" t="inlineStr">
        <is>
          <t>9</t>
        </is>
      </c>
      <c r="E2335" s="13" t="n">
        <v>78.59999999999999</v>
      </c>
      <c r="F2335" s="12" t="n">
        <v>0.0200042724609375</v>
      </c>
      <c r="G2335" s="4" t="n">
        <v>0</v>
      </c>
      <c r="H2335" s="4">
        <f>IF(OR(N(F2335)&gt;=0.5,G2335&gt;=4),3,IF(OR(N(F2335)&gt;=0.3,G2335=3),2,IF(OR(N(F2335)&gt;=0.1,G2335&gt;=1),1,0)))</f>
        <v/>
      </c>
      <c r="I2335" s="4">
        <f>CHOOSE(H2335+1,"Kein Risiko","Gering","Mittel","Hoch")</f>
        <v/>
      </c>
    </row>
    <row r="2336">
      <c r="A2336" s="4" t="n">
        <v>2332</v>
      </c>
      <c r="B2336" s="4" t="inlineStr">
        <is>
          <t>yes</t>
        </is>
      </c>
      <c r="C2336" s="4" t="inlineStr">
        <is>
          <t>Marienberghang</t>
        </is>
      </c>
      <c r="D2336" s="4" t="inlineStr">
        <is>
          <t>9</t>
        </is>
      </c>
      <c r="E2336" s="13" t="n">
        <v>101.4</v>
      </c>
      <c r="F2336" s="12" t="n">
        <v>0</v>
      </c>
      <c r="G2336" s="4" t="n">
        <v>0</v>
      </c>
      <c r="H2336" s="4">
        <f>IF(OR(N(F2336)&gt;=0.5,G2336&gt;=4),3,IF(OR(N(F2336)&gt;=0.3,G2336=3),2,IF(OR(N(F2336)&gt;=0.1,G2336&gt;=1),1,0)))</f>
        <v/>
      </c>
      <c r="I2336" s="4">
        <f>CHOOSE(H2336+1,"Kein Risiko","Gering","Mittel","Hoch")</f>
        <v/>
      </c>
    </row>
    <row r="2337">
      <c r="A2337" s="4" t="n">
        <v>2333</v>
      </c>
      <c r="B2337" s="4" t="inlineStr">
        <is>
          <t>semidetached_house</t>
        </is>
      </c>
      <c r="C2337" s="4" t="inlineStr">
        <is>
          <t>Deilmannshof</t>
        </is>
      </c>
      <c r="D2337" s="4" t="inlineStr">
        <is>
          <t>9</t>
        </is>
      </c>
      <c r="E2337" s="13" t="n">
        <v>93.7</v>
      </c>
      <c r="F2337" s="12" t="n"/>
      <c r="G2337" s="4" t="n">
        <v>0</v>
      </c>
      <c r="H2337" s="4">
        <f>IF(OR(N(F2337)&gt;=0.5,G2337&gt;=4),3,IF(OR(N(F2337)&gt;=0.3,G2337=3),2,IF(OR(N(F2337)&gt;=0.1,G2337&gt;=1),1,0)))</f>
        <v/>
      </c>
      <c r="I2337" s="4">
        <f>CHOOSE(H2337+1,"Kein Risiko","Gering","Mittel","Hoch")</f>
        <v/>
      </c>
    </row>
    <row r="2338">
      <c r="A2338" s="4" t="n">
        <v>2334</v>
      </c>
      <c r="B2338" s="4" t="inlineStr">
        <is>
          <t>yes</t>
        </is>
      </c>
      <c r="C2338" s="4" t="inlineStr">
        <is>
          <t>Schliepershang</t>
        </is>
      </c>
      <c r="D2338" s="4" t="inlineStr">
        <is>
          <t>1a</t>
        </is>
      </c>
      <c r="E2338" s="13" t="n">
        <v>105</v>
      </c>
      <c r="F2338" s="12" t="n">
        <v>0</v>
      </c>
      <c r="G2338" s="4" t="n">
        <v>0</v>
      </c>
      <c r="H2338" s="4">
        <f>IF(OR(N(F2338)&gt;=0.5,G2338&gt;=4),3,IF(OR(N(F2338)&gt;=0.3,G2338=3),2,IF(OR(N(F2338)&gt;=0.1,G2338&gt;=1),1,0)))</f>
        <v/>
      </c>
      <c r="I2338" s="4">
        <f>CHOOSE(H2338+1,"Kein Risiko","Gering","Mittel","Hoch")</f>
        <v/>
      </c>
    </row>
    <row r="2339">
      <c r="A2339" s="4" t="n">
        <v>2335</v>
      </c>
      <c r="B2339" s="4" t="inlineStr">
        <is>
          <t>garage</t>
        </is>
      </c>
      <c r="C2339" s="4" t="inlineStr"/>
      <c r="D2339" s="4" t="inlineStr"/>
      <c r="E2339" s="13" t="n">
        <v>18</v>
      </c>
      <c r="F2339" s="12" t="n">
        <v>0</v>
      </c>
      <c r="G2339" s="4" t="n">
        <v>0</v>
      </c>
      <c r="H2339" s="4">
        <f>IF(OR(N(F2339)&gt;=0.5,G2339&gt;=4),3,IF(OR(N(F2339)&gt;=0.3,G2339=3),2,IF(OR(N(F2339)&gt;=0.1,G2339&gt;=1),1,0)))</f>
        <v/>
      </c>
      <c r="I2339" s="4">
        <f>CHOOSE(H2339+1,"Kein Risiko","Gering","Mittel","Hoch")</f>
        <v/>
      </c>
    </row>
    <row r="2340">
      <c r="A2340" s="4" t="n">
        <v>2336</v>
      </c>
      <c r="B2340" s="4" t="inlineStr">
        <is>
          <t>garage</t>
        </is>
      </c>
      <c r="C2340" s="4" t="inlineStr"/>
      <c r="D2340" s="4" t="inlineStr"/>
      <c r="E2340" s="13" t="n">
        <v>78.40000000000001</v>
      </c>
      <c r="F2340" s="12" t="n">
        <v>0</v>
      </c>
      <c r="G2340" s="4" t="n">
        <v>0</v>
      </c>
      <c r="H2340" s="4">
        <f>IF(OR(N(F2340)&gt;=0.5,G2340&gt;=4),3,IF(OR(N(F2340)&gt;=0.3,G2340=3),2,IF(OR(N(F2340)&gt;=0.1,G2340&gt;=1),1,0)))</f>
        <v/>
      </c>
      <c r="I2340" s="4">
        <f>CHOOSE(H2340+1,"Kein Risiko","Gering","Mittel","Hoch")</f>
        <v/>
      </c>
    </row>
    <row r="2341">
      <c r="A2341" s="4" t="n">
        <v>2337</v>
      </c>
      <c r="B2341" s="4" t="inlineStr">
        <is>
          <t>shed</t>
        </is>
      </c>
      <c r="C2341" s="4" t="inlineStr"/>
      <c r="D2341" s="4" t="inlineStr"/>
      <c r="E2341" s="13" t="n">
        <v>151.5</v>
      </c>
      <c r="F2341" s="12" t="n">
        <v>0</v>
      </c>
      <c r="G2341" s="4" t="n">
        <v>0</v>
      </c>
      <c r="H2341" s="4">
        <f>IF(OR(N(F2341)&gt;=0.5,G2341&gt;=4),3,IF(OR(N(F2341)&gt;=0.3,G2341=3),2,IF(OR(N(F2341)&gt;=0.1,G2341&gt;=1),1,0)))</f>
        <v/>
      </c>
      <c r="I2341" s="4">
        <f>CHOOSE(H2341+1,"Kein Risiko","Gering","Mittel","Hoch")</f>
        <v/>
      </c>
    </row>
    <row r="2342">
      <c r="A2342" s="4" t="n">
        <v>2338</v>
      </c>
      <c r="B2342" s="4" t="inlineStr">
        <is>
          <t>yes</t>
        </is>
      </c>
      <c r="C2342" s="4" t="inlineStr"/>
      <c r="D2342" s="4" t="inlineStr"/>
      <c r="E2342" s="13" t="n">
        <v>106</v>
      </c>
      <c r="F2342" s="12" t="n">
        <v>0</v>
      </c>
      <c r="G2342" s="4" t="n">
        <v>0</v>
      </c>
      <c r="H2342" s="4">
        <f>IF(OR(N(F2342)&gt;=0.5,G2342&gt;=4),3,IF(OR(N(F2342)&gt;=0.3,G2342=3),2,IF(OR(N(F2342)&gt;=0.1,G2342&gt;=1),1,0)))</f>
        <v/>
      </c>
      <c r="I2342" s="4">
        <f>CHOOSE(H2342+1,"Kein Risiko","Gering","Mittel","Hoch")</f>
        <v/>
      </c>
    </row>
    <row r="2343">
      <c r="A2343" s="4" t="n">
        <v>2339</v>
      </c>
      <c r="B2343" s="4" t="inlineStr">
        <is>
          <t>residential</t>
        </is>
      </c>
      <c r="C2343" s="4" t="inlineStr">
        <is>
          <t>Dilldorfer Straße</t>
        </is>
      </c>
      <c r="D2343" s="4" t="inlineStr">
        <is>
          <t>15</t>
        </is>
      </c>
      <c r="E2343" s="13" t="n">
        <v>136.7</v>
      </c>
      <c r="F2343" s="12" t="n">
        <v>0.3700027465820312</v>
      </c>
      <c r="G2343" s="4" t="n">
        <v>3</v>
      </c>
      <c r="H2343" s="4">
        <f>IF(OR(N(F2343)&gt;=0.5,G2343&gt;=4),3,IF(OR(N(F2343)&gt;=0.3,G2343=3),2,IF(OR(N(F2343)&gt;=0.1,G2343&gt;=1),1,0)))</f>
        <v/>
      </c>
      <c r="I2343" s="4">
        <f>CHOOSE(H2343+1,"Kein Risiko","Gering","Mittel","Hoch")</f>
        <v/>
      </c>
    </row>
    <row r="2344">
      <c r="A2344" s="4" t="n">
        <v>2340</v>
      </c>
      <c r="B2344" s="4" t="inlineStr">
        <is>
          <t>residential</t>
        </is>
      </c>
      <c r="C2344" s="4" t="inlineStr">
        <is>
          <t>Dilldorfer Straße</t>
        </is>
      </c>
      <c r="D2344" s="4" t="inlineStr">
        <is>
          <t>17</t>
        </is>
      </c>
      <c r="E2344" s="13" t="n">
        <v>138</v>
      </c>
      <c r="F2344" s="12" t="n">
        <v>1.209999084472656</v>
      </c>
      <c r="G2344" s="4" t="n">
        <v>3</v>
      </c>
      <c r="H2344" s="4">
        <f>IF(OR(N(F2344)&gt;=0.5,G2344&gt;=4),3,IF(OR(N(F2344)&gt;=0.3,G2344=3),2,IF(OR(N(F2344)&gt;=0.1,G2344&gt;=1),1,0)))</f>
        <v/>
      </c>
      <c r="I2344" s="4">
        <f>CHOOSE(H2344+1,"Kein Risiko","Gering","Mittel","Hoch")</f>
        <v/>
      </c>
    </row>
    <row r="2345">
      <c r="A2345" s="4" t="n">
        <v>2341</v>
      </c>
      <c r="B2345" s="4" t="inlineStr">
        <is>
          <t>yes</t>
        </is>
      </c>
      <c r="C2345" s="4" t="inlineStr">
        <is>
          <t>Frauenstein</t>
        </is>
      </c>
      <c r="D2345" s="4" t="inlineStr">
        <is>
          <t>112b</t>
        </is>
      </c>
      <c r="E2345" s="13" t="n">
        <v>68.7</v>
      </c>
      <c r="F2345" s="12" t="n">
        <v>0</v>
      </c>
      <c r="G2345" s="4" t="n">
        <v>1</v>
      </c>
      <c r="H2345" s="4">
        <f>IF(OR(N(F2345)&gt;=0.5,G2345&gt;=4),3,IF(OR(N(F2345)&gt;=0.3,G2345=3),2,IF(OR(N(F2345)&gt;=0.1,G2345&gt;=1),1,0)))</f>
        <v/>
      </c>
      <c r="I2345" s="4">
        <f>CHOOSE(H2345+1,"Kein Risiko","Gering","Mittel","Hoch")</f>
        <v/>
      </c>
    </row>
    <row r="2346">
      <c r="A2346" s="4" t="n">
        <v>2342</v>
      </c>
      <c r="B2346" s="4" t="inlineStr">
        <is>
          <t>yes</t>
        </is>
      </c>
      <c r="C2346" s="4" t="inlineStr">
        <is>
          <t>Frauenstein</t>
        </is>
      </c>
      <c r="D2346" s="4" t="inlineStr">
        <is>
          <t>114a</t>
        </is>
      </c>
      <c r="E2346" s="13" t="n">
        <v>81.7</v>
      </c>
      <c r="F2346" s="12" t="n">
        <v>0</v>
      </c>
      <c r="G2346" s="4" t="n">
        <v>0</v>
      </c>
      <c r="H2346" s="4">
        <f>IF(OR(N(F2346)&gt;=0.5,G2346&gt;=4),3,IF(OR(N(F2346)&gt;=0.3,G2346=3),2,IF(OR(N(F2346)&gt;=0.1,G2346&gt;=1),1,0)))</f>
        <v/>
      </c>
      <c r="I2346" s="4">
        <f>CHOOSE(H2346+1,"Kein Risiko","Gering","Mittel","Hoch")</f>
        <v/>
      </c>
    </row>
    <row r="2347">
      <c r="A2347" s="4" t="n">
        <v>2343</v>
      </c>
      <c r="B2347" s="4" t="inlineStr">
        <is>
          <t>yes</t>
        </is>
      </c>
      <c r="C2347" s="4" t="inlineStr">
        <is>
          <t>Frauenstein</t>
        </is>
      </c>
      <c r="D2347" s="4" t="inlineStr">
        <is>
          <t>116a</t>
        </is>
      </c>
      <c r="E2347" s="13" t="n">
        <v>70</v>
      </c>
      <c r="F2347" s="12" t="n">
        <v>0</v>
      </c>
      <c r="G2347" s="4" t="n">
        <v>1</v>
      </c>
      <c r="H2347" s="4">
        <f>IF(OR(N(F2347)&gt;=0.5,G2347&gt;=4),3,IF(OR(N(F2347)&gt;=0.3,G2347=3),2,IF(OR(N(F2347)&gt;=0.1,G2347&gt;=1),1,0)))</f>
        <v/>
      </c>
      <c r="I2347" s="4">
        <f>CHOOSE(H2347+1,"Kein Risiko","Gering","Mittel","Hoch")</f>
        <v/>
      </c>
    </row>
    <row r="2348">
      <c r="A2348" s="4" t="n">
        <v>2344</v>
      </c>
      <c r="B2348" s="4" t="inlineStr">
        <is>
          <t>roof</t>
        </is>
      </c>
      <c r="C2348" s="4" t="inlineStr"/>
      <c r="D2348" s="4" t="inlineStr"/>
      <c r="E2348" s="13" t="n">
        <v>531.3</v>
      </c>
      <c r="F2348" s="12" t="n">
        <v>0.4199981689453125</v>
      </c>
      <c r="G2348" s="4" t="n">
        <v>6</v>
      </c>
      <c r="H2348" s="4">
        <f>IF(OR(N(F2348)&gt;=0.5,G2348&gt;=4),3,IF(OR(N(F2348)&gt;=0.3,G2348=3),2,IF(OR(N(F2348)&gt;=0.1,G2348&gt;=1),1,0)))</f>
        <v/>
      </c>
      <c r="I2348" s="4">
        <f>CHOOSE(H2348+1,"Kein Risiko","Gering","Mittel","Hoch")</f>
        <v/>
      </c>
    </row>
    <row r="2349">
      <c r="A2349" s="4" t="n">
        <v>2345</v>
      </c>
      <c r="B2349" s="4" t="inlineStr">
        <is>
          <t>yes</t>
        </is>
      </c>
      <c r="C2349" s="4" t="inlineStr"/>
      <c r="D2349" s="4" t="inlineStr"/>
      <c r="E2349" s="13" t="n">
        <v>51.9</v>
      </c>
      <c r="F2349" s="12" t="n">
        <v>0</v>
      </c>
      <c r="G2349" s="4" t="n">
        <v>2</v>
      </c>
      <c r="H2349" s="4">
        <f>IF(OR(N(F2349)&gt;=0.5,G2349&gt;=4),3,IF(OR(N(F2349)&gt;=0.3,G2349=3),2,IF(OR(N(F2349)&gt;=0.1,G2349&gt;=1),1,0)))</f>
        <v/>
      </c>
      <c r="I2349" s="4">
        <f>CHOOSE(H2349+1,"Kein Risiko","Gering","Mittel","Hoch")</f>
        <v/>
      </c>
    </row>
    <row r="2350">
      <c r="A2350" s="4" t="n">
        <v>2346</v>
      </c>
      <c r="B2350" s="4" t="inlineStr">
        <is>
          <t>garages</t>
        </is>
      </c>
      <c r="C2350" s="4" t="inlineStr"/>
      <c r="D2350" s="4" t="inlineStr"/>
      <c r="E2350" s="13" t="n">
        <v>58.4</v>
      </c>
      <c r="F2350" s="12" t="n">
        <v>0</v>
      </c>
      <c r="G2350" s="4" t="n">
        <v>0</v>
      </c>
      <c r="H2350" s="4">
        <f>IF(OR(N(F2350)&gt;=0.5,G2350&gt;=4),3,IF(OR(N(F2350)&gt;=0.3,G2350=3),2,IF(OR(N(F2350)&gt;=0.1,G2350&gt;=1),1,0)))</f>
        <v/>
      </c>
      <c r="I2350" s="4">
        <f>CHOOSE(H2350+1,"Kein Risiko","Gering","Mittel","Hoch")</f>
        <v/>
      </c>
    </row>
    <row r="2351">
      <c r="A2351" s="4" t="n">
        <v>2347</v>
      </c>
      <c r="B2351" s="4" t="inlineStr">
        <is>
          <t>garages</t>
        </is>
      </c>
      <c r="C2351" s="4" t="inlineStr"/>
      <c r="D2351" s="4" t="inlineStr"/>
      <c r="E2351" s="13" t="n">
        <v>56.6</v>
      </c>
      <c r="F2351" s="12" t="n">
        <v>0.0099945068359375</v>
      </c>
      <c r="G2351" s="4" t="n">
        <v>1</v>
      </c>
      <c r="H2351" s="4">
        <f>IF(OR(N(F2351)&gt;=0.5,G2351&gt;=4),3,IF(OR(N(F2351)&gt;=0.3,G2351=3),2,IF(OR(N(F2351)&gt;=0.1,G2351&gt;=1),1,0)))</f>
        <v/>
      </c>
      <c r="I2351" s="4">
        <f>CHOOSE(H2351+1,"Kein Risiko","Gering","Mittel","Hoch")</f>
        <v/>
      </c>
    </row>
    <row r="2352">
      <c r="A2352" s="4" t="n">
        <v>2348</v>
      </c>
      <c r="B2352" s="4" t="inlineStr">
        <is>
          <t>yes</t>
        </is>
      </c>
      <c r="C2352" s="4" t="inlineStr">
        <is>
          <t>Grunsbeckhof</t>
        </is>
      </c>
      <c r="D2352" s="4" t="inlineStr">
        <is>
          <t>1</t>
        </is>
      </c>
      <c r="E2352" s="13" t="n">
        <v>57.6</v>
      </c>
      <c r="F2352" s="12" t="n"/>
      <c r="G2352" s="4" t="n">
        <v>0</v>
      </c>
      <c r="H2352" s="4">
        <f>IF(OR(N(F2352)&gt;=0.5,G2352&gt;=4),3,IF(OR(N(F2352)&gt;=0.3,G2352=3),2,IF(OR(N(F2352)&gt;=0.1,G2352&gt;=1),1,0)))</f>
        <v/>
      </c>
      <c r="I2352" s="4">
        <f>CHOOSE(H2352+1,"Kein Risiko","Gering","Mittel","Hoch")</f>
        <v/>
      </c>
    </row>
    <row r="2353">
      <c r="A2353" s="4" t="n">
        <v>2349</v>
      </c>
      <c r="B2353" s="4" t="inlineStr">
        <is>
          <t>yes</t>
        </is>
      </c>
      <c r="C2353" s="4" t="inlineStr">
        <is>
          <t>Grunsbeckhof</t>
        </is>
      </c>
      <c r="D2353" s="4" t="inlineStr">
        <is>
          <t>10</t>
        </is>
      </c>
      <c r="E2353" s="13" t="n">
        <v>248.5</v>
      </c>
      <c r="F2353" s="12" t="n"/>
      <c r="G2353" s="4" t="n">
        <v>0</v>
      </c>
      <c r="H2353" s="4">
        <f>IF(OR(N(F2353)&gt;=0.5,G2353&gt;=4),3,IF(OR(N(F2353)&gt;=0.3,G2353=3),2,IF(OR(N(F2353)&gt;=0.1,G2353&gt;=1),1,0)))</f>
        <v/>
      </c>
      <c r="I2353" s="4">
        <f>CHOOSE(H2353+1,"Kein Risiko","Gering","Mittel","Hoch")</f>
        <v/>
      </c>
    </row>
    <row r="2354">
      <c r="A2354" s="4" t="n">
        <v>2350</v>
      </c>
      <c r="B2354" s="4" t="inlineStr">
        <is>
          <t>yes</t>
        </is>
      </c>
      <c r="C2354" s="4" t="inlineStr">
        <is>
          <t>Grunsbeckhof</t>
        </is>
      </c>
      <c r="D2354" s="4" t="inlineStr">
        <is>
          <t>2</t>
        </is>
      </c>
      <c r="E2354" s="13" t="n">
        <v>59.8</v>
      </c>
      <c r="F2354" s="12" t="n">
        <v>0</v>
      </c>
      <c r="G2354" s="4" t="n">
        <v>0</v>
      </c>
      <c r="H2354" s="4">
        <f>IF(OR(N(F2354)&gt;=0.5,G2354&gt;=4),3,IF(OR(N(F2354)&gt;=0.3,G2354=3),2,IF(OR(N(F2354)&gt;=0.1,G2354&gt;=1),1,0)))</f>
        <v/>
      </c>
      <c r="I2354" s="4">
        <f>CHOOSE(H2354+1,"Kein Risiko","Gering","Mittel","Hoch")</f>
        <v/>
      </c>
    </row>
    <row r="2355">
      <c r="A2355" s="4" t="n">
        <v>2351</v>
      </c>
      <c r="B2355" s="4" t="inlineStr">
        <is>
          <t>yes</t>
        </is>
      </c>
      <c r="C2355" s="4" t="inlineStr">
        <is>
          <t>Grunsbeckhof</t>
        </is>
      </c>
      <c r="D2355" s="4" t="inlineStr">
        <is>
          <t>3</t>
        </is>
      </c>
      <c r="E2355" s="13" t="n">
        <v>40.3</v>
      </c>
      <c r="F2355" s="12" t="n"/>
      <c r="G2355" s="4" t="n">
        <v>0</v>
      </c>
      <c r="H2355" s="4">
        <f>IF(OR(N(F2355)&gt;=0.5,G2355&gt;=4),3,IF(OR(N(F2355)&gt;=0.3,G2355=3),2,IF(OR(N(F2355)&gt;=0.1,G2355&gt;=1),1,0)))</f>
        <v/>
      </c>
      <c r="I2355" s="4">
        <f>CHOOSE(H2355+1,"Kein Risiko","Gering","Mittel","Hoch")</f>
        <v/>
      </c>
    </row>
    <row r="2356">
      <c r="A2356" s="4" t="n">
        <v>2352</v>
      </c>
      <c r="B2356" s="4" t="inlineStr">
        <is>
          <t>yes</t>
        </is>
      </c>
      <c r="C2356" s="4" t="inlineStr">
        <is>
          <t>Grunsbeckhof</t>
        </is>
      </c>
      <c r="D2356" s="4" t="inlineStr">
        <is>
          <t>4</t>
        </is>
      </c>
      <c r="E2356" s="13" t="n">
        <v>39.9</v>
      </c>
      <c r="F2356" s="12" t="n">
        <v>0</v>
      </c>
      <c r="G2356" s="4" t="n">
        <v>0</v>
      </c>
      <c r="H2356" s="4">
        <f>IF(OR(N(F2356)&gt;=0.5,G2356&gt;=4),3,IF(OR(N(F2356)&gt;=0.3,G2356=3),2,IF(OR(N(F2356)&gt;=0.1,G2356&gt;=1),1,0)))</f>
        <v/>
      </c>
      <c r="I2356" s="4">
        <f>CHOOSE(H2356+1,"Kein Risiko","Gering","Mittel","Hoch")</f>
        <v/>
      </c>
    </row>
    <row r="2357">
      <c r="A2357" s="4" t="n">
        <v>2353</v>
      </c>
      <c r="B2357" s="4" t="inlineStr">
        <is>
          <t>yes</t>
        </is>
      </c>
      <c r="C2357" s="4" t="inlineStr">
        <is>
          <t>Grunsbeckhof</t>
        </is>
      </c>
      <c r="D2357" s="4" t="inlineStr">
        <is>
          <t>5</t>
        </is>
      </c>
      <c r="E2357" s="13" t="n">
        <v>58.1</v>
      </c>
      <c r="F2357" s="12" t="n"/>
      <c r="G2357" s="4" t="n">
        <v>0</v>
      </c>
      <c r="H2357" s="4">
        <f>IF(OR(N(F2357)&gt;=0.5,G2357&gt;=4),3,IF(OR(N(F2357)&gt;=0.3,G2357=3),2,IF(OR(N(F2357)&gt;=0.1,G2357&gt;=1),1,0)))</f>
        <v/>
      </c>
      <c r="I2357" s="4">
        <f>CHOOSE(H2357+1,"Kein Risiko","Gering","Mittel","Hoch")</f>
        <v/>
      </c>
    </row>
    <row r="2358">
      <c r="A2358" s="4" t="n">
        <v>2354</v>
      </c>
      <c r="B2358" s="4" t="inlineStr">
        <is>
          <t>yes</t>
        </is>
      </c>
      <c r="C2358" s="4" t="inlineStr">
        <is>
          <t>Grunsbeckhof</t>
        </is>
      </c>
      <c r="D2358" s="4" t="inlineStr">
        <is>
          <t>6</t>
        </is>
      </c>
      <c r="E2358" s="13" t="n">
        <v>57</v>
      </c>
      <c r="F2358" s="12" t="n">
        <v>0</v>
      </c>
      <c r="G2358" s="4" t="n">
        <v>0</v>
      </c>
      <c r="H2358" s="4">
        <f>IF(OR(N(F2358)&gt;=0.5,G2358&gt;=4),3,IF(OR(N(F2358)&gt;=0.3,G2358=3),2,IF(OR(N(F2358)&gt;=0.1,G2358&gt;=1),1,0)))</f>
        <v/>
      </c>
      <c r="I2358" s="4">
        <f>CHOOSE(H2358+1,"Kein Risiko","Gering","Mittel","Hoch")</f>
        <v/>
      </c>
    </row>
    <row r="2359">
      <c r="A2359" s="4" t="n">
        <v>2355</v>
      </c>
      <c r="B2359" s="4" t="inlineStr">
        <is>
          <t>yes</t>
        </is>
      </c>
      <c r="C2359" s="4" t="inlineStr">
        <is>
          <t>Grunsbeckhof</t>
        </is>
      </c>
      <c r="D2359" s="4" t="inlineStr">
        <is>
          <t>7</t>
        </is>
      </c>
      <c r="E2359" s="13" t="n">
        <v>44.4</v>
      </c>
      <c r="F2359" s="12" t="n"/>
      <c r="G2359" s="4" t="n">
        <v>0</v>
      </c>
      <c r="H2359" s="4">
        <f>IF(OR(N(F2359)&gt;=0.5,G2359&gt;=4),3,IF(OR(N(F2359)&gt;=0.3,G2359=3),2,IF(OR(N(F2359)&gt;=0.1,G2359&gt;=1),1,0)))</f>
        <v/>
      </c>
      <c r="I2359" s="4">
        <f>CHOOSE(H2359+1,"Kein Risiko","Gering","Mittel","Hoch")</f>
        <v/>
      </c>
    </row>
    <row r="2360">
      <c r="A2360" s="4" t="n">
        <v>2356</v>
      </c>
      <c r="B2360" s="4" t="inlineStr">
        <is>
          <t>detached</t>
        </is>
      </c>
      <c r="C2360" s="4" t="inlineStr">
        <is>
          <t>Grunsbeckhof</t>
        </is>
      </c>
      <c r="D2360" s="4" t="inlineStr">
        <is>
          <t>8</t>
        </is>
      </c>
      <c r="E2360" s="13" t="n">
        <v>244.6</v>
      </c>
      <c r="F2360" s="12" t="n"/>
      <c r="G2360" s="4" t="n">
        <v>0</v>
      </c>
      <c r="H2360" s="4">
        <f>IF(OR(N(F2360)&gt;=0.5,G2360&gt;=4),3,IF(OR(N(F2360)&gt;=0.3,G2360=3),2,IF(OR(N(F2360)&gt;=0.1,G2360&gt;=1),1,0)))</f>
        <v/>
      </c>
      <c r="I2360" s="4">
        <f>CHOOSE(H2360+1,"Kein Risiko","Gering","Mittel","Hoch")</f>
        <v/>
      </c>
    </row>
    <row r="2361">
      <c r="A2361" s="4" t="n">
        <v>2357</v>
      </c>
      <c r="B2361" s="4" t="inlineStr">
        <is>
          <t>yes</t>
        </is>
      </c>
      <c r="C2361" s="4" t="inlineStr">
        <is>
          <t>Grunsbeckhof</t>
        </is>
      </c>
      <c r="D2361" s="4" t="inlineStr">
        <is>
          <t>9</t>
        </is>
      </c>
      <c r="E2361" s="13" t="n">
        <v>57.7</v>
      </c>
      <c r="F2361" s="12" t="n"/>
      <c r="G2361" s="4" t="n">
        <v>0</v>
      </c>
      <c r="H2361" s="4">
        <f>IF(OR(N(F2361)&gt;=0.5,G2361&gt;=4),3,IF(OR(N(F2361)&gt;=0.3,G2361=3),2,IF(OR(N(F2361)&gt;=0.1,G2361&gt;=1),1,0)))</f>
        <v/>
      </c>
      <c r="I2361" s="4">
        <f>CHOOSE(H2361+1,"Kein Risiko","Gering","Mittel","Hoch")</f>
        <v/>
      </c>
    </row>
    <row r="2362">
      <c r="A2362" s="4" t="n">
        <v>2358</v>
      </c>
      <c r="B2362" s="4" t="inlineStr">
        <is>
          <t>yes</t>
        </is>
      </c>
      <c r="C2362" s="4" t="inlineStr"/>
      <c r="D2362" s="4" t="inlineStr"/>
      <c r="E2362" s="13" t="n">
        <v>6</v>
      </c>
      <c r="F2362" s="12" t="n">
        <v>3.55999755859375</v>
      </c>
      <c r="G2362" s="4" t="n">
        <v>0</v>
      </c>
      <c r="H2362" s="4">
        <f>IF(OR(N(F2362)&gt;=0.5,G2362&gt;=4),3,IF(OR(N(F2362)&gt;=0.3,G2362=3),2,IF(OR(N(F2362)&gt;=0.1,G2362&gt;=1),1,0)))</f>
        <v/>
      </c>
      <c r="I2362" s="4">
        <f>CHOOSE(H2362+1,"Kein Risiko","Gering","Mittel","Hoch")</f>
        <v/>
      </c>
    </row>
    <row r="2363">
      <c r="A2363" s="4" t="n">
        <v>2359</v>
      </c>
      <c r="B2363" s="4" t="inlineStr">
        <is>
          <t>yes</t>
        </is>
      </c>
      <c r="C2363" s="4" t="inlineStr"/>
      <c r="D2363" s="4" t="inlineStr"/>
      <c r="E2363" s="13" t="n">
        <v>11.4</v>
      </c>
      <c r="F2363" s="12" t="n">
        <v>3.509998321533203</v>
      </c>
      <c r="G2363" s="4" t="n">
        <v>0</v>
      </c>
      <c r="H2363" s="4">
        <f>IF(OR(N(F2363)&gt;=0.5,G2363&gt;=4),3,IF(OR(N(F2363)&gt;=0.3,G2363=3),2,IF(OR(N(F2363)&gt;=0.1,G2363&gt;=1),1,0)))</f>
        <v/>
      </c>
      <c r="I2363" s="4">
        <f>CHOOSE(H2363+1,"Kein Risiko","Gering","Mittel","Hoch")</f>
        <v/>
      </c>
    </row>
    <row r="2364">
      <c r="A2364" s="4" t="n">
        <v>2360</v>
      </c>
      <c r="B2364" s="4" t="inlineStr">
        <is>
          <t>residential</t>
        </is>
      </c>
      <c r="C2364" s="4" t="inlineStr">
        <is>
          <t>Dixbäume</t>
        </is>
      </c>
      <c r="D2364" s="4" t="inlineStr">
        <is>
          <t>7d</t>
        </is>
      </c>
      <c r="E2364" s="13" t="n">
        <v>102.3</v>
      </c>
      <c r="F2364" s="12" t="n">
        <v>0</v>
      </c>
      <c r="G2364" s="4" t="n">
        <v>0</v>
      </c>
      <c r="H2364" s="4">
        <f>IF(OR(N(F2364)&gt;=0.5,G2364&gt;=4),3,IF(OR(N(F2364)&gt;=0.3,G2364=3),2,IF(OR(N(F2364)&gt;=0.1,G2364&gt;=1),1,0)))</f>
        <v/>
      </c>
      <c r="I2364" s="4">
        <f>CHOOSE(H2364+1,"Kein Risiko","Gering","Mittel","Hoch")</f>
        <v/>
      </c>
    </row>
    <row r="2365">
      <c r="A2365" s="4" t="n">
        <v>2361</v>
      </c>
      <c r="B2365" s="4" t="inlineStr">
        <is>
          <t>yes</t>
        </is>
      </c>
      <c r="C2365" s="4" t="inlineStr"/>
      <c r="D2365" s="4" t="inlineStr"/>
      <c r="E2365" s="13" t="n">
        <v>340.2</v>
      </c>
      <c r="F2365" s="12" t="n">
        <v>0</v>
      </c>
      <c r="G2365" s="4" t="n">
        <v>0</v>
      </c>
      <c r="H2365" s="4">
        <f>IF(OR(N(F2365)&gt;=0.5,G2365&gt;=4),3,IF(OR(N(F2365)&gt;=0.3,G2365=3),2,IF(OR(N(F2365)&gt;=0.1,G2365&gt;=1),1,0)))</f>
        <v/>
      </c>
      <c r="I2365" s="4">
        <f>CHOOSE(H2365+1,"Kein Risiko","Gering","Mittel","Hoch")</f>
        <v/>
      </c>
    </row>
    <row r="2366">
      <c r="A2366" s="4" t="n">
        <v>2362</v>
      </c>
      <c r="B2366" s="4" t="inlineStr">
        <is>
          <t>yes</t>
        </is>
      </c>
      <c r="C2366" s="4" t="inlineStr">
        <is>
          <t>Byfanger Straße</t>
        </is>
      </c>
      <c r="D2366" s="4" t="inlineStr">
        <is>
          <t>261</t>
        </is>
      </c>
      <c r="E2366" s="13" t="n">
        <v>93.3</v>
      </c>
      <c r="F2366" s="12" t="n">
        <v>0</v>
      </c>
      <c r="G2366" s="4" t="n">
        <v>0</v>
      </c>
      <c r="H2366" s="4">
        <f>IF(OR(N(F2366)&gt;=0.5,G2366&gt;=4),3,IF(OR(N(F2366)&gt;=0.3,G2366=3),2,IF(OR(N(F2366)&gt;=0.1,G2366&gt;=1),1,0)))</f>
        <v/>
      </c>
      <c r="I2366" s="4">
        <f>CHOOSE(H2366+1,"Kein Risiko","Gering","Mittel","Hoch")</f>
        <v/>
      </c>
    </row>
    <row r="2367">
      <c r="A2367" s="4" t="n">
        <v>2363</v>
      </c>
      <c r="B2367" s="4" t="inlineStr">
        <is>
          <t>yes</t>
        </is>
      </c>
      <c r="C2367" s="4" t="inlineStr"/>
      <c r="D2367" s="4" t="inlineStr"/>
      <c r="E2367" s="13" t="n">
        <v>174.8</v>
      </c>
      <c r="F2367" s="12" t="n">
        <v>0</v>
      </c>
      <c r="G2367" s="4" t="n">
        <v>0</v>
      </c>
      <c r="H2367" s="4">
        <f>IF(OR(N(F2367)&gt;=0.5,G2367&gt;=4),3,IF(OR(N(F2367)&gt;=0.3,G2367=3),2,IF(OR(N(F2367)&gt;=0.1,G2367&gt;=1),1,0)))</f>
        <v/>
      </c>
      <c r="I2367" s="4">
        <f>CHOOSE(H2367+1,"Kein Risiko","Gering","Mittel","Hoch")</f>
        <v/>
      </c>
    </row>
    <row r="2368">
      <c r="A2368" s="4" t="n">
        <v>2364</v>
      </c>
      <c r="B2368" s="4" t="inlineStr">
        <is>
          <t>yes</t>
        </is>
      </c>
      <c r="C2368" s="4" t="inlineStr"/>
      <c r="D2368" s="4" t="inlineStr"/>
      <c r="E2368" s="13" t="n">
        <v>103.6</v>
      </c>
      <c r="F2368" s="12" t="n">
        <v>0.2399978637695312</v>
      </c>
      <c r="G2368" s="4" t="n">
        <v>0</v>
      </c>
      <c r="H2368" s="4">
        <f>IF(OR(N(F2368)&gt;=0.5,G2368&gt;=4),3,IF(OR(N(F2368)&gt;=0.3,G2368=3),2,IF(OR(N(F2368)&gt;=0.1,G2368&gt;=1),1,0)))</f>
        <v/>
      </c>
      <c r="I2368" s="4">
        <f>CHOOSE(H2368+1,"Kein Risiko","Gering","Mittel","Hoch")</f>
        <v/>
      </c>
    </row>
    <row r="2369">
      <c r="A2369" s="4" t="n">
        <v>2365</v>
      </c>
      <c r="B2369" s="4" t="inlineStr">
        <is>
          <t>yes</t>
        </is>
      </c>
      <c r="C2369" s="4" t="inlineStr"/>
      <c r="D2369" s="4" t="inlineStr"/>
      <c r="E2369" s="13" t="n">
        <v>53.9</v>
      </c>
      <c r="F2369" s="12" t="n">
        <v>0</v>
      </c>
      <c r="G2369" s="4" t="n">
        <v>0</v>
      </c>
      <c r="H2369" s="4">
        <f>IF(OR(N(F2369)&gt;=0.5,G2369&gt;=4),3,IF(OR(N(F2369)&gt;=0.3,G2369=3),2,IF(OR(N(F2369)&gt;=0.1,G2369&gt;=1),1,0)))</f>
        <v/>
      </c>
      <c r="I2369" s="4">
        <f>CHOOSE(H2369+1,"Kein Risiko","Gering","Mittel","Hoch")</f>
        <v/>
      </c>
    </row>
    <row r="2370">
      <c r="A2370" s="4" t="n">
        <v>2366</v>
      </c>
      <c r="B2370" s="4" t="inlineStr">
        <is>
          <t>yes</t>
        </is>
      </c>
      <c r="C2370" s="4" t="inlineStr"/>
      <c r="D2370" s="4" t="inlineStr"/>
      <c r="E2370" s="13" t="n">
        <v>37.2</v>
      </c>
      <c r="F2370" s="12" t="n">
        <v>0</v>
      </c>
      <c r="G2370" s="4" t="n">
        <v>0</v>
      </c>
      <c r="H2370" s="4">
        <f>IF(OR(N(F2370)&gt;=0.5,G2370&gt;=4),3,IF(OR(N(F2370)&gt;=0.3,G2370=3),2,IF(OR(N(F2370)&gt;=0.1,G2370&gt;=1),1,0)))</f>
        <v/>
      </c>
      <c r="I2370" s="4">
        <f>CHOOSE(H2370+1,"Kein Risiko","Gering","Mittel","Hoch")</f>
        <v/>
      </c>
    </row>
    <row r="2371">
      <c r="A2371" s="4" t="n">
        <v>2367</v>
      </c>
      <c r="B2371" s="4" t="inlineStr">
        <is>
          <t>yes</t>
        </is>
      </c>
      <c r="C2371" s="4" t="inlineStr"/>
      <c r="D2371" s="4" t="inlineStr"/>
      <c r="E2371" s="13" t="n">
        <v>138.7</v>
      </c>
      <c r="F2371" s="12" t="n">
        <v>0.1100006103515625</v>
      </c>
      <c r="G2371" s="4" t="n">
        <v>1</v>
      </c>
      <c r="H2371" s="4">
        <f>IF(OR(N(F2371)&gt;=0.5,G2371&gt;=4),3,IF(OR(N(F2371)&gt;=0.3,G2371=3),2,IF(OR(N(F2371)&gt;=0.1,G2371&gt;=1),1,0)))</f>
        <v/>
      </c>
      <c r="I2371" s="4">
        <f>CHOOSE(H2371+1,"Kein Risiko","Gering","Mittel","Hoch")</f>
        <v/>
      </c>
    </row>
    <row r="2372">
      <c r="A2372" s="4" t="n">
        <v>2368</v>
      </c>
      <c r="B2372" s="4" t="inlineStr">
        <is>
          <t>yes</t>
        </is>
      </c>
      <c r="C2372" s="4" t="inlineStr"/>
      <c r="D2372" s="4" t="inlineStr"/>
      <c r="E2372" s="13" t="n">
        <v>23</v>
      </c>
      <c r="F2372" s="12" t="n">
        <v>0</v>
      </c>
      <c r="G2372" s="4" t="n">
        <v>0</v>
      </c>
      <c r="H2372" s="4">
        <f>IF(OR(N(F2372)&gt;=0.5,G2372&gt;=4),3,IF(OR(N(F2372)&gt;=0.3,G2372=3),2,IF(OR(N(F2372)&gt;=0.1,G2372&gt;=1),1,0)))</f>
        <v/>
      </c>
      <c r="I2372" s="4">
        <f>CHOOSE(H2372+1,"Kein Risiko","Gering","Mittel","Hoch")</f>
        <v/>
      </c>
    </row>
    <row r="2373">
      <c r="A2373" s="4" t="n">
        <v>2369</v>
      </c>
      <c r="B2373" s="4" t="inlineStr">
        <is>
          <t>yes</t>
        </is>
      </c>
      <c r="C2373" s="4" t="inlineStr"/>
      <c r="D2373" s="4" t="inlineStr"/>
      <c r="E2373" s="13" t="n">
        <v>21</v>
      </c>
      <c r="F2373" s="12" t="n">
        <v>0.04999923706054688</v>
      </c>
      <c r="G2373" s="4" t="n">
        <v>0</v>
      </c>
      <c r="H2373" s="4">
        <f>IF(OR(N(F2373)&gt;=0.5,G2373&gt;=4),3,IF(OR(N(F2373)&gt;=0.3,G2373=3),2,IF(OR(N(F2373)&gt;=0.1,G2373&gt;=1),1,0)))</f>
        <v/>
      </c>
      <c r="I2373" s="4">
        <f>CHOOSE(H2373+1,"Kein Risiko","Gering","Mittel","Hoch")</f>
        <v/>
      </c>
    </row>
    <row r="2374">
      <c r="A2374" s="4" t="n">
        <v>2370</v>
      </c>
      <c r="B2374" s="4" t="inlineStr">
        <is>
          <t>yes</t>
        </is>
      </c>
      <c r="C2374" s="4" t="inlineStr"/>
      <c r="D2374" s="4" t="inlineStr"/>
      <c r="E2374" s="13" t="n">
        <v>21.1</v>
      </c>
      <c r="F2374" s="12" t="n">
        <v>0</v>
      </c>
      <c r="G2374" s="4" t="n">
        <v>0</v>
      </c>
      <c r="H2374" s="4">
        <f>IF(OR(N(F2374)&gt;=0.5,G2374&gt;=4),3,IF(OR(N(F2374)&gt;=0.3,G2374=3),2,IF(OR(N(F2374)&gt;=0.1,G2374&gt;=1),1,0)))</f>
        <v/>
      </c>
      <c r="I2374" s="4">
        <f>CHOOSE(H2374+1,"Kein Risiko","Gering","Mittel","Hoch")</f>
        <v/>
      </c>
    </row>
    <row r="2375">
      <c r="A2375" s="4" t="n">
        <v>2371</v>
      </c>
      <c r="B2375" s="4" t="inlineStr">
        <is>
          <t>yes</t>
        </is>
      </c>
      <c r="C2375" s="4" t="inlineStr"/>
      <c r="D2375" s="4" t="inlineStr"/>
      <c r="E2375" s="13" t="n">
        <v>2.6</v>
      </c>
      <c r="F2375" s="12" t="n">
        <v>0</v>
      </c>
      <c r="G2375" s="4" t="n">
        <v>0</v>
      </c>
      <c r="H2375" s="4">
        <f>IF(OR(N(F2375)&gt;=0.5,G2375&gt;=4),3,IF(OR(N(F2375)&gt;=0.3,G2375=3),2,IF(OR(N(F2375)&gt;=0.1,G2375&gt;=1),1,0)))</f>
        <v/>
      </c>
      <c r="I2375" s="4">
        <f>CHOOSE(H2375+1,"Kein Risiko","Gering","Mittel","Hoch")</f>
        <v/>
      </c>
    </row>
    <row r="2376">
      <c r="A2376" s="4" t="n">
        <v>2372</v>
      </c>
      <c r="B2376" s="4" t="inlineStr">
        <is>
          <t>yes</t>
        </is>
      </c>
      <c r="C2376" s="4" t="inlineStr"/>
      <c r="D2376" s="4" t="inlineStr"/>
      <c r="E2376" s="13" t="n">
        <v>36.9</v>
      </c>
      <c r="F2376" s="12" t="n">
        <v>0</v>
      </c>
      <c r="G2376" s="4" t="n">
        <v>0</v>
      </c>
      <c r="H2376" s="4">
        <f>IF(OR(N(F2376)&gt;=0.5,G2376&gt;=4),3,IF(OR(N(F2376)&gt;=0.3,G2376=3),2,IF(OR(N(F2376)&gt;=0.1,G2376&gt;=1),1,0)))</f>
        <v/>
      </c>
      <c r="I2376" s="4">
        <f>CHOOSE(H2376+1,"Kein Risiko","Gering","Mittel","Hoch")</f>
        <v/>
      </c>
    </row>
    <row r="2377">
      <c r="A2377" s="4" t="n">
        <v>2373</v>
      </c>
      <c r="B2377" s="4" t="inlineStr">
        <is>
          <t>yes</t>
        </is>
      </c>
      <c r="C2377" s="4" t="inlineStr"/>
      <c r="D2377" s="4" t="inlineStr"/>
      <c r="E2377" s="13" t="n">
        <v>32.8</v>
      </c>
      <c r="F2377" s="12" t="n">
        <v>0</v>
      </c>
      <c r="G2377" s="4" t="n">
        <v>0</v>
      </c>
      <c r="H2377" s="4">
        <f>IF(OR(N(F2377)&gt;=0.5,G2377&gt;=4),3,IF(OR(N(F2377)&gt;=0.3,G2377=3),2,IF(OR(N(F2377)&gt;=0.1,G2377&gt;=1),1,0)))</f>
        <v/>
      </c>
      <c r="I2377" s="4">
        <f>CHOOSE(H2377+1,"Kein Risiko","Gering","Mittel","Hoch")</f>
        <v/>
      </c>
    </row>
    <row r="2378">
      <c r="A2378" s="4" t="n">
        <v>2374</v>
      </c>
      <c r="B2378" s="4" t="inlineStr">
        <is>
          <t>yes</t>
        </is>
      </c>
      <c r="C2378" s="4" t="inlineStr"/>
      <c r="D2378" s="4" t="inlineStr"/>
      <c r="E2378" s="13" t="n">
        <v>40.5</v>
      </c>
      <c r="F2378" s="12" t="n">
        <v>0</v>
      </c>
      <c r="G2378" s="4" t="n">
        <v>0</v>
      </c>
      <c r="H2378" s="4">
        <f>IF(OR(N(F2378)&gt;=0.5,G2378&gt;=4),3,IF(OR(N(F2378)&gt;=0.3,G2378=3),2,IF(OR(N(F2378)&gt;=0.1,G2378&gt;=1),1,0)))</f>
        <v/>
      </c>
      <c r="I2378" s="4">
        <f>CHOOSE(H2378+1,"Kein Risiko","Gering","Mittel","Hoch")</f>
        <v/>
      </c>
    </row>
    <row r="2379">
      <c r="A2379" s="4" t="n">
        <v>2375</v>
      </c>
      <c r="B2379" s="4" t="inlineStr">
        <is>
          <t>yes</t>
        </is>
      </c>
      <c r="C2379" s="4" t="inlineStr"/>
      <c r="D2379" s="4" t="inlineStr"/>
      <c r="E2379" s="13" t="n">
        <v>66.2</v>
      </c>
      <c r="F2379" s="12" t="n">
        <v>0</v>
      </c>
      <c r="G2379" s="4" t="n">
        <v>0</v>
      </c>
      <c r="H2379" s="4">
        <f>IF(OR(N(F2379)&gt;=0.5,G2379&gt;=4),3,IF(OR(N(F2379)&gt;=0.3,G2379=3),2,IF(OR(N(F2379)&gt;=0.1,G2379&gt;=1),1,0)))</f>
        <v/>
      </c>
      <c r="I2379" s="4">
        <f>CHOOSE(H2379+1,"Kein Risiko","Gering","Mittel","Hoch")</f>
        <v/>
      </c>
    </row>
    <row r="2380">
      <c r="A2380" s="4" t="n">
        <v>2376</v>
      </c>
      <c r="B2380" s="4" t="inlineStr">
        <is>
          <t>yes</t>
        </is>
      </c>
      <c r="C2380" s="4" t="inlineStr"/>
      <c r="D2380" s="4" t="inlineStr"/>
      <c r="E2380" s="13" t="n">
        <v>24.5</v>
      </c>
      <c r="F2380" s="12" t="n">
        <v>0</v>
      </c>
      <c r="G2380" s="4" t="n">
        <v>0</v>
      </c>
      <c r="H2380" s="4">
        <f>IF(OR(N(F2380)&gt;=0.5,G2380&gt;=4),3,IF(OR(N(F2380)&gt;=0.3,G2380=3),2,IF(OR(N(F2380)&gt;=0.1,G2380&gt;=1),1,0)))</f>
        <v/>
      </c>
      <c r="I2380" s="4">
        <f>CHOOSE(H2380+1,"Kein Risiko","Gering","Mittel","Hoch")</f>
        <v/>
      </c>
    </row>
    <row r="2381">
      <c r="A2381" s="4" t="n">
        <v>2377</v>
      </c>
      <c r="B2381" s="4" t="inlineStr">
        <is>
          <t>yes</t>
        </is>
      </c>
      <c r="C2381" s="4" t="inlineStr"/>
      <c r="D2381" s="4" t="inlineStr"/>
      <c r="E2381" s="13" t="n">
        <v>16.4</v>
      </c>
      <c r="F2381" s="12" t="n">
        <v>0.06999969482421875</v>
      </c>
      <c r="G2381" s="4" t="n">
        <v>0</v>
      </c>
      <c r="H2381" s="4">
        <f>IF(OR(N(F2381)&gt;=0.5,G2381&gt;=4),3,IF(OR(N(F2381)&gt;=0.3,G2381=3),2,IF(OR(N(F2381)&gt;=0.1,G2381&gt;=1),1,0)))</f>
        <v/>
      </c>
      <c r="I2381" s="4">
        <f>CHOOSE(H2381+1,"Kein Risiko","Gering","Mittel","Hoch")</f>
        <v/>
      </c>
    </row>
    <row r="2382">
      <c r="A2382" s="4" t="n">
        <v>2378</v>
      </c>
      <c r="B2382" s="4" t="inlineStr">
        <is>
          <t>yes</t>
        </is>
      </c>
      <c r="C2382" s="4" t="inlineStr"/>
      <c r="D2382" s="4" t="inlineStr"/>
      <c r="E2382" s="13" t="n">
        <v>29</v>
      </c>
      <c r="F2382" s="12" t="n">
        <v>0.04000091552734375</v>
      </c>
      <c r="G2382" s="4" t="n">
        <v>0</v>
      </c>
      <c r="H2382" s="4">
        <f>IF(OR(N(F2382)&gt;=0.5,G2382&gt;=4),3,IF(OR(N(F2382)&gt;=0.3,G2382=3),2,IF(OR(N(F2382)&gt;=0.1,G2382&gt;=1),1,0)))</f>
        <v/>
      </c>
      <c r="I2382" s="4">
        <f>CHOOSE(H2382+1,"Kein Risiko","Gering","Mittel","Hoch")</f>
        <v/>
      </c>
    </row>
    <row r="2383">
      <c r="A2383" s="4" t="n">
        <v>2379</v>
      </c>
      <c r="B2383" s="4" t="inlineStr">
        <is>
          <t>yes</t>
        </is>
      </c>
      <c r="C2383" s="4" t="inlineStr"/>
      <c r="D2383" s="4" t="inlineStr"/>
      <c r="E2383" s="13" t="n">
        <v>57.6</v>
      </c>
      <c r="F2383" s="12" t="n">
        <v>0</v>
      </c>
      <c r="G2383" s="4" t="n">
        <v>0</v>
      </c>
      <c r="H2383" s="4">
        <f>IF(OR(N(F2383)&gt;=0.5,G2383&gt;=4),3,IF(OR(N(F2383)&gt;=0.3,G2383=3),2,IF(OR(N(F2383)&gt;=0.1,G2383&gt;=1),1,0)))</f>
        <v/>
      </c>
      <c r="I2383" s="4">
        <f>CHOOSE(H2383+1,"Kein Risiko","Gering","Mittel","Hoch")</f>
        <v/>
      </c>
    </row>
    <row r="2384">
      <c r="A2384" s="4" t="n">
        <v>2380</v>
      </c>
      <c r="B2384" s="4" t="inlineStr">
        <is>
          <t>yes</t>
        </is>
      </c>
      <c r="C2384" s="4" t="inlineStr"/>
      <c r="D2384" s="4" t="inlineStr"/>
      <c r="E2384" s="13" t="n">
        <v>31.5</v>
      </c>
      <c r="F2384" s="12" t="n">
        <v>0</v>
      </c>
      <c r="G2384" s="4" t="n">
        <v>0</v>
      </c>
      <c r="H2384" s="4">
        <f>IF(OR(N(F2384)&gt;=0.5,G2384&gt;=4),3,IF(OR(N(F2384)&gt;=0.3,G2384=3),2,IF(OR(N(F2384)&gt;=0.1,G2384&gt;=1),1,0)))</f>
        <v/>
      </c>
      <c r="I2384" s="4">
        <f>CHOOSE(H2384+1,"Kein Risiko","Gering","Mittel","Hoch")</f>
        <v/>
      </c>
    </row>
    <row r="2385">
      <c r="A2385" s="4" t="n">
        <v>2381</v>
      </c>
      <c r="B2385" s="4" t="inlineStr">
        <is>
          <t>yes</t>
        </is>
      </c>
      <c r="C2385" s="4" t="inlineStr"/>
      <c r="D2385" s="4" t="inlineStr"/>
      <c r="E2385" s="13" t="n">
        <v>57.7</v>
      </c>
      <c r="F2385" s="12" t="n">
        <v>0.04999923706054688</v>
      </c>
      <c r="G2385" s="4" t="n">
        <v>1</v>
      </c>
      <c r="H2385" s="4">
        <f>IF(OR(N(F2385)&gt;=0.5,G2385&gt;=4),3,IF(OR(N(F2385)&gt;=0.3,G2385=3),2,IF(OR(N(F2385)&gt;=0.1,G2385&gt;=1),1,0)))</f>
        <v/>
      </c>
      <c r="I2385" s="4">
        <f>CHOOSE(H2385+1,"Kein Risiko","Gering","Mittel","Hoch")</f>
        <v/>
      </c>
    </row>
    <row r="2386">
      <c r="A2386" s="4" t="n">
        <v>2382</v>
      </c>
      <c r="B2386" s="4" t="inlineStr">
        <is>
          <t>yes</t>
        </is>
      </c>
      <c r="C2386" s="4" t="inlineStr"/>
      <c r="D2386" s="4" t="inlineStr"/>
      <c r="E2386" s="13" t="n">
        <v>8.1</v>
      </c>
      <c r="F2386" s="12" t="n">
        <v>0</v>
      </c>
      <c r="G2386" s="4" t="n">
        <v>0</v>
      </c>
      <c r="H2386" s="4">
        <f>IF(OR(N(F2386)&gt;=0.5,G2386&gt;=4),3,IF(OR(N(F2386)&gt;=0.3,G2386=3),2,IF(OR(N(F2386)&gt;=0.1,G2386&gt;=1),1,0)))</f>
        <v/>
      </c>
      <c r="I2386" s="4">
        <f>CHOOSE(H2386+1,"Kein Risiko","Gering","Mittel","Hoch")</f>
        <v/>
      </c>
    </row>
    <row r="2387">
      <c r="A2387" s="4" t="n">
        <v>2383</v>
      </c>
      <c r="B2387" s="4" t="inlineStr">
        <is>
          <t>yes</t>
        </is>
      </c>
      <c r="C2387" s="4" t="inlineStr"/>
      <c r="D2387" s="4" t="inlineStr"/>
      <c r="E2387" s="13" t="n">
        <v>38.8</v>
      </c>
      <c r="F2387" s="12" t="n">
        <v>0</v>
      </c>
      <c r="G2387" s="4" t="n">
        <v>0</v>
      </c>
      <c r="H2387" s="4">
        <f>IF(OR(N(F2387)&gt;=0.5,G2387&gt;=4),3,IF(OR(N(F2387)&gt;=0.3,G2387=3),2,IF(OR(N(F2387)&gt;=0.1,G2387&gt;=1),1,0)))</f>
        <v/>
      </c>
      <c r="I2387" s="4">
        <f>CHOOSE(H2387+1,"Kein Risiko","Gering","Mittel","Hoch")</f>
        <v/>
      </c>
    </row>
    <row r="2388">
      <c r="A2388" s="4" t="n">
        <v>2384</v>
      </c>
      <c r="B2388" s="4" t="inlineStr">
        <is>
          <t>yes</t>
        </is>
      </c>
      <c r="C2388" s="4" t="inlineStr"/>
      <c r="D2388" s="4" t="inlineStr"/>
      <c r="E2388" s="13" t="n">
        <v>135.3</v>
      </c>
      <c r="F2388" s="12" t="n">
        <v>0</v>
      </c>
      <c r="G2388" s="4" t="n">
        <v>0</v>
      </c>
      <c r="H2388" s="4">
        <f>IF(OR(N(F2388)&gt;=0.5,G2388&gt;=4),3,IF(OR(N(F2388)&gt;=0.3,G2388=3),2,IF(OR(N(F2388)&gt;=0.1,G2388&gt;=1),1,0)))</f>
        <v/>
      </c>
      <c r="I2388" s="4">
        <f>CHOOSE(H2388+1,"Kein Risiko","Gering","Mittel","Hoch")</f>
        <v/>
      </c>
    </row>
    <row r="2389">
      <c r="A2389" s="4" t="n">
        <v>2385</v>
      </c>
      <c r="B2389" s="4" t="inlineStr">
        <is>
          <t>yes</t>
        </is>
      </c>
      <c r="C2389" s="4" t="inlineStr"/>
      <c r="D2389" s="4" t="inlineStr"/>
      <c r="E2389" s="13" t="n">
        <v>23.5</v>
      </c>
      <c r="F2389" s="12" t="n">
        <v>0</v>
      </c>
      <c r="G2389" s="4" t="n">
        <v>0</v>
      </c>
      <c r="H2389" s="4">
        <f>IF(OR(N(F2389)&gt;=0.5,G2389&gt;=4),3,IF(OR(N(F2389)&gt;=0.3,G2389=3),2,IF(OR(N(F2389)&gt;=0.1,G2389&gt;=1),1,0)))</f>
        <v/>
      </c>
      <c r="I2389" s="4">
        <f>CHOOSE(H2389+1,"Kein Risiko","Gering","Mittel","Hoch")</f>
        <v/>
      </c>
    </row>
    <row r="2390">
      <c r="A2390" s="4" t="n">
        <v>2386</v>
      </c>
      <c r="B2390" s="4" t="inlineStr">
        <is>
          <t>yes</t>
        </is>
      </c>
      <c r="C2390" s="4" t="inlineStr"/>
      <c r="D2390" s="4" t="inlineStr"/>
      <c r="E2390" s="13" t="n">
        <v>23.6</v>
      </c>
      <c r="F2390" s="12" t="n"/>
      <c r="G2390" s="4" t="n">
        <v>0</v>
      </c>
      <c r="H2390" s="4">
        <f>IF(OR(N(F2390)&gt;=0.5,G2390&gt;=4),3,IF(OR(N(F2390)&gt;=0.3,G2390=3),2,IF(OR(N(F2390)&gt;=0.1,G2390&gt;=1),1,0)))</f>
        <v/>
      </c>
      <c r="I2390" s="4">
        <f>CHOOSE(H2390+1,"Kein Risiko","Gering","Mittel","Hoch")</f>
        <v/>
      </c>
    </row>
    <row r="2391">
      <c r="A2391" s="4" t="n">
        <v>2387</v>
      </c>
      <c r="B2391" s="4" t="inlineStr">
        <is>
          <t>yes</t>
        </is>
      </c>
      <c r="C2391" s="4" t="inlineStr"/>
      <c r="D2391" s="4" t="inlineStr"/>
      <c r="E2391" s="13" t="n">
        <v>26.7</v>
      </c>
      <c r="F2391" s="12" t="n"/>
      <c r="G2391" s="4" t="n">
        <v>0</v>
      </c>
      <c r="H2391" s="4">
        <f>IF(OR(N(F2391)&gt;=0.5,G2391&gt;=4),3,IF(OR(N(F2391)&gt;=0.3,G2391=3),2,IF(OR(N(F2391)&gt;=0.1,G2391&gt;=1),1,0)))</f>
        <v/>
      </c>
      <c r="I2391" s="4">
        <f>CHOOSE(H2391+1,"Kein Risiko","Gering","Mittel","Hoch")</f>
        <v/>
      </c>
    </row>
    <row r="2392">
      <c r="A2392" s="4" t="n">
        <v>2388</v>
      </c>
      <c r="B2392" s="4" t="inlineStr">
        <is>
          <t>yes</t>
        </is>
      </c>
      <c r="C2392" s="4" t="inlineStr"/>
      <c r="D2392" s="4" t="inlineStr"/>
      <c r="E2392" s="13" t="n">
        <v>23.7</v>
      </c>
      <c r="F2392" s="12" t="n">
        <v>0</v>
      </c>
      <c r="G2392" s="4" t="n">
        <v>0</v>
      </c>
      <c r="H2392" s="4">
        <f>IF(OR(N(F2392)&gt;=0.5,G2392&gt;=4),3,IF(OR(N(F2392)&gt;=0.3,G2392=3),2,IF(OR(N(F2392)&gt;=0.1,G2392&gt;=1),1,0)))</f>
        <v/>
      </c>
      <c r="I2392" s="4">
        <f>CHOOSE(H2392+1,"Kein Risiko","Gering","Mittel","Hoch")</f>
        <v/>
      </c>
    </row>
    <row r="2393">
      <c r="A2393" s="4" t="n">
        <v>2389</v>
      </c>
      <c r="B2393" s="4" t="inlineStr">
        <is>
          <t>yes</t>
        </is>
      </c>
      <c r="C2393" s="4" t="inlineStr"/>
      <c r="D2393" s="4" t="inlineStr"/>
      <c r="E2393" s="13" t="n">
        <v>27</v>
      </c>
      <c r="F2393" s="12" t="n">
        <v>0</v>
      </c>
      <c r="G2393" s="4" t="n">
        <v>0</v>
      </c>
      <c r="H2393" s="4">
        <f>IF(OR(N(F2393)&gt;=0.5,G2393&gt;=4),3,IF(OR(N(F2393)&gt;=0.3,G2393=3),2,IF(OR(N(F2393)&gt;=0.1,G2393&gt;=1),1,0)))</f>
        <v/>
      </c>
      <c r="I2393" s="4">
        <f>CHOOSE(H2393+1,"Kein Risiko","Gering","Mittel","Hoch")</f>
        <v/>
      </c>
    </row>
    <row r="2394">
      <c r="A2394" s="4" t="n">
        <v>2390</v>
      </c>
      <c r="B2394" s="4" t="inlineStr">
        <is>
          <t>yes</t>
        </is>
      </c>
      <c r="C2394" s="4" t="inlineStr">
        <is>
          <t>Am Gerichtshaus</t>
        </is>
      </c>
      <c r="D2394" s="4" t="inlineStr">
        <is>
          <t>41</t>
        </is>
      </c>
      <c r="E2394" s="13" t="n">
        <v>43.3</v>
      </c>
      <c r="F2394" s="12" t="n">
        <v>0</v>
      </c>
      <c r="G2394" s="4" t="n">
        <v>2</v>
      </c>
      <c r="H2394" s="4">
        <f>IF(OR(N(F2394)&gt;=0.5,G2394&gt;=4),3,IF(OR(N(F2394)&gt;=0.3,G2394=3),2,IF(OR(N(F2394)&gt;=0.1,G2394&gt;=1),1,0)))</f>
        <v/>
      </c>
      <c r="I2394" s="4">
        <f>CHOOSE(H2394+1,"Kein Risiko","Gering","Mittel","Hoch")</f>
        <v/>
      </c>
    </row>
    <row r="2395">
      <c r="A2395" s="4" t="n">
        <v>2391</v>
      </c>
      <c r="B2395" s="4" t="inlineStr">
        <is>
          <t>yes</t>
        </is>
      </c>
      <c r="C2395" s="4" t="inlineStr"/>
      <c r="D2395" s="4" t="inlineStr"/>
      <c r="E2395" s="13" t="n">
        <v>68.59999999999999</v>
      </c>
      <c r="F2395" s="12" t="n">
        <v>0.01000213623046875</v>
      </c>
      <c r="G2395" s="4" t="n">
        <v>0</v>
      </c>
      <c r="H2395" s="4">
        <f>IF(OR(N(F2395)&gt;=0.5,G2395&gt;=4),3,IF(OR(N(F2395)&gt;=0.3,G2395=3),2,IF(OR(N(F2395)&gt;=0.1,G2395&gt;=1),1,0)))</f>
        <v/>
      </c>
      <c r="I2395" s="4">
        <f>CHOOSE(H2395+1,"Kein Risiko","Gering","Mittel","Hoch")</f>
        <v/>
      </c>
    </row>
    <row r="2396">
      <c r="A2396" s="4" t="n">
        <v>2392</v>
      </c>
      <c r="B2396" s="4" t="inlineStr">
        <is>
          <t>yes</t>
        </is>
      </c>
      <c r="C2396" s="4" t="inlineStr"/>
      <c r="D2396" s="4" t="inlineStr"/>
      <c r="E2396" s="13" t="n">
        <v>65.40000000000001</v>
      </c>
      <c r="F2396" s="12" t="n">
        <v>0.029998779296875</v>
      </c>
      <c r="G2396" s="4" t="n">
        <v>0</v>
      </c>
      <c r="H2396" s="4">
        <f>IF(OR(N(F2396)&gt;=0.5,G2396&gt;=4),3,IF(OR(N(F2396)&gt;=0.3,G2396=3),2,IF(OR(N(F2396)&gt;=0.1,G2396&gt;=1),1,0)))</f>
        <v/>
      </c>
      <c r="I2396" s="4">
        <f>CHOOSE(H2396+1,"Kein Risiko","Gering","Mittel","Hoch")</f>
        <v/>
      </c>
    </row>
    <row r="2397">
      <c r="A2397" s="4" t="n">
        <v>2393</v>
      </c>
      <c r="B2397" s="4" t="inlineStr">
        <is>
          <t>yes</t>
        </is>
      </c>
      <c r="C2397" s="4" t="inlineStr"/>
      <c r="D2397" s="4" t="inlineStr"/>
      <c r="E2397" s="13" t="n">
        <v>64.90000000000001</v>
      </c>
      <c r="F2397" s="12" t="n">
        <v>0.03000259399414062</v>
      </c>
      <c r="G2397" s="4" t="n">
        <v>0</v>
      </c>
      <c r="H2397" s="4">
        <f>IF(OR(N(F2397)&gt;=0.5,G2397&gt;=4),3,IF(OR(N(F2397)&gt;=0.3,G2397=3),2,IF(OR(N(F2397)&gt;=0.1,G2397&gt;=1),1,0)))</f>
        <v/>
      </c>
      <c r="I2397" s="4">
        <f>CHOOSE(H2397+1,"Kein Risiko","Gering","Mittel","Hoch")</f>
        <v/>
      </c>
    </row>
    <row r="2398">
      <c r="A2398" s="4" t="n">
        <v>2394</v>
      </c>
      <c r="B2398" s="4" t="inlineStr">
        <is>
          <t>yes</t>
        </is>
      </c>
      <c r="C2398" s="4" t="inlineStr"/>
      <c r="D2398" s="4" t="inlineStr"/>
      <c r="E2398" s="13" t="n">
        <v>65</v>
      </c>
      <c r="F2398" s="12" t="n">
        <v>0.0500030517578125</v>
      </c>
      <c r="G2398" s="4" t="n">
        <v>0</v>
      </c>
      <c r="H2398" s="4">
        <f>IF(OR(N(F2398)&gt;=0.5,G2398&gt;=4),3,IF(OR(N(F2398)&gt;=0.3,G2398=3),2,IF(OR(N(F2398)&gt;=0.1,G2398&gt;=1),1,0)))</f>
        <v/>
      </c>
      <c r="I2398" s="4">
        <f>CHOOSE(H2398+1,"Kein Risiko","Gering","Mittel","Hoch")</f>
        <v/>
      </c>
    </row>
    <row r="2399">
      <c r="A2399" s="4" t="n">
        <v>2395</v>
      </c>
      <c r="B2399" s="4" t="inlineStr">
        <is>
          <t>yes</t>
        </is>
      </c>
      <c r="C2399" s="4" t="inlineStr"/>
      <c r="D2399" s="4" t="inlineStr"/>
      <c r="E2399" s="13" t="n">
        <v>64.8</v>
      </c>
      <c r="F2399" s="12" t="n">
        <v>0.029998779296875</v>
      </c>
      <c r="G2399" s="4" t="n">
        <v>0</v>
      </c>
      <c r="H2399" s="4">
        <f>IF(OR(N(F2399)&gt;=0.5,G2399&gt;=4),3,IF(OR(N(F2399)&gt;=0.3,G2399=3),2,IF(OR(N(F2399)&gt;=0.1,G2399&gt;=1),1,0)))</f>
        <v/>
      </c>
      <c r="I2399" s="4">
        <f>CHOOSE(H2399+1,"Kein Risiko","Gering","Mittel","Hoch")</f>
        <v/>
      </c>
    </row>
    <row r="2400">
      <c r="A2400" s="4" t="n">
        <v>2396</v>
      </c>
      <c r="B2400" s="4" t="inlineStr">
        <is>
          <t>yes</t>
        </is>
      </c>
      <c r="C2400" s="4" t="inlineStr"/>
      <c r="D2400" s="4" t="inlineStr"/>
      <c r="E2400" s="13" t="n">
        <v>65</v>
      </c>
      <c r="F2400" s="12" t="n">
        <v>0.05999755859375</v>
      </c>
      <c r="G2400" s="4" t="n">
        <v>0</v>
      </c>
      <c r="H2400" s="4">
        <f>IF(OR(N(F2400)&gt;=0.5,G2400&gt;=4),3,IF(OR(N(F2400)&gt;=0.3,G2400=3),2,IF(OR(N(F2400)&gt;=0.1,G2400&gt;=1),1,0)))</f>
        <v/>
      </c>
      <c r="I2400" s="4">
        <f>CHOOSE(H2400+1,"Kein Risiko","Gering","Mittel","Hoch")</f>
        <v/>
      </c>
    </row>
    <row r="2401">
      <c r="A2401" s="4" t="n">
        <v>2397</v>
      </c>
      <c r="B2401" s="4" t="inlineStr">
        <is>
          <t>yes</t>
        </is>
      </c>
      <c r="C2401" s="4" t="inlineStr"/>
      <c r="D2401" s="4" t="inlineStr"/>
      <c r="E2401" s="13" t="n">
        <v>65.5</v>
      </c>
      <c r="F2401" s="12" t="n">
        <v>0</v>
      </c>
      <c r="G2401" s="4" t="n">
        <v>0</v>
      </c>
      <c r="H2401" s="4">
        <f>IF(OR(N(F2401)&gt;=0.5,G2401&gt;=4),3,IF(OR(N(F2401)&gt;=0.3,G2401=3),2,IF(OR(N(F2401)&gt;=0.1,G2401&gt;=1),1,0)))</f>
        <v/>
      </c>
      <c r="I2401" s="4">
        <f>CHOOSE(H2401+1,"Kein Risiko","Gering","Mittel","Hoch")</f>
        <v/>
      </c>
    </row>
    <row r="2402">
      <c r="A2402" s="4" t="n">
        <v>2398</v>
      </c>
      <c r="B2402" s="4" t="inlineStr">
        <is>
          <t>yes</t>
        </is>
      </c>
      <c r="C2402" s="4" t="inlineStr"/>
      <c r="D2402" s="4" t="inlineStr"/>
      <c r="E2402" s="13" t="n">
        <v>65.09999999999999</v>
      </c>
      <c r="F2402" s="12" t="n">
        <v>0.01999664306640625</v>
      </c>
      <c r="G2402" s="4" t="n">
        <v>0</v>
      </c>
      <c r="H2402" s="4">
        <f>IF(OR(N(F2402)&gt;=0.5,G2402&gt;=4),3,IF(OR(N(F2402)&gt;=0.3,G2402=3),2,IF(OR(N(F2402)&gt;=0.1,G2402&gt;=1),1,0)))</f>
        <v/>
      </c>
      <c r="I2402" s="4">
        <f>CHOOSE(H2402+1,"Kein Risiko","Gering","Mittel","Hoch")</f>
        <v/>
      </c>
    </row>
    <row r="2403">
      <c r="A2403" s="4" t="n">
        <v>2399</v>
      </c>
      <c r="B2403" s="4" t="inlineStr">
        <is>
          <t>yes</t>
        </is>
      </c>
      <c r="C2403" s="4" t="inlineStr"/>
      <c r="D2403" s="4" t="inlineStr"/>
      <c r="E2403" s="13" t="n">
        <v>65.59999999999999</v>
      </c>
      <c r="F2403" s="12" t="n">
        <v>0.01000213623046875</v>
      </c>
      <c r="G2403" s="4" t="n">
        <v>0</v>
      </c>
      <c r="H2403" s="4">
        <f>IF(OR(N(F2403)&gt;=0.5,G2403&gt;=4),3,IF(OR(N(F2403)&gt;=0.3,G2403=3),2,IF(OR(N(F2403)&gt;=0.1,G2403&gt;=1),1,0)))</f>
        <v/>
      </c>
      <c r="I2403" s="4">
        <f>CHOOSE(H2403+1,"Kein Risiko","Gering","Mittel","Hoch")</f>
        <v/>
      </c>
    </row>
    <row r="2404">
      <c r="A2404" s="4" t="n">
        <v>2400</v>
      </c>
      <c r="B2404" s="4" t="inlineStr">
        <is>
          <t>semidetached_house</t>
        </is>
      </c>
      <c r="C2404" s="4" t="inlineStr">
        <is>
          <t>Am Seebogen</t>
        </is>
      </c>
      <c r="D2404" s="4" t="inlineStr">
        <is>
          <t>35</t>
        </is>
      </c>
      <c r="E2404" s="13" t="n">
        <v>66.2</v>
      </c>
      <c r="F2404" s="12" t="n">
        <v>0</v>
      </c>
      <c r="G2404" s="4" t="n">
        <v>0</v>
      </c>
      <c r="H2404" s="4">
        <f>IF(OR(N(F2404)&gt;=0.5,G2404&gt;=4),3,IF(OR(N(F2404)&gt;=0.3,G2404=3),2,IF(OR(N(F2404)&gt;=0.1,G2404&gt;=1),1,0)))</f>
        <v/>
      </c>
      <c r="I2404" s="4">
        <f>CHOOSE(H2404+1,"Kein Risiko","Gering","Mittel","Hoch")</f>
        <v/>
      </c>
    </row>
    <row r="2405">
      <c r="A2405" s="4" t="n">
        <v>2401</v>
      </c>
      <c r="B2405" s="4" t="inlineStr">
        <is>
          <t>semidetached_house</t>
        </is>
      </c>
      <c r="C2405" s="4" t="inlineStr">
        <is>
          <t>Am Seebogen</t>
        </is>
      </c>
      <c r="D2405" s="4" t="inlineStr">
        <is>
          <t>39</t>
        </is>
      </c>
      <c r="E2405" s="13" t="n">
        <v>66.3</v>
      </c>
      <c r="F2405" s="12" t="n">
        <v>0</v>
      </c>
      <c r="G2405" s="4" t="n">
        <v>0</v>
      </c>
      <c r="H2405" s="4">
        <f>IF(OR(N(F2405)&gt;=0.5,G2405&gt;=4),3,IF(OR(N(F2405)&gt;=0.3,G2405=3),2,IF(OR(N(F2405)&gt;=0.1,G2405&gt;=1),1,0)))</f>
        <v/>
      </c>
      <c r="I2405" s="4">
        <f>CHOOSE(H2405+1,"Kein Risiko","Gering","Mittel","Hoch")</f>
        <v/>
      </c>
    </row>
    <row r="2406">
      <c r="A2406" s="4" t="n">
        <v>2402</v>
      </c>
      <c r="B2406" s="4" t="inlineStr">
        <is>
          <t>semidetached_house</t>
        </is>
      </c>
      <c r="C2406" s="4" t="inlineStr">
        <is>
          <t>Am Seebogen</t>
        </is>
      </c>
      <c r="D2406" s="4" t="inlineStr">
        <is>
          <t>43</t>
        </is>
      </c>
      <c r="E2406" s="13" t="n">
        <v>66.2</v>
      </c>
      <c r="F2406" s="12" t="n">
        <v>0</v>
      </c>
      <c r="G2406" s="4" t="n">
        <v>0</v>
      </c>
      <c r="H2406" s="4">
        <f>IF(OR(N(F2406)&gt;=0.5,G2406&gt;=4),3,IF(OR(N(F2406)&gt;=0.3,G2406=3),2,IF(OR(N(F2406)&gt;=0.1,G2406&gt;=1),1,0)))</f>
        <v/>
      </c>
      <c r="I2406" s="4">
        <f>CHOOSE(H2406+1,"Kein Risiko","Gering","Mittel","Hoch")</f>
        <v/>
      </c>
    </row>
    <row r="2407">
      <c r="A2407" s="4" t="n">
        <v>2403</v>
      </c>
      <c r="B2407" s="4" t="inlineStr">
        <is>
          <t>semidetached_house</t>
        </is>
      </c>
      <c r="C2407" s="4" t="inlineStr">
        <is>
          <t>Am Seebogen</t>
        </is>
      </c>
      <c r="D2407" s="4" t="inlineStr">
        <is>
          <t>47</t>
        </is>
      </c>
      <c r="E2407" s="13" t="n">
        <v>66.09999999999999</v>
      </c>
      <c r="F2407" s="12" t="n">
        <v>0</v>
      </c>
      <c r="G2407" s="4" t="n">
        <v>0</v>
      </c>
      <c r="H2407" s="4">
        <f>IF(OR(N(F2407)&gt;=0.5,G2407&gt;=4),3,IF(OR(N(F2407)&gt;=0.3,G2407=3),2,IF(OR(N(F2407)&gt;=0.1,G2407&gt;=1),1,0)))</f>
        <v/>
      </c>
      <c r="I2407" s="4">
        <f>CHOOSE(H2407+1,"Kein Risiko","Gering","Mittel","Hoch")</f>
        <v/>
      </c>
    </row>
    <row r="2408">
      <c r="A2408" s="4" t="n">
        <v>2404</v>
      </c>
      <c r="B2408" s="4" t="inlineStr">
        <is>
          <t>semidetached_house</t>
        </is>
      </c>
      <c r="C2408" s="4" t="inlineStr">
        <is>
          <t>Am Seebogen</t>
        </is>
      </c>
      <c r="D2408" s="4" t="inlineStr">
        <is>
          <t>51</t>
        </is>
      </c>
      <c r="E2408" s="13" t="n">
        <v>66.09999999999999</v>
      </c>
      <c r="F2408" s="12" t="n">
        <v>0</v>
      </c>
      <c r="G2408" s="4" t="n">
        <v>0</v>
      </c>
      <c r="H2408" s="4">
        <f>IF(OR(N(F2408)&gt;=0.5,G2408&gt;=4),3,IF(OR(N(F2408)&gt;=0.3,G2408=3),2,IF(OR(N(F2408)&gt;=0.1,G2408&gt;=1),1,0)))</f>
        <v/>
      </c>
      <c r="I2408" s="4">
        <f>CHOOSE(H2408+1,"Kein Risiko","Gering","Mittel","Hoch")</f>
        <v/>
      </c>
    </row>
    <row r="2409">
      <c r="A2409" s="4" t="n">
        <v>2405</v>
      </c>
      <c r="B2409" s="4" t="inlineStr">
        <is>
          <t>semidetached_house</t>
        </is>
      </c>
      <c r="C2409" s="4" t="inlineStr">
        <is>
          <t>Am Seebogen</t>
        </is>
      </c>
      <c r="D2409" s="4" t="inlineStr">
        <is>
          <t>55</t>
        </is>
      </c>
      <c r="E2409" s="13" t="n">
        <v>66.09999999999999</v>
      </c>
      <c r="F2409" s="12" t="n">
        <v>0</v>
      </c>
      <c r="G2409" s="4" t="n">
        <v>0</v>
      </c>
      <c r="H2409" s="4">
        <f>IF(OR(N(F2409)&gt;=0.5,G2409&gt;=4),3,IF(OR(N(F2409)&gt;=0.3,G2409=3),2,IF(OR(N(F2409)&gt;=0.1,G2409&gt;=1),1,0)))</f>
        <v/>
      </c>
      <c r="I2409" s="4">
        <f>CHOOSE(H2409+1,"Kein Risiko","Gering","Mittel","Hoch")</f>
        <v/>
      </c>
    </row>
    <row r="2410">
      <c r="A2410" s="4" t="n">
        <v>2406</v>
      </c>
      <c r="B2410" s="4" t="inlineStr">
        <is>
          <t>yes</t>
        </is>
      </c>
      <c r="C2410" s="4" t="inlineStr"/>
      <c r="D2410" s="4" t="inlineStr"/>
      <c r="E2410" s="13" t="n">
        <v>8.9</v>
      </c>
      <c r="F2410" s="12" t="n">
        <v>0.04000091552734375</v>
      </c>
      <c r="G2410" s="4" t="n">
        <v>0</v>
      </c>
      <c r="H2410" s="4">
        <f>IF(OR(N(F2410)&gt;=0.5,G2410&gt;=4),3,IF(OR(N(F2410)&gt;=0.3,G2410=3),2,IF(OR(N(F2410)&gt;=0.1,G2410&gt;=1),1,0)))</f>
        <v/>
      </c>
      <c r="I2410" s="4">
        <f>CHOOSE(H2410+1,"Kein Risiko","Gering","Mittel","Hoch")</f>
        <v/>
      </c>
    </row>
    <row r="2411">
      <c r="A2411" s="4" t="n">
        <v>2407</v>
      </c>
      <c r="B2411" s="4" t="inlineStr">
        <is>
          <t>yes</t>
        </is>
      </c>
      <c r="C2411" s="4" t="inlineStr"/>
      <c r="D2411" s="4" t="inlineStr"/>
      <c r="E2411" s="13" t="n">
        <v>11.3</v>
      </c>
      <c r="F2411" s="12" t="n">
        <v>0</v>
      </c>
      <c r="G2411" s="4" t="n">
        <v>0</v>
      </c>
      <c r="H2411" s="4">
        <f>IF(OR(N(F2411)&gt;=0.5,G2411&gt;=4),3,IF(OR(N(F2411)&gt;=0.3,G2411=3),2,IF(OR(N(F2411)&gt;=0.1,G2411&gt;=1),1,0)))</f>
        <v/>
      </c>
      <c r="I2411" s="4">
        <f>CHOOSE(H2411+1,"Kein Risiko","Gering","Mittel","Hoch")</f>
        <v/>
      </c>
    </row>
    <row r="2412">
      <c r="A2412" s="4" t="n">
        <v>2408</v>
      </c>
      <c r="B2412" s="4" t="inlineStr">
        <is>
          <t>yes</t>
        </is>
      </c>
      <c r="C2412" s="4" t="inlineStr"/>
      <c r="D2412" s="4" t="inlineStr"/>
      <c r="E2412" s="13" t="n">
        <v>11.7</v>
      </c>
      <c r="F2412" s="12" t="n">
        <v>0</v>
      </c>
      <c r="G2412" s="4" t="n">
        <v>0</v>
      </c>
      <c r="H2412" s="4">
        <f>IF(OR(N(F2412)&gt;=0.5,G2412&gt;=4),3,IF(OR(N(F2412)&gt;=0.3,G2412=3),2,IF(OR(N(F2412)&gt;=0.1,G2412&gt;=1),1,0)))</f>
        <v/>
      </c>
      <c r="I2412" s="4">
        <f>CHOOSE(H2412+1,"Kein Risiko","Gering","Mittel","Hoch")</f>
        <v/>
      </c>
    </row>
    <row r="2413">
      <c r="A2413" s="4" t="n">
        <v>2409</v>
      </c>
      <c r="B2413" s="4" t="inlineStr">
        <is>
          <t>garage</t>
        </is>
      </c>
      <c r="C2413" s="4" t="inlineStr"/>
      <c r="D2413" s="4" t="inlineStr"/>
      <c r="E2413" s="13" t="n">
        <v>17.9</v>
      </c>
      <c r="F2413" s="12" t="n">
        <v>0</v>
      </c>
      <c r="G2413" s="4" t="n">
        <v>0</v>
      </c>
      <c r="H2413" s="4">
        <f>IF(OR(N(F2413)&gt;=0.5,G2413&gt;=4),3,IF(OR(N(F2413)&gt;=0.3,G2413=3),2,IF(OR(N(F2413)&gt;=0.1,G2413&gt;=1),1,0)))</f>
        <v/>
      </c>
      <c r="I2413" s="4">
        <f>CHOOSE(H2413+1,"Kein Risiko","Gering","Mittel","Hoch")</f>
        <v/>
      </c>
    </row>
    <row r="2414">
      <c r="A2414" s="4" t="n">
        <v>2410</v>
      </c>
      <c r="B2414" s="4" t="inlineStr">
        <is>
          <t>yes</t>
        </is>
      </c>
      <c r="C2414" s="4" t="inlineStr"/>
      <c r="D2414" s="4" t="inlineStr"/>
      <c r="E2414" s="13" t="n">
        <v>11.5</v>
      </c>
      <c r="F2414" s="12" t="n">
        <v>0</v>
      </c>
      <c r="G2414" s="4" t="n">
        <v>0</v>
      </c>
      <c r="H2414" s="4">
        <f>IF(OR(N(F2414)&gt;=0.5,G2414&gt;=4),3,IF(OR(N(F2414)&gt;=0.3,G2414=3),2,IF(OR(N(F2414)&gt;=0.1,G2414&gt;=1),1,0)))</f>
        <v/>
      </c>
      <c r="I2414" s="4">
        <f>CHOOSE(H2414+1,"Kein Risiko","Gering","Mittel","Hoch")</f>
        <v/>
      </c>
    </row>
    <row r="2415">
      <c r="A2415" s="4" t="n">
        <v>2411</v>
      </c>
      <c r="B2415" s="4" t="inlineStr">
        <is>
          <t>yes</t>
        </is>
      </c>
      <c r="C2415" s="4" t="inlineStr"/>
      <c r="D2415" s="4" t="inlineStr"/>
      <c r="E2415" s="13" t="n">
        <v>8.9</v>
      </c>
      <c r="F2415" s="12" t="n">
        <v>0.04000091552734375</v>
      </c>
      <c r="G2415" s="4" t="n">
        <v>0</v>
      </c>
      <c r="H2415" s="4">
        <f>IF(OR(N(F2415)&gt;=0.5,G2415&gt;=4),3,IF(OR(N(F2415)&gt;=0.3,G2415=3),2,IF(OR(N(F2415)&gt;=0.1,G2415&gt;=1),1,0)))</f>
        <v/>
      </c>
      <c r="I2415" s="4">
        <f>CHOOSE(H2415+1,"Kein Risiko","Gering","Mittel","Hoch")</f>
        <v/>
      </c>
    </row>
    <row r="2416">
      <c r="A2416" s="4" t="n">
        <v>2412</v>
      </c>
      <c r="B2416" s="4" t="inlineStr">
        <is>
          <t>yes</t>
        </is>
      </c>
      <c r="C2416" s="4" t="inlineStr"/>
      <c r="D2416" s="4" t="inlineStr"/>
      <c r="E2416" s="13" t="n">
        <v>11.4</v>
      </c>
      <c r="F2416" s="12" t="n">
        <v>0</v>
      </c>
      <c r="G2416" s="4" t="n">
        <v>0</v>
      </c>
      <c r="H2416" s="4">
        <f>IF(OR(N(F2416)&gt;=0.5,G2416&gt;=4),3,IF(OR(N(F2416)&gt;=0.3,G2416=3),2,IF(OR(N(F2416)&gt;=0.1,G2416&gt;=1),1,0)))</f>
        <v/>
      </c>
      <c r="I2416" s="4">
        <f>CHOOSE(H2416+1,"Kein Risiko","Gering","Mittel","Hoch")</f>
        <v/>
      </c>
    </row>
    <row r="2417">
      <c r="A2417" s="4" t="n">
        <v>2413</v>
      </c>
      <c r="B2417" s="4" t="inlineStr">
        <is>
          <t>garage</t>
        </is>
      </c>
      <c r="C2417" s="4" t="inlineStr"/>
      <c r="D2417" s="4" t="inlineStr"/>
      <c r="E2417" s="13" t="n">
        <v>17.8</v>
      </c>
      <c r="F2417" s="12" t="n">
        <v>0</v>
      </c>
      <c r="G2417" s="4" t="n">
        <v>0</v>
      </c>
      <c r="H2417" s="4">
        <f>IF(OR(N(F2417)&gt;=0.5,G2417&gt;=4),3,IF(OR(N(F2417)&gt;=0.3,G2417=3),2,IF(OR(N(F2417)&gt;=0.1,G2417&gt;=1),1,0)))</f>
        <v/>
      </c>
      <c r="I2417" s="4">
        <f>CHOOSE(H2417+1,"Kein Risiko","Gering","Mittel","Hoch")</f>
        <v/>
      </c>
    </row>
    <row r="2418">
      <c r="A2418" s="4" t="n">
        <v>2414</v>
      </c>
      <c r="B2418" s="4" t="inlineStr">
        <is>
          <t>yes</t>
        </is>
      </c>
      <c r="C2418" s="4" t="inlineStr"/>
      <c r="D2418" s="4" t="inlineStr"/>
      <c r="E2418" s="13" t="n">
        <v>11.2</v>
      </c>
      <c r="F2418" s="12" t="n">
        <v>0</v>
      </c>
      <c r="G2418" s="4" t="n">
        <v>0</v>
      </c>
      <c r="H2418" s="4">
        <f>IF(OR(N(F2418)&gt;=0.5,G2418&gt;=4),3,IF(OR(N(F2418)&gt;=0.3,G2418=3),2,IF(OR(N(F2418)&gt;=0.1,G2418&gt;=1),1,0)))</f>
        <v/>
      </c>
      <c r="I2418" s="4">
        <f>CHOOSE(H2418+1,"Kein Risiko","Gering","Mittel","Hoch")</f>
        <v/>
      </c>
    </row>
    <row r="2419">
      <c r="A2419" s="4" t="n">
        <v>2415</v>
      </c>
      <c r="B2419" s="4" t="inlineStr">
        <is>
          <t>garage</t>
        </is>
      </c>
      <c r="C2419" s="4" t="inlineStr"/>
      <c r="D2419" s="4" t="inlineStr"/>
      <c r="E2419" s="13" t="n">
        <v>17.8</v>
      </c>
      <c r="F2419" s="12" t="n">
        <v>0</v>
      </c>
      <c r="G2419" s="4" t="n">
        <v>0</v>
      </c>
      <c r="H2419" s="4">
        <f>IF(OR(N(F2419)&gt;=0.5,G2419&gt;=4),3,IF(OR(N(F2419)&gt;=0.3,G2419=3),2,IF(OR(N(F2419)&gt;=0.1,G2419&gt;=1),1,0)))</f>
        <v/>
      </c>
      <c r="I2419" s="4">
        <f>CHOOSE(H2419+1,"Kein Risiko","Gering","Mittel","Hoch")</f>
        <v/>
      </c>
    </row>
    <row r="2420">
      <c r="A2420" s="4" t="n">
        <v>2416</v>
      </c>
      <c r="B2420" s="4" t="inlineStr">
        <is>
          <t>yes</t>
        </is>
      </c>
      <c r="C2420" s="4" t="inlineStr"/>
      <c r="D2420" s="4" t="inlineStr"/>
      <c r="E2420" s="13" t="n">
        <v>8.9</v>
      </c>
      <c r="F2420" s="12" t="n">
        <v>0</v>
      </c>
      <c r="G2420" s="4" t="n">
        <v>0</v>
      </c>
      <c r="H2420" s="4">
        <f>IF(OR(N(F2420)&gt;=0.5,G2420&gt;=4),3,IF(OR(N(F2420)&gt;=0.3,G2420=3),2,IF(OR(N(F2420)&gt;=0.1,G2420&gt;=1),1,0)))</f>
        <v/>
      </c>
      <c r="I2420" s="4">
        <f>CHOOSE(H2420+1,"Kein Risiko","Gering","Mittel","Hoch")</f>
        <v/>
      </c>
    </row>
    <row r="2421">
      <c r="A2421" s="4" t="n">
        <v>2417</v>
      </c>
      <c r="B2421" s="4" t="inlineStr">
        <is>
          <t>yes</t>
        </is>
      </c>
      <c r="C2421" s="4" t="inlineStr"/>
      <c r="D2421" s="4" t="inlineStr"/>
      <c r="E2421" s="13" t="n">
        <v>8.800000000000001</v>
      </c>
      <c r="F2421" s="12" t="n">
        <v>0</v>
      </c>
      <c r="G2421" s="4" t="n">
        <v>0</v>
      </c>
      <c r="H2421" s="4">
        <f>IF(OR(N(F2421)&gt;=0.5,G2421&gt;=4),3,IF(OR(N(F2421)&gt;=0.3,G2421=3),2,IF(OR(N(F2421)&gt;=0.1,G2421&gt;=1),1,0)))</f>
        <v/>
      </c>
      <c r="I2421" s="4">
        <f>CHOOSE(H2421+1,"Kein Risiko","Gering","Mittel","Hoch")</f>
        <v/>
      </c>
    </row>
    <row r="2422">
      <c r="A2422" s="4" t="n">
        <v>2418</v>
      </c>
      <c r="B2422" s="4" t="inlineStr">
        <is>
          <t>yes</t>
        </is>
      </c>
      <c r="C2422" s="4" t="inlineStr"/>
      <c r="D2422" s="4" t="inlineStr"/>
      <c r="E2422" s="13" t="n">
        <v>11.5</v>
      </c>
      <c r="F2422" s="12" t="n">
        <v>0</v>
      </c>
      <c r="G2422" s="4" t="n">
        <v>0</v>
      </c>
      <c r="H2422" s="4">
        <f>IF(OR(N(F2422)&gt;=0.5,G2422&gt;=4),3,IF(OR(N(F2422)&gt;=0.3,G2422=3),2,IF(OR(N(F2422)&gt;=0.1,G2422&gt;=1),1,0)))</f>
        <v/>
      </c>
      <c r="I2422" s="4">
        <f>CHOOSE(H2422+1,"Kein Risiko","Gering","Mittel","Hoch")</f>
        <v/>
      </c>
    </row>
    <row r="2423">
      <c r="A2423" s="4" t="n">
        <v>2419</v>
      </c>
      <c r="B2423" s="4" t="inlineStr">
        <is>
          <t>garage</t>
        </is>
      </c>
      <c r="C2423" s="4" t="inlineStr"/>
      <c r="D2423" s="4" t="inlineStr"/>
      <c r="E2423" s="13" t="n">
        <v>17.8</v>
      </c>
      <c r="F2423" s="12" t="n">
        <v>0.01000213623046875</v>
      </c>
      <c r="G2423" s="4" t="n">
        <v>0</v>
      </c>
      <c r="H2423" s="4">
        <f>IF(OR(N(F2423)&gt;=0.5,G2423&gt;=4),3,IF(OR(N(F2423)&gt;=0.3,G2423=3),2,IF(OR(N(F2423)&gt;=0.1,G2423&gt;=1),1,0)))</f>
        <v/>
      </c>
      <c r="I2423" s="4">
        <f>CHOOSE(H2423+1,"Kein Risiko","Gering","Mittel","Hoch")</f>
        <v/>
      </c>
    </row>
    <row r="2424">
      <c r="A2424" s="4" t="n">
        <v>2420</v>
      </c>
      <c r="B2424" s="4" t="inlineStr">
        <is>
          <t>yes</t>
        </is>
      </c>
      <c r="C2424" s="4" t="inlineStr"/>
      <c r="D2424" s="4" t="inlineStr"/>
      <c r="E2424" s="13" t="n">
        <v>11.7</v>
      </c>
      <c r="F2424" s="12" t="n">
        <v>0</v>
      </c>
      <c r="G2424" s="4" t="n">
        <v>0</v>
      </c>
      <c r="H2424" s="4">
        <f>IF(OR(N(F2424)&gt;=0.5,G2424&gt;=4),3,IF(OR(N(F2424)&gt;=0.3,G2424=3),2,IF(OR(N(F2424)&gt;=0.1,G2424&gt;=1),1,0)))</f>
        <v/>
      </c>
      <c r="I2424" s="4">
        <f>CHOOSE(H2424+1,"Kein Risiko","Gering","Mittel","Hoch")</f>
        <v/>
      </c>
    </row>
    <row r="2425">
      <c r="A2425" s="4" t="n">
        <v>2421</v>
      </c>
      <c r="B2425" s="4" t="inlineStr">
        <is>
          <t>yes</t>
        </is>
      </c>
      <c r="C2425" s="4" t="inlineStr"/>
      <c r="D2425" s="4" t="inlineStr"/>
      <c r="E2425" s="13" t="n">
        <v>11.6</v>
      </c>
      <c r="F2425" s="12" t="n">
        <v>0</v>
      </c>
      <c r="G2425" s="4" t="n">
        <v>0</v>
      </c>
      <c r="H2425" s="4">
        <f>IF(OR(N(F2425)&gt;=0.5,G2425&gt;=4),3,IF(OR(N(F2425)&gt;=0.3,G2425=3),2,IF(OR(N(F2425)&gt;=0.1,G2425&gt;=1),1,0)))</f>
        <v/>
      </c>
      <c r="I2425" s="4">
        <f>CHOOSE(H2425+1,"Kein Risiko","Gering","Mittel","Hoch")</f>
        <v/>
      </c>
    </row>
    <row r="2426">
      <c r="A2426" s="4" t="n">
        <v>2422</v>
      </c>
      <c r="B2426" s="4" t="inlineStr">
        <is>
          <t>yes</t>
        </is>
      </c>
      <c r="C2426" s="4" t="inlineStr"/>
      <c r="D2426" s="4" t="inlineStr"/>
      <c r="E2426" s="13" t="n">
        <v>17.8</v>
      </c>
      <c r="F2426" s="12" t="n">
        <v>0.05999755859375</v>
      </c>
      <c r="G2426" s="4" t="n">
        <v>0</v>
      </c>
      <c r="H2426" s="4">
        <f>IF(OR(N(F2426)&gt;=0.5,G2426&gt;=4),3,IF(OR(N(F2426)&gt;=0.3,G2426=3),2,IF(OR(N(F2426)&gt;=0.1,G2426&gt;=1),1,0)))</f>
        <v/>
      </c>
      <c r="I2426" s="4">
        <f>CHOOSE(H2426+1,"Kein Risiko","Gering","Mittel","Hoch")</f>
        <v/>
      </c>
    </row>
    <row r="2427">
      <c r="A2427" s="4" t="n">
        <v>2423</v>
      </c>
      <c r="B2427" s="4" t="inlineStr">
        <is>
          <t>yes</t>
        </is>
      </c>
      <c r="C2427" s="4" t="inlineStr"/>
      <c r="D2427" s="4" t="inlineStr"/>
      <c r="E2427" s="13" t="n">
        <v>8.9</v>
      </c>
      <c r="F2427" s="12" t="n">
        <v>0</v>
      </c>
      <c r="G2427" s="4" t="n">
        <v>0</v>
      </c>
      <c r="H2427" s="4">
        <f>IF(OR(N(F2427)&gt;=0.5,G2427&gt;=4),3,IF(OR(N(F2427)&gt;=0.3,G2427=3),2,IF(OR(N(F2427)&gt;=0.1,G2427&gt;=1),1,0)))</f>
        <v/>
      </c>
      <c r="I2427" s="4">
        <f>CHOOSE(H2427+1,"Kein Risiko","Gering","Mittel","Hoch")</f>
        <v/>
      </c>
    </row>
    <row r="2428">
      <c r="A2428" s="4" t="n">
        <v>2424</v>
      </c>
      <c r="B2428" s="4" t="inlineStr">
        <is>
          <t>garage</t>
        </is>
      </c>
      <c r="C2428" s="4" t="inlineStr"/>
      <c r="D2428" s="4" t="inlineStr"/>
      <c r="E2428" s="13" t="n">
        <v>17.8</v>
      </c>
      <c r="F2428" s="12" t="n">
        <v>0.0099945068359375</v>
      </c>
      <c r="G2428" s="4" t="n">
        <v>0</v>
      </c>
      <c r="H2428" s="4">
        <f>IF(OR(N(F2428)&gt;=0.5,G2428&gt;=4),3,IF(OR(N(F2428)&gt;=0.3,G2428=3),2,IF(OR(N(F2428)&gt;=0.1,G2428&gt;=1),1,0)))</f>
        <v/>
      </c>
      <c r="I2428" s="4">
        <f>CHOOSE(H2428+1,"Kein Risiko","Gering","Mittel","Hoch")</f>
        <v/>
      </c>
    </row>
    <row r="2429">
      <c r="A2429" s="4" t="n">
        <v>2425</v>
      </c>
      <c r="B2429" s="4" t="inlineStr">
        <is>
          <t>yes</t>
        </is>
      </c>
      <c r="C2429" s="4" t="inlineStr"/>
      <c r="D2429" s="4" t="inlineStr"/>
      <c r="E2429" s="13" t="n">
        <v>11.2</v>
      </c>
      <c r="F2429" s="12" t="n">
        <v>0</v>
      </c>
      <c r="G2429" s="4" t="n">
        <v>0</v>
      </c>
      <c r="H2429" s="4">
        <f>IF(OR(N(F2429)&gt;=0.5,G2429&gt;=4),3,IF(OR(N(F2429)&gt;=0.3,G2429=3),2,IF(OR(N(F2429)&gt;=0.1,G2429&gt;=1),1,0)))</f>
        <v/>
      </c>
      <c r="I2429" s="4">
        <f>CHOOSE(H2429+1,"Kein Risiko","Gering","Mittel","Hoch")</f>
        <v/>
      </c>
    </row>
    <row r="2430">
      <c r="A2430" s="4" t="n">
        <v>2426</v>
      </c>
      <c r="B2430" s="4" t="inlineStr">
        <is>
          <t>yes</t>
        </is>
      </c>
      <c r="C2430" s="4" t="inlineStr"/>
      <c r="D2430" s="4" t="inlineStr"/>
      <c r="E2430" s="13" t="n">
        <v>23.7</v>
      </c>
      <c r="F2430" s="12" t="n">
        <v>0</v>
      </c>
      <c r="G2430" s="4" t="n">
        <v>0</v>
      </c>
      <c r="H2430" s="4">
        <f>IF(OR(N(F2430)&gt;=0.5,G2430&gt;=4),3,IF(OR(N(F2430)&gt;=0.3,G2430=3),2,IF(OR(N(F2430)&gt;=0.1,G2430&gt;=1),1,0)))</f>
        <v/>
      </c>
      <c r="I2430" s="4">
        <f>CHOOSE(H2430+1,"Kein Risiko","Gering","Mittel","Hoch")</f>
        <v/>
      </c>
    </row>
    <row r="2431">
      <c r="A2431" s="4" t="n">
        <v>2427</v>
      </c>
      <c r="B2431" s="4" t="inlineStr">
        <is>
          <t>garage</t>
        </is>
      </c>
      <c r="C2431" s="4" t="inlineStr"/>
      <c r="D2431" s="4" t="inlineStr"/>
      <c r="E2431" s="13" t="n">
        <v>18</v>
      </c>
      <c r="F2431" s="12" t="n">
        <v>0.0200042724609375</v>
      </c>
      <c r="G2431" s="4" t="n">
        <v>0</v>
      </c>
      <c r="H2431" s="4">
        <f>IF(OR(N(F2431)&gt;=0.5,G2431&gt;=4),3,IF(OR(N(F2431)&gt;=0.3,G2431=3),2,IF(OR(N(F2431)&gt;=0.1,G2431&gt;=1),1,0)))</f>
        <v/>
      </c>
      <c r="I2431" s="4">
        <f>CHOOSE(H2431+1,"Kein Risiko","Gering","Mittel","Hoch")</f>
        <v/>
      </c>
    </row>
    <row r="2432">
      <c r="A2432" s="4" t="n">
        <v>2428</v>
      </c>
      <c r="B2432" s="4" t="inlineStr">
        <is>
          <t>yes</t>
        </is>
      </c>
      <c r="C2432" s="4" t="inlineStr"/>
      <c r="D2432" s="4" t="inlineStr"/>
      <c r="E2432" s="13" t="n">
        <v>23.5</v>
      </c>
      <c r="F2432" s="12" t="n"/>
      <c r="G2432" s="4" t="n">
        <v>0</v>
      </c>
      <c r="H2432" s="4">
        <f>IF(OR(N(F2432)&gt;=0.5,G2432&gt;=4),3,IF(OR(N(F2432)&gt;=0.3,G2432=3),2,IF(OR(N(F2432)&gt;=0.1,G2432&gt;=1),1,0)))</f>
        <v/>
      </c>
      <c r="I2432" s="4">
        <f>CHOOSE(H2432+1,"Kein Risiko","Gering","Mittel","Hoch")</f>
        <v/>
      </c>
    </row>
    <row r="2433">
      <c r="A2433" s="4" t="n">
        <v>2429</v>
      </c>
      <c r="B2433" s="4" t="inlineStr">
        <is>
          <t>garage</t>
        </is>
      </c>
      <c r="C2433" s="4" t="inlineStr"/>
      <c r="D2433" s="4" t="inlineStr"/>
      <c r="E2433" s="13" t="n">
        <v>17.9</v>
      </c>
      <c r="F2433" s="12" t="n">
        <v>0</v>
      </c>
      <c r="G2433" s="4" t="n">
        <v>0</v>
      </c>
      <c r="H2433" s="4">
        <f>IF(OR(N(F2433)&gt;=0.5,G2433&gt;=4),3,IF(OR(N(F2433)&gt;=0.3,G2433=3),2,IF(OR(N(F2433)&gt;=0.1,G2433&gt;=1),1,0)))</f>
        <v/>
      </c>
      <c r="I2433" s="4">
        <f>CHOOSE(H2433+1,"Kein Risiko","Gering","Mittel","Hoch")</f>
        <v/>
      </c>
    </row>
    <row r="2434">
      <c r="A2434" s="4" t="n">
        <v>2430</v>
      </c>
      <c r="B2434" s="4" t="inlineStr">
        <is>
          <t>garage</t>
        </is>
      </c>
      <c r="C2434" s="4" t="inlineStr"/>
      <c r="D2434" s="4" t="inlineStr"/>
      <c r="E2434" s="13" t="n">
        <v>26.8</v>
      </c>
      <c r="F2434" s="12" t="n">
        <v>0.03000640869140625</v>
      </c>
      <c r="G2434" s="4" t="n">
        <v>0</v>
      </c>
      <c r="H2434" s="4">
        <f>IF(OR(N(F2434)&gt;=0.5,G2434&gt;=4),3,IF(OR(N(F2434)&gt;=0.3,G2434=3),2,IF(OR(N(F2434)&gt;=0.1,G2434&gt;=1),1,0)))</f>
        <v/>
      </c>
      <c r="I2434" s="4">
        <f>CHOOSE(H2434+1,"Kein Risiko","Gering","Mittel","Hoch")</f>
        <v/>
      </c>
    </row>
    <row r="2435">
      <c r="A2435" s="4" t="n">
        <v>2431</v>
      </c>
      <c r="B2435" s="4" t="inlineStr">
        <is>
          <t>garage</t>
        </is>
      </c>
      <c r="C2435" s="4" t="inlineStr"/>
      <c r="D2435" s="4" t="inlineStr"/>
      <c r="E2435" s="13" t="n">
        <v>26.7</v>
      </c>
      <c r="F2435" s="12" t="n"/>
      <c r="G2435" s="4" t="n">
        <v>0</v>
      </c>
      <c r="H2435" s="4">
        <f>IF(OR(N(F2435)&gt;=0.5,G2435&gt;=4),3,IF(OR(N(F2435)&gt;=0.3,G2435=3),2,IF(OR(N(F2435)&gt;=0.1,G2435&gt;=1),1,0)))</f>
        <v/>
      </c>
      <c r="I2435" s="4">
        <f>CHOOSE(H2435+1,"Kein Risiko","Gering","Mittel","Hoch")</f>
        <v/>
      </c>
    </row>
    <row r="2436">
      <c r="A2436" s="4" t="n">
        <v>2432</v>
      </c>
      <c r="B2436" s="4" t="inlineStr">
        <is>
          <t>yes</t>
        </is>
      </c>
      <c r="C2436" s="4" t="inlineStr"/>
      <c r="D2436" s="4" t="inlineStr"/>
      <c r="E2436" s="13" t="n">
        <v>8.9</v>
      </c>
      <c r="F2436" s="12" t="n">
        <v>0.029998779296875</v>
      </c>
      <c r="G2436" s="4" t="n">
        <v>0</v>
      </c>
      <c r="H2436" s="4">
        <f>IF(OR(N(F2436)&gt;=0.5,G2436&gt;=4),3,IF(OR(N(F2436)&gt;=0.3,G2436=3),2,IF(OR(N(F2436)&gt;=0.1,G2436&gt;=1),1,0)))</f>
        <v/>
      </c>
      <c r="I2436" s="4">
        <f>CHOOSE(H2436+1,"Kein Risiko","Gering","Mittel","Hoch")</f>
        <v/>
      </c>
    </row>
    <row r="2437">
      <c r="A2437" s="4" t="n">
        <v>2433</v>
      </c>
      <c r="B2437" s="4" t="inlineStr">
        <is>
          <t>yes</t>
        </is>
      </c>
      <c r="C2437" s="4" t="inlineStr"/>
      <c r="D2437" s="4" t="inlineStr"/>
      <c r="E2437" s="13" t="n">
        <v>11.6</v>
      </c>
      <c r="F2437" s="12" t="n">
        <v>0</v>
      </c>
      <c r="G2437" s="4" t="n">
        <v>0</v>
      </c>
      <c r="H2437" s="4">
        <f>IF(OR(N(F2437)&gt;=0.5,G2437&gt;=4),3,IF(OR(N(F2437)&gt;=0.3,G2437=3),2,IF(OR(N(F2437)&gt;=0.1,G2437&gt;=1),1,0)))</f>
        <v/>
      </c>
      <c r="I2437" s="4">
        <f>CHOOSE(H2437+1,"Kein Risiko","Gering","Mittel","Hoch")</f>
        <v/>
      </c>
    </row>
    <row r="2438">
      <c r="A2438" s="4" t="n">
        <v>2434</v>
      </c>
      <c r="B2438" s="4" t="inlineStr">
        <is>
          <t>garage</t>
        </is>
      </c>
      <c r="C2438" s="4" t="inlineStr"/>
      <c r="D2438" s="4" t="inlineStr"/>
      <c r="E2438" s="13" t="n">
        <v>26.8</v>
      </c>
      <c r="F2438" s="12" t="n">
        <v>0</v>
      </c>
      <c r="G2438" s="4" t="n">
        <v>0</v>
      </c>
      <c r="H2438" s="4">
        <f>IF(OR(N(F2438)&gt;=0.5,G2438&gt;=4),3,IF(OR(N(F2438)&gt;=0.3,G2438=3),2,IF(OR(N(F2438)&gt;=0.1,G2438&gt;=1),1,0)))</f>
        <v/>
      </c>
      <c r="I2438" s="4">
        <f>CHOOSE(H2438+1,"Kein Risiko","Gering","Mittel","Hoch")</f>
        <v/>
      </c>
    </row>
    <row r="2439">
      <c r="A2439" s="4" t="n">
        <v>2435</v>
      </c>
      <c r="B2439" s="4" t="inlineStr">
        <is>
          <t>garage</t>
        </is>
      </c>
      <c r="C2439" s="4" t="inlineStr"/>
      <c r="D2439" s="4" t="inlineStr"/>
      <c r="E2439" s="13" t="n">
        <v>18</v>
      </c>
      <c r="F2439" s="12" t="n">
        <v>0</v>
      </c>
      <c r="G2439" s="4" t="n">
        <v>0</v>
      </c>
      <c r="H2439" s="4">
        <f>IF(OR(N(F2439)&gt;=0.5,G2439&gt;=4),3,IF(OR(N(F2439)&gt;=0.3,G2439=3),2,IF(OR(N(F2439)&gt;=0.1,G2439&gt;=1),1,0)))</f>
        <v/>
      </c>
      <c r="I2439" s="4">
        <f>CHOOSE(H2439+1,"Kein Risiko","Gering","Mittel","Hoch")</f>
        <v/>
      </c>
    </row>
    <row r="2440">
      <c r="A2440" s="4" t="n">
        <v>2436</v>
      </c>
      <c r="B2440" s="4" t="inlineStr">
        <is>
          <t>yes</t>
        </is>
      </c>
      <c r="C2440" s="4" t="inlineStr"/>
      <c r="D2440" s="4" t="inlineStr"/>
      <c r="E2440" s="13" t="n">
        <v>27.2</v>
      </c>
      <c r="F2440" s="12" t="n">
        <v>0</v>
      </c>
      <c r="G2440" s="4" t="n">
        <v>0</v>
      </c>
      <c r="H2440" s="4">
        <f>IF(OR(N(F2440)&gt;=0.5,G2440&gt;=4),3,IF(OR(N(F2440)&gt;=0.3,G2440=3),2,IF(OR(N(F2440)&gt;=0.1,G2440&gt;=1),1,0)))</f>
        <v/>
      </c>
      <c r="I2440" s="4">
        <f>CHOOSE(H2440+1,"Kein Risiko","Gering","Mittel","Hoch")</f>
        <v/>
      </c>
    </row>
    <row r="2441">
      <c r="A2441" s="4" t="n">
        <v>2437</v>
      </c>
      <c r="B2441" s="4" t="inlineStr">
        <is>
          <t>garage</t>
        </is>
      </c>
      <c r="C2441" s="4" t="inlineStr"/>
      <c r="D2441" s="4" t="inlineStr"/>
      <c r="E2441" s="13" t="n">
        <v>26.9</v>
      </c>
      <c r="F2441" s="12" t="n">
        <v>0</v>
      </c>
      <c r="G2441" s="4" t="n">
        <v>0</v>
      </c>
      <c r="H2441" s="4">
        <f>IF(OR(N(F2441)&gt;=0.5,G2441&gt;=4),3,IF(OR(N(F2441)&gt;=0.3,G2441=3),2,IF(OR(N(F2441)&gt;=0.1,G2441&gt;=1),1,0)))</f>
        <v/>
      </c>
      <c r="I2441" s="4">
        <f>CHOOSE(H2441+1,"Kein Risiko","Gering","Mittel","Hoch")</f>
        <v/>
      </c>
    </row>
    <row r="2442">
      <c r="A2442" s="4" t="n">
        <v>2438</v>
      </c>
      <c r="B2442" s="4" t="inlineStr">
        <is>
          <t>yes</t>
        </is>
      </c>
      <c r="C2442" s="4" t="inlineStr"/>
      <c r="D2442" s="4" t="inlineStr"/>
      <c r="E2442" s="13" t="n">
        <v>23.5</v>
      </c>
      <c r="F2442" s="12" t="n">
        <v>0</v>
      </c>
      <c r="G2442" s="4" t="n">
        <v>0</v>
      </c>
      <c r="H2442" s="4">
        <f>IF(OR(N(F2442)&gt;=0.5,G2442&gt;=4),3,IF(OR(N(F2442)&gt;=0.3,G2442=3),2,IF(OR(N(F2442)&gt;=0.1,G2442&gt;=1),1,0)))</f>
        <v/>
      </c>
      <c r="I2442" s="4">
        <f>CHOOSE(H2442+1,"Kein Risiko","Gering","Mittel","Hoch")</f>
        <v/>
      </c>
    </row>
    <row r="2443">
      <c r="A2443" s="4" t="n">
        <v>2439</v>
      </c>
      <c r="B2443" s="4" t="inlineStr">
        <is>
          <t>garage</t>
        </is>
      </c>
      <c r="C2443" s="4" t="inlineStr"/>
      <c r="D2443" s="4" t="inlineStr"/>
      <c r="E2443" s="13" t="n">
        <v>27.2</v>
      </c>
      <c r="F2443" s="12" t="n">
        <v>0.01000213623046875</v>
      </c>
      <c r="G2443" s="4" t="n">
        <v>0</v>
      </c>
      <c r="H2443" s="4">
        <f>IF(OR(N(F2443)&gt;=0.5,G2443&gt;=4),3,IF(OR(N(F2443)&gt;=0.3,G2443=3),2,IF(OR(N(F2443)&gt;=0.1,G2443&gt;=1),1,0)))</f>
        <v/>
      </c>
      <c r="I2443" s="4">
        <f>CHOOSE(H2443+1,"Kein Risiko","Gering","Mittel","Hoch")</f>
        <v/>
      </c>
    </row>
    <row r="2444">
      <c r="A2444" s="4" t="n">
        <v>2440</v>
      </c>
      <c r="B2444" s="4" t="inlineStr">
        <is>
          <t>yes</t>
        </is>
      </c>
      <c r="C2444" s="4" t="inlineStr">
        <is>
          <t>Dilldorfer Allee</t>
        </is>
      </c>
      <c r="D2444" s="4" t="inlineStr">
        <is>
          <t>5d</t>
        </is>
      </c>
      <c r="E2444" s="13" t="n">
        <v>51.9</v>
      </c>
      <c r="F2444" s="12" t="n">
        <v>0</v>
      </c>
      <c r="G2444" s="4" t="n">
        <v>0</v>
      </c>
      <c r="H2444" s="4">
        <f>IF(OR(N(F2444)&gt;=0.5,G2444&gt;=4),3,IF(OR(N(F2444)&gt;=0.3,G2444=3),2,IF(OR(N(F2444)&gt;=0.1,G2444&gt;=1),1,0)))</f>
        <v/>
      </c>
      <c r="I2444" s="4">
        <f>CHOOSE(H2444+1,"Kein Risiko","Gering","Mittel","Hoch")</f>
        <v/>
      </c>
    </row>
    <row r="2445">
      <c r="A2445" s="4" t="n">
        <v>2441</v>
      </c>
      <c r="B2445" s="4" t="inlineStr">
        <is>
          <t>apartments</t>
        </is>
      </c>
      <c r="C2445" s="4" t="inlineStr">
        <is>
          <t>Kupferdreher Markt</t>
        </is>
      </c>
      <c r="D2445" s="4" t="inlineStr">
        <is>
          <t>10</t>
        </is>
      </c>
      <c r="E2445" s="13" t="n">
        <v>155.4</v>
      </c>
      <c r="F2445" s="12" t="n">
        <v>0</v>
      </c>
      <c r="G2445" s="4" t="n">
        <v>1</v>
      </c>
      <c r="H2445" s="4">
        <f>IF(OR(N(F2445)&gt;=0.5,G2445&gt;=4),3,IF(OR(N(F2445)&gt;=0.3,G2445=3),2,IF(OR(N(F2445)&gt;=0.1,G2445&gt;=1),1,0)))</f>
        <v/>
      </c>
      <c r="I2445" s="4">
        <f>CHOOSE(H2445+1,"Kein Risiko","Gering","Mittel","Hoch")</f>
        <v/>
      </c>
    </row>
    <row r="2446">
      <c r="A2446" s="4" t="n">
        <v>2442</v>
      </c>
      <c r="B2446" s="4" t="inlineStr">
        <is>
          <t>yes</t>
        </is>
      </c>
      <c r="C2446" s="4" t="inlineStr"/>
      <c r="D2446" s="4" t="inlineStr"/>
      <c r="E2446" s="13" t="n">
        <v>45.3</v>
      </c>
      <c r="F2446" s="12" t="n">
        <v>0</v>
      </c>
      <c r="G2446" s="4" t="n">
        <v>0</v>
      </c>
      <c r="H2446" s="4">
        <f>IF(OR(N(F2446)&gt;=0.5,G2446&gt;=4),3,IF(OR(N(F2446)&gt;=0.3,G2446=3),2,IF(OR(N(F2446)&gt;=0.1,G2446&gt;=1),1,0)))</f>
        <v/>
      </c>
      <c r="I2446" s="4">
        <f>CHOOSE(H2446+1,"Kein Risiko","Gering","Mittel","Hoch")</f>
        <v/>
      </c>
    </row>
    <row r="2447">
      <c r="A2447" s="4" t="n">
        <v>2443</v>
      </c>
      <c r="B2447" s="4" t="inlineStr">
        <is>
          <t>yes</t>
        </is>
      </c>
      <c r="C2447" s="4" t="inlineStr"/>
      <c r="D2447" s="4" t="inlineStr"/>
      <c r="E2447" s="13" t="n">
        <v>16</v>
      </c>
      <c r="F2447" s="12" t="n">
        <v>0</v>
      </c>
      <c r="G2447" s="4" t="n">
        <v>1</v>
      </c>
      <c r="H2447" s="4">
        <f>IF(OR(N(F2447)&gt;=0.5,G2447&gt;=4),3,IF(OR(N(F2447)&gt;=0.3,G2447=3),2,IF(OR(N(F2447)&gt;=0.1,G2447&gt;=1),1,0)))</f>
        <v/>
      </c>
      <c r="I2447" s="4">
        <f>CHOOSE(H2447+1,"Kein Risiko","Gering","Mittel","Hoch")</f>
        <v/>
      </c>
    </row>
    <row r="2448">
      <c r="A2448" s="4" t="n">
        <v>2444</v>
      </c>
      <c r="B2448" s="4" t="inlineStr">
        <is>
          <t>yes</t>
        </is>
      </c>
      <c r="C2448" s="4" t="inlineStr"/>
      <c r="D2448" s="4" t="inlineStr"/>
      <c r="E2448" s="13" t="n">
        <v>48.8</v>
      </c>
      <c r="F2448" s="12" t="n">
        <v>0</v>
      </c>
      <c r="G2448" s="4" t="n">
        <v>1</v>
      </c>
      <c r="H2448" s="4">
        <f>IF(OR(N(F2448)&gt;=0.5,G2448&gt;=4),3,IF(OR(N(F2448)&gt;=0.3,G2448=3),2,IF(OR(N(F2448)&gt;=0.1,G2448&gt;=1),1,0)))</f>
        <v/>
      </c>
      <c r="I2448" s="4">
        <f>CHOOSE(H2448+1,"Kein Risiko","Gering","Mittel","Hoch")</f>
        <v/>
      </c>
    </row>
    <row r="2449">
      <c r="A2449" s="4" t="n">
        <v>2445</v>
      </c>
      <c r="B2449" s="4" t="inlineStr">
        <is>
          <t>yes</t>
        </is>
      </c>
      <c r="C2449" s="4" t="inlineStr">
        <is>
          <t>Bovermanns Weg</t>
        </is>
      </c>
      <c r="D2449" s="4" t="inlineStr">
        <is>
          <t>22</t>
        </is>
      </c>
      <c r="E2449" s="13" t="n">
        <v>102.9</v>
      </c>
      <c r="F2449" s="12" t="n">
        <v>0.0200042724609375</v>
      </c>
      <c r="G2449" s="4" t="n">
        <v>0</v>
      </c>
      <c r="H2449" s="4">
        <f>IF(OR(N(F2449)&gt;=0.5,G2449&gt;=4),3,IF(OR(N(F2449)&gt;=0.3,G2449=3),2,IF(OR(N(F2449)&gt;=0.1,G2449&gt;=1),1,0)))</f>
        <v/>
      </c>
      <c r="I2449" s="4">
        <f>CHOOSE(H2449+1,"Kein Risiko","Gering","Mittel","Hoch")</f>
        <v/>
      </c>
    </row>
    <row r="2450">
      <c r="A2450" s="4" t="n">
        <v>2446</v>
      </c>
      <c r="B2450" s="4" t="inlineStr">
        <is>
          <t>yes</t>
        </is>
      </c>
      <c r="C2450" s="4" t="inlineStr"/>
      <c r="D2450" s="4" t="inlineStr"/>
      <c r="E2450" s="13" t="n">
        <v>54.7</v>
      </c>
      <c r="F2450" s="12" t="n">
        <v>0.2599983215332031</v>
      </c>
      <c r="G2450" s="4" t="n">
        <v>0</v>
      </c>
      <c r="H2450" s="4">
        <f>IF(OR(N(F2450)&gt;=0.5,G2450&gt;=4),3,IF(OR(N(F2450)&gt;=0.3,G2450=3),2,IF(OR(N(F2450)&gt;=0.1,G2450&gt;=1),1,0)))</f>
        <v/>
      </c>
      <c r="I2450" s="4">
        <f>CHOOSE(H2450+1,"Kein Risiko","Gering","Mittel","Hoch")</f>
        <v/>
      </c>
    </row>
    <row r="2451">
      <c r="A2451" s="4" t="n">
        <v>2447</v>
      </c>
      <c r="B2451" s="4" t="inlineStr">
        <is>
          <t>yes</t>
        </is>
      </c>
      <c r="C2451" s="4" t="inlineStr"/>
      <c r="D2451" s="4" t="inlineStr"/>
      <c r="E2451" s="13" t="n">
        <v>568.8</v>
      </c>
      <c r="F2451" s="12" t="n">
        <v>0.6699981689453125</v>
      </c>
      <c r="G2451" s="4" t="n">
        <v>0</v>
      </c>
      <c r="H2451" s="4">
        <f>IF(OR(N(F2451)&gt;=0.5,G2451&gt;=4),3,IF(OR(N(F2451)&gt;=0.3,G2451=3),2,IF(OR(N(F2451)&gt;=0.1,G2451&gt;=1),1,0)))</f>
        <v/>
      </c>
      <c r="I2451" s="4">
        <f>CHOOSE(H2451+1,"Kein Risiko","Gering","Mittel","Hoch")</f>
        <v/>
      </c>
    </row>
    <row r="2452">
      <c r="A2452" s="4" t="n">
        <v>2448</v>
      </c>
      <c r="B2452" s="4" t="inlineStr">
        <is>
          <t>yes</t>
        </is>
      </c>
      <c r="C2452" s="4" t="inlineStr"/>
      <c r="D2452" s="4" t="inlineStr"/>
      <c r="E2452" s="13" t="n">
        <v>41.4</v>
      </c>
      <c r="F2452" s="12" t="n">
        <v>0.2299995422363281</v>
      </c>
      <c r="G2452" s="4" t="n">
        <v>0</v>
      </c>
      <c r="H2452" s="4">
        <f>IF(OR(N(F2452)&gt;=0.5,G2452&gt;=4),3,IF(OR(N(F2452)&gt;=0.3,G2452=3),2,IF(OR(N(F2452)&gt;=0.1,G2452&gt;=1),1,0)))</f>
        <v/>
      </c>
      <c r="I2452" s="4">
        <f>CHOOSE(H2452+1,"Kein Risiko","Gering","Mittel","Hoch")</f>
        <v/>
      </c>
    </row>
    <row r="2453">
      <c r="A2453" s="4" t="n">
        <v>2449</v>
      </c>
      <c r="B2453" s="4" t="inlineStr">
        <is>
          <t>yes</t>
        </is>
      </c>
      <c r="C2453" s="4" t="inlineStr"/>
      <c r="D2453" s="4" t="inlineStr"/>
      <c r="E2453" s="13" t="n">
        <v>42</v>
      </c>
      <c r="F2453" s="12" t="n">
        <v>0.3299980163574219</v>
      </c>
      <c r="G2453" s="4" t="n">
        <v>0</v>
      </c>
      <c r="H2453" s="4">
        <f>IF(OR(N(F2453)&gt;=0.5,G2453&gt;=4),3,IF(OR(N(F2453)&gt;=0.3,G2453=3),2,IF(OR(N(F2453)&gt;=0.1,G2453&gt;=1),1,0)))</f>
        <v/>
      </c>
      <c r="I2453" s="4">
        <f>CHOOSE(H2453+1,"Kein Risiko","Gering","Mittel","Hoch")</f>
        <v/>
      </c>
    </row>
    <row r="2454">
      <c r="A2454" s="4" t="n">
        <v>2450</v>
      </c>
      <c r="B2454" s="4" t="inlineStr">
        <is>
          <t>yes</t>
        </is>
      </c>
      <c r="C2454" s="4" t="inlineStr">
        <is>
          <t>Deilbachbrücke</t>
        </is>
      </c>
      <c r="D2454" s="4" t="inlineStr">
        <is>
          <t>1</t>
        </is>
      </c>
      <c r="E2454" s="13" t="n">
        <v>125.3</v>
      </c>
      <c r="F2454" s="12" t="n">
        <v>1.019996643066406</v>
      </c>
      <c r="G2454" s="4" t="n">
        <v>1</v>
      </c>
      <c r="H2454" s="4">
        <f>IF(OR(N(F2454)&gt;=0.5,G2454&gt;=4),3,IF(OR(N(F2454)&gt;=0.3,G2454=3),2,IF(OR(N(F2454)&gt;=0.1,G2454&gt;=1),1,0)))</f>
        <v/>
      </c>
      <c r="I2454" s="4">
        <f>CHOOSE(H2454+1,"Kein Risiko","Gering","Mittel","Hoch")</f>
        <v/>
      </c>
    </row>
    <row r="2455">
      <c r="A2455" s="4" t="n">
        <v>2451</v>
      </c>
      <c r="B2455" s="4" t="inlineStr">
        <is>
          <t>yes</t>
        </is>
      </c>
      <c r="C2455" s="4" t="inlineStr">
        <is>
          <t>Deilbachbrücke</t>
        </is>
      </c>
      <c r="D2455" s="4" t="inlineStr">
        <is>
          <t>4</t>
        </is>
      </c>
      <c r="E2455" s="13" t="n">
        <v>194.7</v>
      </c>
      <c r="F2455" s="12" t="n">
        <v>0</v>
      </c>
      <c r="G2455" s="4" t="n">
        <v>1</v>
      </c>
      <c r="H2455" s="4">
        <f>IF(OR(N(F2455)&gt;=0.5,G2455&gt;=4),3,IF(OR(N(F2455)&gt;=0.3,G2455=3),2,IF(OR(N(F2455)&gt;=0.1,G2455&gt;=1),1,0)))</f>
        <v/>
      </c>
      <c r="I2455" s="4">
        <f>CHOOSE(H2455+1,"Kein Risiko","Gering","Mittel","Hoch")</f>
        <v/>
      </c>
    </row>
    <row r="2456">
      <c r="A2456" s="4" t="n">
        <v>2452</v>
      </c>
      <c r="B2456" s="4" t="inlineStr">
        <is>
          <t>apartments</t>
        </is>
      </c>
      <c r="C2456" s="4" t="inlineStr">
        <is>
          <t>Möllneyer Ufer</t>
        </is>
      </c>
      <c r="D2456" s="4" t="inlineStr">
        <is>
          <t>15</t>
        </is>
      </c>
      <c r="E2456" s="13" t="n">
        <v>299.8</v>
      </c>
      <c r="F2456" s="12" t="n">
        <v>0.03000259399414062</v>
      </c>
      <c r="G2456" s="4" t="n">
        <v>0</v>
      </c>
      <c r="H2456" s="4">
        <f>IF(OR(N(F2456)&gt;=0.5,G2456&gt;=4),3,IF(OR(N(F2456)&gt;=0.3,G2456=3),2,IF(OR(N(F2456)&gt;=0.1,G2456&gt;=1),1,0)))</f>
        <v/>
      </c>
      <c r="I2456" s="4">
        <f>CHOOSE(H2456+1,"Kein Risiko","Gering","Mittel","Hoch")</f>
        <v/>
      </c>
    </row>
    <row r="2457">
      <c r="A2457" s="4" t="n">
        <v>2453</v>
      </c>
      <c r="B2457" s="4" t="inlineStr">
        <is>
          <t>yes</t>
        </is>
      </c>
      <c r="C2457" s="4" t="inlineStr"/>
      <c r="D2457" s="4" t="inlineStr"/>
      <c r="E2457" s="13" t="n">
        <v>87.90000000000001</v>
      </c>
      <c r="F2457" s="12" t="n">
        <v>0.30999755859375</v>
      </c>
      <c r="G2457" s="4" t="n">
        <v>4</v>
      </c>
      <c r="H2457" s="4">
        <f>IF(OR(N(F2457)&gt;=0.5,G2457&gt;=4),3,IF(OR(N(F2457)&gt;=0.3,G2457=3),2,IF(OR(N(F2457)&gt;=0.1,G2457&gt;=1),1,0)))</f>
        <v/>
      </c>
      <c r="I2457" s="4">
        <f>CHOOSE(H2457+1,"Kein Risiko","Gering","Mittel","Hoch")</f>
        <v/>
      </c>
    </row>
    <row r="2458">
      <c r="A2458" s="4" t="n">
        <v>2454</v>
      </c>
      <c r="B2458" s="4" t="inlineStr">
        <is>
          <t>yes</t>
        </is>
      </c>
      <c r="C2458" s="4" t="inlineStr"/>
      <c r="D2458" s="4" t="inlineStr"/>
      <c r="E2458" s="13" t="n">
        <v>227</v>
      </c>
      <c r="F2458" s="12" t="n">
        <v>0.5099983215332031</v>
      </c>
      <c r="G2458" s="4" t="n">
        <v>1</v>
      </c>
      <c r="H2458" s="4">
        <f>IF(OR(N(F2458)&gt;=0.5,G2458&gt;=4),3,IF(OR(N(F2458)&gt;=0.3,G2458=3),2,IF(OR(N(F2458)&gt;=0.1,G2458&gt;=1),1,0)))</f>
        <v/>
      </c>
      <c r="I2458" s="4">
        <f>CHOOSE(H2458+1,"Kein Risiko","Gering","Mittel","Hoch")</f>
        <v/>
      </c>
    </row>
    <row r="2459">
      <c r="A2459" s="4" t="n">
        <v>2455</v>
      </c>
      <c r="B2459" s="4" t="inlineStr">
        <is>
          <t>yes</t>
        </is>
      </c>
      <c r="C2459" s="4" t="inlineStr"/>
      <c r="D2459" s="4" t="inlineStr"/>
      <c r="E2459" s="13" t="n">
        <v>130.7</v>
      </c>
      <c r="F2459" s="12" t="n">
        <v>0.279998779296875</v>
      </c>
      <c r="G2459" s="4" t="n">
        <v>1</v>
      </c>
      <c r="H2459" s="4">
        <f>IF(OR(N(F2459)&gt;=0.5,G2459&gt;=4),3,IF(OR(N(F2459)&gt;=0.3,G2459=3),2,IF(OR(N(F2459)&gt;=0.1,G2459&gt;=1),1,0)))</f>
        <v/>
      </c>
      <c r="I2459" s="4">
        <f>CHOOSE(H2459+1,"Kein Risiko","Gering","Mittel","Hoch")</f>
        <v/>
      </c>
    </row>
    <row r="2460">
      <c r="A2460" s="4" t="n">
        <v>2456</v>
      </c>
      <c r="B2460" s="4" t="inlineStr">
        <is>
          <t>yes</t>
        </is>
      </c>
      <c r="C2460" s="4" t="inlineStr"/>
      <c r="D2460" s="4" t="inlineStr"/>
      <c r="E2460" s="13" t="n">
        <v>144</v>
      </c>
      <c r="F2460" s="12" t="n">
        <v>0.01000213623046875</v>
      </c>
      <c r="G2460" s="4" t="n">
        <v>0</v>
      </c>
      <c r="H2460" s="4">
        <f>IF(OR(N(F2460)&gt;=0.5,G2460&gt;=4),3,IF(OR(N(F2460)&gt;=0.3,G2460=3),2,IF(OR(N(F2460)&gt;=0.1,G2460&gt;=1),1,0)))</f>
        <v/>
      </c>
      <c r="I2460" s="4">
        <f>CHOOSE(H2460+1,"Kein Risiko","Gering","Mittel","Hoch")</f>
        <v/>
      </c>
    </row>
    <row r="2461">
      <c r="A2461" s="4" t="n">
        <v>2457</v>
      </c>
      <c r="B2461" s="4" t="inlineStr">
        <is>
          <t>yes</t>
        </is>
      </c>
      <c r="C2461" s="4" t="inlineStr"/>
      <c r="D2461" s="4" t="inlineStr"/>
      <c r="E2461" s="13" t="n">
        <v>4.7</v>
      </c>
      <c r="F2461" s="12" t="n">
        <v>0.05999755859375</v>
      </c>
      <c r="G2461" s="4" t="n">
        <v>0</v>
      </c>
      <c r="H2461" s="4">
        <f>IF(OR(N(F2461)&gt;=0.5,G2461&gt;=4),3,IF(OR(N(F2461)&gt;=0.3,G2461=3),2,IF(OR(N(F2461)&gt;=0.1,G2461&gt;=1),1,0)))</f>
        <v/>
      </c>
      <c r="I2461" s="4">
        <f>CHOOSE(H2461+1,"Kein Risiko","Gering","Mittel","Hoch")</f>
        <v/>
      </c>
    </row>
    <row r="2462">
      <c r="A2462" s="4" t="n">
        <v>2458</v>
      </c>
      <c r="B2462" s="4" t="inlineStr">
        <is>
          <t>yes</t>
        </is>
      </c>
      <c r="C2462" s="4" t="inlineStr"/>
      <c r="D2462" s="4" t="inlineStr"/>
      <c r="E2462" s="13" t="n">
        <v>15</v>
      </c>
      <c r="F2462" s="12" t="n">
        <v>0</v>
      </c>
      <c r="G2462" s="4" t="n">
        <v>0</v>
      </c>
      <c r="H2462" s="4">
        <f>IF(OR(N(F2462)&gt;=0.5,G2462&gt;=4),3,IF(OR(N(F2462)&gt;=0.3,G2462=3),2,IF(OR(N(F2462)&gt;=0.1,G2462&gt;=1),1,0)))</f>
        <v/>
      </c>
      <c r="I2462" s="4">
        <f>CHOOSE(H2462+1,"Kein Risiko","Gering","Mittel","Hoch")</f>
        <v/>
      </c>
    </row>
    <row r="2463">
      <c r="A2463" s="4" t="n">
        <v>2459</v>
      </c>
      <c r="B2463" s="4" t="inlineStr">
        <is>
          <t>yes</t>
        </is>
      </c>
      <c r="C2463" s="4" t="inlineStr"/>
      <c r="D2463" s="4" t="inlineStr"/>
      <c r="E2463" s="13" t="n">
        <v>45.5</v>
      </c>
      <c r="F2463" s="12" t="n">
        <v>0.8299980163574219</v>
      </c>
      <c r="G2463" s="4" t="n">
        <v>4</v>
      </c>
      <c r="H2463" s="4">
        <f>IF(OR(N(F2463)&gt;=0.5,G2463&gt;=4),3,IF(OR(N(F2463)&gt;=0.3,G2463=3),2,IF(OR(N(F2463)&gt;=0.1,G2463&gt;=1),1,0)))</f>
        <v/>
      </c>
      <c r="I2463" s="4">
        <f>CHOOSE(H2463+1,"Kein Risiko","Gering","Mittel","Hoch")</f>
        <v/>
      </c>
    </row>
    <row r="2464">
      <c r="A2464" s="4" t="n">
        <v>2460</v>
      </c>
      <c r="B2464" s="4" t="inlineStr">
        <is>
          <t>yes</t>
        </is>
      </c>
      <c r="C2464" s="4" t="inlineStr"/>
      <c r="D2464" s="4" t="inlineStr"/>
      <c r="E2464" s="13" t="n">
        <v>26</v>
      </c>
      <c r="F2464" s="12" t="n">
        <v>0.029998779296875</v>
      </c>
      <c r="G2464" s="4" t="n">
        <v>0</v>
      </c>
      <c r="H2464" s="4">
        <f>IF(OR(N(F2464)&gt;=0.5,G2464&gt;=4),3,IF(OR(N(F2464)&gt;=0.3,G2464=3),2,IF(OR(N(F2464)&gt;=0.1,G2464&gt;=1),1,0)))</f>
        <v/>
      </c>
      <c r="I2464" s="4">
        <f>CHOOSE(H2464+1,"Kein Risiko","Gering","Mittel","Hoch")</f>
        <v/>
      </c>
    </row>
    <row r="2465">
      <c r="A2465" s="4" t="n">
        <v>2461</v>
      </c>
      <c r="B2465" s="4" t="inlineStr">
        <is>
          <t>yes</t>
        </is>
      </c>
      <c r="C2465" s="4" t="inlineStr"/>
      <c r="D2465" s="4" t="inlineStr"/>
      <c r="E2465" s="13" t="n">
        <v>31.1</v>
      </c>
      <c r="F2465" s="12" t="n">
        <v>0</v>
      </c>
      <c r="G2465" s="4" t="n">
        <v>3</v>
      </c>
      <c r="H2465" s="4">
        <f>IF(OR(N(F2465)&gt;=0.5,G2465&gt;=4),3,IF(OR(N(F2465)&gt;=0.3,G2465=3),2,IF(OR(N(F2465)&gt;=0.1,G2465&gt;=1),1,0)))</f>
        <v/>
      </c>
      <c r="I2465" s="4">
        <f>CHOOSE(H2465+1,"Kein Risiko","Gering","Mittel","Hoch")</f>
        <v/>
      </c>
    </row>
    <row r="2466">
      <c r="A2466" s="4" t="n">
        <v>2462</v>
      </c>
      <c r="B2466" s="4" t="inlineStr">
        <is>
          <t>yes</t>
        </is>
      </c>
      <c r="C2466" s="4" t="inlineStr"/>
      <c r="D2466" s="4" t="inlineStr"/>
      <c r="E2466" s="13" t="n">
        <v>90.5</v>
      </c>
      <c r="F2466" s="12" t="n">
        <v>0.279998779296875</v>
      </c>
      <c r="G2466" s="4" t="n">
        <v>4</v>
      </c>
      <c r="H2466" s="4">
        <f>IF(OR(N(F2466)&gt;=0.5,G2466&gt;=4),3,IF(OR(N(F2466)&gt;=0.3,G2466=3),2,IF(OR(N(F2466)&gt;=0.1,G2466&gt;=1),1,0)))</f>
        <v/>
      </c>
      <c r="I2466" s="4">
        <f>CHOOSE(H2466+1,"Kein Risiko","Gering","Mittel","Hoch")</f>
        <v/>
      </c>
    </row>
    <row r="2467">
      <c r="A2467" s="4" t="n">
        <v>2463</v>
      </c>
      <c r="B2467" s="4" t="inlineStr">
        <is>
          <t>yes</t>
        </is>
      </c>
      <c r="C2467" s="4" t="inlineStr"/>
      <c r="D2467" s="4" t="inlineStr"/>
      <c r="E2467" s="13" t="n">
        <v>44.1</v>
      </c>
      <c r="F2467" s="12" t="n">
        <v>0</v>
      </c>
      <c r="G2467" s="4" t="n">
        <v>0</v>
      </c>
      <c r="H2467" s="4">
        <f>IF(OR(N(F2467)&gt;=0.5,G2467&gt;=4),3,IF(OR(N(F2467)&gt;=0.3,G2467=3),2,IF(OR(N(F2467)&gt;=0.1,G2467&gt;=1),1,0)))</f>
        <v/>
      </c>
      <c r="I2467" s="4">
        <f>CHOOSE(H2467+1,"Kein Risiko","Gering","Mittel","Hoch")</f>
        <v/>
      </c>
    </row>
    <row r="2468">
      <c r="A2468" s="4" t="n">
        <v>2464</v>
      </c>
      <c r="B2468" s="4" t="inlineStr">
        <is>
          <t>yes</t>
        </is>
      </c>
      <c r="C2468" s="4" t="inlineStr">
        <is>
          <t>Kupferdreher Straße</t>
        </is>
      </c>
      <c r="D2468" s="4" t="inlineStr">
        <is>
          <t>250a</t>
        </is>
      </c>
      <c r="E2468" s="13" t="n">
        <v>66.7</v>
      </c>
      <c r="F2468" s="12" t="n">
        <v>0.5</v>
      </c>
      <c r="G2468" s="4" t="n">
        <v>1</v>
      </c>
      <c r="H2468" s="4">
        <f>IF(OR(N(F2468)&gt;=0.5,G2468&gt;=4),3,IF(OR(N(F2468)&gt;=0.3,G2468=3),2,IF(OR(N(F2468)&gt;=0.1,G2468&gt;=1),1,0)))</f>
        <v/>
      </c>
      <c r="I2468" s="4">
        <f>CHOOSE(H2468+1,"Kein Risiko","Gering","Mittel","Hoch")</f>
        <v/>
      </c>
    </row>
    <row r="2469">
      <c r="A2469" s="4" t="n">
        <v>2465</v>
      </c>
      <c r="B2469" s="4" t="inlineStr">
        <is>
          <t>yes</t>
        </is>
      </c>
      <c r="C2469" s="4" t="inlineStr"/>
      <c r="D2469" s="4" t="inlineStr"/>
      <c r="E2469" s="13" t="n">
        <v>30.1</v>
      </c>
      <c r="F2469" s="12" t="n">
        <v>0</v>
      </c>
      <c r="G2469" s="4" t="n">
        <v>0</v>
      </c>
      <c r="H2469" s="4">
        <f>IF(OR(N(F2469)&gt;=0.5,G2469&gt;=4),3,IF(OR(N(F2469)&gt;=0.3,G2469=3),2,IF(OR(N(F2469)&gt;=0.1,G2469&gt;=1),1,0)))</f>
        <v/>
      </c>
      <c r="I2469" s="4">
        <f>CHOOSE(H2469+1,"Kein Risiko","Gering","Mittel","Hoch")</f>
        <v/>
      </c>
    </row>
    <row r="2470">
      <c r="A2470" s="4" t="n">
        <v>2466</v>
      </c>
      <c r="B2470" s="4" t="inlineStr">
        <is>
          <t>yes</t>
        </is>
      </c>
      <c r="C2470" s="4" t="inlineStr"/>
      <c r="D2470" s="4" t="inlineStr"/>
      <c r="E2470" s="13" t="n">
        <v>76.8</v>
      </c>
      <c r="F2470" s="12" t="n">
        <v>0</v>
      </c>
      <c r="G2470" s="4" t="n">
        <v>0</v>
      </c>
      <c r="H2470" s="4">
        <f>IF(OR(N(F2470)&gt;=0.5,G2470&gt;=4),3,IF(OR(N(F2470)&gt;=0.3,G2470=3),2,IF(OR(N(F2470)&gt;=0.1,G2470&gt;=1),1,0)))</f>
        <v/>
      </c>
      <c r="I2470" s="4">
        <f>CHOOSE(H2470+1,"Kein Risiko","Gering","Mittel","Hoch")</f>
        <v/>
      </c>
    </row>
    <row r="2471">
      <c r="A2471" s="4" t="n">
        <v>2467</v>
      </c>
      <c r="B2471" s="4" t="inlineStr">
        <is>
          <t>yes</t>
        </is>
      </c>
      <c r="C2471" s="4" t="inlineStr">
        <is>
          <t>Dilldorfer Straße</t>
        </is>
      </c>
      <c r="D2471" s="4" t="inlineStr">
        <is>
          <t>25</t>
        </is>
      </c>
      <c r="E2471" s="13" t="n">
        <v>89.7</v>
      </c>
      <c r="F2471" s="12" t="n">
        <v>0</v>
      </c>
      <c r="G2471" s="4" t="n">
        <v>0</v>
      </c>
      <c r="H2471" s="4">
        <f>IF(OR(N(F2471)&gt;=0.5,G2471&gt;=4),3,IF(OR(N(F2471)&gt;=0.3,G2471=3),2,IF(OR(N(F2471)&gt;=0.1,G2471&gt;=1),1,0)))</f>
        <v/>
      </c>
      <c r="I2471" s="4">
        <f>CHOOSE(H2471+1,"Kein Risiko","Gering","Mittel","Hoch")</f>
        <v/>
      </c>
    </row>
    <row r="2472">
      <c r="A2472" s="4" t="n">
        <v>2468</v>
      </c>
      <c r="B2472" s="4" t="inlineStr">
        <is>
          <t>yes</t>
        </is>
      </c>
      <c r="C2472" s="4" t="inlineStr"/>
      <c r="D2472" s="4" t="inlineStr"/>
      <c r="E2472" s="13" t="n">
        <v>32.2</v>
      </c>
      <c r="F2472" s="12" t="n">
        <v>0</v>
      </c>
      <c r="G2472" s="4" t="n">
        <v>0</v>
      </c>
      <c r="H2472" s="4">
        <f>IF(OR(N(F2472)&gt;=0.5,G2472&gt;=4),3,IF(OR(N(F2472)&gt;=0.3,G2472=3),2,IF(OR(N(F2472)&gt;=0.1,G2472&gt;=1),1,0)))</f>
        <v/>
      </c>
      <c r="I2472" s="4">
        <f>CHOOSE(H2472+1,"Kein Risiko","Gering","Mittel","Hoch")</f>
        <v/>
      </c>
    </row>
    <row r="2473">
      <c r="A2473" s="4" t="n">
        <v>2469</v>
      </c>
      <c r="B2473" s="4" t="inlineStr">
        <is>
          <t>yes</t>
        </is>
      </c>
      <c r="C2473" s="4" t="inlineStr"/>
      <c r="D2473" s="4" t="inlineStr"/>
      <c r="E2473" s="13" t="n">
        <v>54.6</v>
      </c>
      <c r="F2473" s="12" t="n">
        <v>0</v>
      </c>
      <c r="G2473" s="4" t="n">
        <v>0</v>
      </c>
      <c r="H2473" s="4">
        <f>IF(OR(N(F2473)&gt;=0.5,G2473&gt;=4),3,IF(OR(N(F2473)&gt;=0.3,G2473=3),2,IF(OR(N(F2473)&gt;=0.1,G2473&gt;=1),1,0)))</f>
        <v/>
      </c>
      <c r="I2473" s="4">
        <f>CHOOSE(H2473+1,"Kein Risiko","Gering","Mittel","Hoch")</f>
        <v/>
      </c>
    </row>
    <row r="2474">
      <c r="A2474" s="4" t="n">
        <v>2470</v>
      </c>
      <c r="B2474" s="4" t="inlineStr">
        <is>
          <t>yes</t>
        </is>
      </c>
      <c r="C2474" s="4" t="inlineStr"/>
      <c r="D2474" s="4" t="inlineStr"/>
      <c r="E2474" s="13" t="n">
        <v>31.7</v>
      </c>
      <c r="F2474" s="12" t="n">
        <v>0</v>
      </c>
      <c r="G2474" s="4" t="n">
        <v>0</v>
      </c>
      <c r="H2474" s="4">
        <f>IF(OR(N(F2474)&gt;=0.5,G2474&gt;=4),3,IF(OR(N(F2474)&gt;=0.3,G2474=3),2,IF(OR(N(F2474)&gt;=0.1,G2474&gt;=1),1,0)))</f>
        <v/>
      </c>
      <c r="I2474" s="4">
        <f>CHOOSE(H2474+1,"Kein Risiko","Gering","Mittel","Hoch")</f>
        <v/>
      </c>
    </row>
    <row r="2475">
      <c r="A2475" s="4" t="n">
        <v>2471</v>
      </c>
      <c r="B2475" s="4" t="inlineStr">
        <is>
          <t>yes</t>
        </is>
      </c>
      <c r="C2475" s="4" t="inlineStr">
        <is>
          <t>Dixbäume</t>
        </is>
      </c>
      <c r="D2475" s="4" t="inlineStr">
        <is>
          <t>87b</t>
        </is>
      </c>
      <c r="E2475" s="13" t="n">
        <v>79.2</v>
      </c>
      <c r="F2475" s="12" t="n">
        <v>0</v>
      </c>
      <c r="G2475" s="4" t="n">
        <v>2</v>
      </c>
      <c r="H2475" s="4">
        <f>IF(OR(N(F2475)&gt;=0.5,G2475&gt;=4),3,IF(OR(N(F2475)&gt;=0.3,G2475=3),2,IF(OR(N(F2475)&gt;=0.1,G2475&gt;=1),1,0)))</f>
        <v/>
      </c>
      <c r="I2475" s="4">
        <f>CHOOSE(H2475+1,"Kein Risiko","Gering","Mittel","Hoch")</f>
        <v/>
      </c>
    </row>
    <row r="2476">
      <c r="A2476" s="4" t="n">
        <v>2472</v>
      </c>
      <c r="B2476" s="4" t="inlineStr">
        <is>
          <t>yes</t>
        </is>
      </c>
      <c r="C2476" s="4" t="inlineStr">
        <is>
          <t>Eisenhammerweg</t>
        </is>
      </c>
      <c r="D2476" s="4" t="inlineStr">
        <is>
          <t>25b</t>
        </is>
      </c>
      <c r="E2476" s="13" t="n">
        <v>57</v>
      </c>
      <c r="F2476" s="12" t="n">
        <v>0</v>
      </c>
      <c r="G2476" s="4" t="n">
        <v>0</v>
      </c>
      <c r="H2476" s="4">
        <f>IF(OR(N(F2476)&gt;=0.5,G2476&gt;=4),3,IF(OR(N(F2476)&gt;=0.3,G2476=3),2,IF(OR(N(F2476)&gt;=0.1,G2476&gt;=1),1,0)))</f>
        <v/>
      </c>
      <c r="I2476" s="4">
        <f>CHOOSE(H2476+1,"Kein Risiko","Gering","Mittel","Hoch")</f>
        <v/>
      </c>
    </row>
    <row r="2477">
      <c r="A2477" s="4" t="n">
        <v>2473</v>
      </c>
      <c r="B2477" s="4" t="inlineStr">
        <is>
          <t>yes</t>
        </is>
      </c>
      <c r="C2477" s="4" t="inlineStr"/>
      <c r="D2477" s="4" t="inlineStr"/>
      <c r="E2477" s="13" t="n">
        <v>2376.8</v>
      </c>
      <c r="F2477" s="12" t="n">
        <v>0.3899993896484375</v>
      </c>
      <c r="G2477" s="4" t="n">
        <v>1</v>
      </c>
      <c r="H2477" s="4">
        <f>IF(OR(N(F2477)&gt;=0.5,G2477&gt;=4),3,IF(OR(N(F2477)&gt;=0.3,G2477=3),2,IF(OR(N(F2477)&gt;=0.1,G2477&gt;=1),1,0)))</f>
        <v/>
      </c>
      <c r="I2477" s="4">
        <f>CHOOSE(H2477+1,"Kein Risiko","Gering","Mittel","Hoch")</f>
        <v/>
      </c>
    </row>
    <row r="2478">
      <c r="A2478" s="4" t="n">
        <v>2474</v>
      </c>
      <c r="B2478" s="4" t="inlineStr">
        <is>
          <t>yes</t>
        </is>
      </c>
      <c r="C2478" s="4" t="inlineStr">
        <is>
          <t>Gasstraße</t>
        </is>
      </c>
      <c r="D2478" s="4" t="inlineStr">
        <is>
          <t>14</t>
        </is>
      </c>
      <c r="E2478" s="13" t="n">
        <v>103</v>
      </c>
      <c r="F2478" s="12" t="n">
        <v>0</v>
      </c>
      <c r="G2478" s="4" t="n">
        <v>0</v>
      </c>
      <c r="H2478" s="4">
        <f>IF(OR(N(F2478)&gt;=0.5,G2478&gt;=4),3,IF(OR(N(F2478)&gt;=0.3,G2478=3),2,IF(OR(N(F2478)&gt;=0.1,G2478&gt;=1),1,0)))</f>
        <v/>
      </c>
      <c r="I2478" s="4">
        <f>CHOOSE(H2478+1,"Kein Risiko","Gering","Mittel","Hoch")</f>
        <v/>
      </c>
    </row>
    <row r="2479">
      <c r="A2479" s="4" t="n">
        <v>2475</v>
      </c>
      <c r="B2479" s="4" t="inlineStr">
        <is>
          <t>yes</t>
        </is>
      </c>
      <c r="C2479" s="4" t="inlineStr">
        <is>
          <t>Gillesweg</t>
        </is>
      </c>
      <c r="D2479" s="4" t="inlineStr">
        <is>
          <t>3</t>
        </is>
      </c>
      <c r="E2479" s="13" t="n">
        <v>96.7</v>
      </c>
      <c r="F2479" s="12" t="n">
        <v>0</v>
      </c>
      <c r="G2479" s="4" t="n">
        <v>0</v>
      </c>
      <c r="H2479" s="4">
        <f>IF(OR(N(F2479)&gt;=0.5,G2479&gt;=4),3,IF(OR(N(F2479)&gt;=0.3,G2479=3),2,IF(OR(N(F2479)&gt;=0.1,G2479&gt;=1),1,0)))</f>
        <v/>
      </c>
      <c r="I2479" s="4">
        <f>CHOOSE(H2479+1,"Kein Risiko","Gering","Mittel","Hoch")</f>
        <v/>
      </c>
    </row>
    <row r="2480">
      <c r="A2480" s="4" t="n">
        <v>2476</v>
      </c>
      <c r="B2480" s="4" t="inlineStr">
        <is>
          <t>yes</t>
        </is>
      </c>
      <c r="C2480" s="4" t="inlineStr"/>
      <c r="D2480" s="4" t="inlineStr"/>
      <c r="E2480" s="13" t="n">
        <v>33.6</v>
      </c>
      <c r="F2480" s="12" t="n">
        <v>0.01000213623046875</v>
      </c>
      <c r="G2480" s="4" t="n">
        <v>0</v>
      </c>
      <c r="H2480" s="4">
        <f>IF(OR(N(F2480)&gt;=0.5,G2480&gt;=4),3,IF(OR(N(F2480)&gt;=0.3,G2480=3),2,IF(OR(N(F2480)&gt;=0.1,G2480&gt;=1),1,0)))</f>
        <v/>
      </c>
      <c r="I2480" s="4">
        <f>CHOOSE(H2480+1,"Kein Risiko","Gering","Mittel","Hoch")</f>
        <v/>
      </c>
    </row>
    <row r="2481">
      <c r="A2481" s="4" t="n">
        <v>2477</v>
      </c>
      <c r="B2481" s="4" t="inlineStr">
        <is>
          <t>yes</t>
        </is>
      </c>
      <c r="C2481" s="4" t="inlineStr"/>
      <c r="D2481" s="4" t="inlineStr"/>
      <c r="E2481" s="13" t="n">
        <v>35.1</v>
      </c>
      <c r="F2481" s="12" t="n">
        <v>0</v>
      </c>
      <c r="G2481" s="4" t="n">
        <v>2</v>
      </c>
      <c r="H2481" s="4">
        <f>IF(OR(N(F2481)&gt;=0.5,G2481&gt;=4),3,IF(OR(N(F2481)&gt;=0.3,G2481=3),2,IF(OR(N(F2481)&gt;=0.1,G2481&gt;=1),1,0)))</f>
        <v/>
      </c>
      <c r="I2481" s="4">
        <f>CHOOSE(H2481+1,"Kein Risiko","Gering","Mittel","Hoch")</f>
        <v/>
      </c>
    </row>
    <row r="2482">
      <c r="A2482" s="4" t="n">
        <v>2478</v>
      </c>
      <c r="B2482" s="4" t="inlineStr">
        <is>
          <t>yes</t>
        </is>
      </c>
      <c r="C2482" s="4" t="inlineStr"/>
      <c r="D2482" s="4" t="inlineStr"/>
      <c r="E2482" s="13" t="n">
        <v>23.3</v>
      </c>
      <c r="F2482" s="12" t="n">
        <v>0</v>
      </c>
      <c r="G2482" s="4" t="n">
        <v>0</v>
      </c>
      <c r="H2482" s="4">
        <f>IF(OR(N(F2482)&gt;=0.5,G2482&gt;=4),3,IF(OR(N(F2482)&gt;=0.3,G2482=3),2,IF(OR(N(F2482)&gt;=0.1,G2482&gt;=1),1,0)))</f>
        <v/>
      </c>
      <c r="I2482" s="4">
        <f>CHOOSE(H2482+1,"Kein Risiko","Gering","Mittel","Hoch")</f>
        <v/>
      </c>
    </row>
    <row r="2483">
      <c r="A2483" s="4" t="n">
        <v>2479</v>
      </c>
      <c r="B2483" s="4" t="inlineStr">
        <is>
          <t>yes</t>
        </is>
      </c>
      <c r="C2483" s="4" t="inlineStr">
        <is>
          <t>Grotestraße</t>
        </is>
      </c>
      <c r="D2483" s="4" t="inlineStr">
        <is>
          <t>4c</t>
        </is>
      </c>
      <c r="E2483" s="13" t="n">
        <v>79.59999999999999</v>
      </c>
      <c r="F2483" s="12" t="n">
        <v>0</v>
      </c>
      <c r="G2483" s="4" t="n">
        <v>0</v>
      </c>
      <c r="H2483" s="4">
        <f>IF(OR(N(F2483)&gt;=0.5,G2483&gt;=4),3,IF(OR(N(F2483)&gt;=0.3,G2483=3),2,IF(OR(N(F2483)&gt;=0.1,G2483&gt;=1),1,0)))</f>
        <v/>
      </c>
      <c r="I2483" s="4">
        <f>CHOOSE(H2483+1,"Kein Risiko","Gering","Mittel","Hoch")</f>
        <v/>
      </c>
    </row>
    <row r="2484">
      <c r="A2484" s="4" t="n">
        <v>2480</v>
      </c>
      <c r="B2484" s="4" t="inlineStr">
        <is>
          <t>school</t>
        </is>
      </c>
      <c r="C2484" s="4" t="inlineStr"/>
      <c r="D2484" s="4" t="inlineStr"/>
      <c r="E2484" s="13" t="n">
        <v>11.6</v>
      </c>
      <c r="F2484" s="12" t="n">
        <v>0</v>
      </c>
      <c r="G2484" s="4" t="n">
        <v>1</v>
      </c>
      <c r="H2484" s="4">
        <f>IF(OR(N(F2484)&gt;=0.5,G2484&gt;=4),3,IF(OR(N(F2484)&gt;=0.3,G2484=3),2,IF(OR(N(F2484)&gt;=0.1,G2484&gt;=1),1,0)))</f>
        <v/>
      </c>
      <c r="I2484" s="4">
        <f>CHOOSE(H2484+1,"Kein Risiko","Gering","Mittel","Hoch")</f>
        <v/>
      </c>
    </row>
    <row r="2485">
      <c r="A2485" s="4" t="n">
        <v>2481</v>
      </c>
      <c r="B2485" s="4" t="inlineStr">
        <is>
          <t>school</t>
        </is>
      </c>
      <c r="C2485" s="4" t="inlineStr"/>
      <c r="D2485" s="4" t="inlineStr"/>
      <c r="E2485" s="13" t="n">
        <v>9.4</v>
      </c>
      <c r="F2485" s="12" t="n">
        <v>0</v>
      </c>
      <c r="G2485" s="4" t="n">
        <v>0</v>
      </c>
      <c r="H2485" s="4">
        <f>IF(OR(N(F2485)&gt;=0.5,G2485&gt;=4),3,IF(OR(N(F2485)&gt;=0.3,G2485=3),2,IF(OR(N(F2485)&gt;=0.1,G2485&gt;=1),1,0)))</f>
        <v/>
      </c>
      <c r="I2485" s="4">
        <f>CHOOSE(H2485+1,"Kein Risiko","Gering","Mittel","Hoch")</f>
        <v/>
      </c>
    </row>
    <row r="2486">
      <c r="A2486" s="4" t="n">
        <v>2482</v>
      </c>
      <c r="B2486" s="4" t="inlineStr">
        <is>
          <t>yes</t>
        </is>
      </c>
      <c r="C2486" s="4" t="inlineStr"/>
      <c r="D2486" s="4" t="inlineStr"/>
      <c r="E2486" s="13" t="n">
        <v>120.9</v>
      </c>
      <c r="F2486" s="12" t="n">
        <v>0</v>
      </c>
      <c r="G2486" s="4" t="n">
        <v>0</v>
      </c>
      <c r="H2486" s="4">
        <f>IF(OR(N(F2486)&gt;=0.5,G2486&gt;=4),3,IF(OR(N(F2486)&gt;=0.3,G2486=3),2,IF(OR(N(F2486)&gt;=0.1,G2486&gt;=1),1,0)))</f>
        <v/>
      </c>
      <c r="I2486" s="4">
        <f>CHOOSE(H2486+1,"Kein Risiko","Gering","Mittel","Hoch")</f>
        <v/>
      </c>
    </row>
    <row r="2487">
      <c r="A2487" s="4" t="n">
        <v>2483</v>
      </c>
      <c r="B2487" s="4" t="inlineStr">
        <is>
          <t>yes</t>
        </is>
      </c>
      <c r="C2487" s="4" t="inlineStr">
        <is>
          <t>Am Wieselbach</t>
        </is>
      </c>
      <c r="D2487" s="4" t="inlineStr">
        <is>
          <t>11</t>
        </is>
      </c>
      <c r="E2487" s="13" t="n">
        <v>156.1</v>
      </c>
      <c r="F2487" s="12" t="n"/>
      <c r="G2487" s="4" t="n">
        <v>0</v>
      </c>
      <c r="H2487" s="4">
        <f>IF(OR(N(F2487)&gt;=0.5,G2487&gt;=4),3,IF(OR(N(F2487)&gt;=0.3,G2487=3),2,IF(OR(N(F2487)&gt;=0.1,G2487&gt;=1),1,0)))</f>
        <v/>
      </c>
      <c r="I2487" s="4">
        <f>CHOOSE(H2487+1,"Kein Risiko","Gering","Mittel","Hoch")</f>
        <v/>
      </c>
    </row>
    <row r="2488">
      <c r="A2488" s="4" t="n">
        <v>2484</v>
      </c>
      <c r="B2488" s="4" t="inlineStr">
        <is>
          <t>yes</t>
        </is>
      </c>
      <c r="C2488" s="4" t="inlineStr">
        <is>
          <t>Byfanger Straße</t>
        </is>
      </c>
      <c r="D2488" s="4" t="inlineStr">
        <is>
          <t>259</t>
        </is>
      </c>
      <c r="E2488" s="13" t="n">
        <v>92.59999999999999</v>
      </c>
      <c r="F2488" s="12" t="n">
        <v>0</v>
      </c>
      <c r="G2488" s="4" t="n">
        <v>0</v>
      </c>
      <c r="H2488" s="4">
        <f>IF(OR(N(F2488)&gt;=0.5,G2488&gt;=4),3,IF(OR(N(F2488)&gt;=0.3,G2488=3),2,IF(OR(N(F2488)&gt;=0.1,G2488&gt;=1),1,0)))</f>
        <v/>
      </c>
      <c r="I2488" s="4">
        <f>CHOOSE(H2488+1,"Kein Risiko","Gering","Mittel","Hoch")</f>
        <v/>
      </c>
    </row>
    <row r="2489">
      <c r="A2489" s="4" t="n">
        <v>2485</v>
      </c>
      <c r="B2489" s="4" t="inlineStr">
        <is>
          <t>garage</t>
        </is>
      </c>
      <c r="C2489" s="4" t="inlineStr"/>
      <c r="D2489" s="4" t="inlineStr"/>
      <c r="E2489" s="13" t="n">
        <v>16.8</v>
      </c>
      <c r="F2489" s="12" t="n">
        <v>0</v>
      </c>
      <c r="G2489" s="4" t="n">
        <v>0</v>
      </c>
      <c r="H2489" s="4">
        <f>IF(OR(N(F2489)&gt;=0.5,G2489&gt;=4),3,IF(OR(N(F2489)&gt;=0.3,G2489=3),2,IF(OR(N(F2489)&gt;=0.1,G2489&gt;=1),1,0)))</f>
        <v/>
      </c>
      <c r="I2489" s="4">
        <f>CHOOSE(H2489+1,"Kein Risiko","Gering","Mittel","Hoch")</f>
        <v/>
      </c>
    </row>
    <row r="2490">
      <c r="A2490" s="4" t="n">
        <v>2486</v>
      </c>
      <c r="B2490" s="4" t="inlineStr">
        <is>
          <t>yes</t>
        </is>
      </c>
      <c r="C2490" s="4" t="inlineStr"/>
      <c r="D2490" s="4" t="inlineStr"/>
      <c r="E2490" s="13" t="n">
        <v>24</v>
      </c>
      <c r="F2490" s="12" t="n">
        <v>0</v>
      </c>
      <c r="G2490" s="4" t="n">
        <v>2</v>
      </c>
      <c r="H2490" s="4">
        <f>IF(OR(N(F2490)&gt;=0.5,G2490&gt;=4),3,IF(OR(N(F2490)&gt;=0.3,G2490=3),2,IF(OR(N(F2490)&gt;=0.1,G2490&gt;=1),1,0)))</f>
        <v/>
      </c>
      <c r="I2490" s="4">
        <f>CHOOSE(H2490+1,"Kein Risiko","Gering","Mittel","Hoch")</f>
        <v/>
      </c>
    </row>
    <row r="2491">
      <c r="A2491" s="4" t="n">
        <v>2487</v>
      </c>
      <c r="B2491" s="4" t="inlineStr">
        <is>
          <t>garage</t>
        </is>
      </c>
      <c r="C2491" s="4" t="inlineStr"/>
      <c r="D2491" s="4" t="inlineStr"/>
      <c r="E2491" s="13" t="n">
        <v>61.3</v>
      </c>
      <c r="F2491" s="12" t="n">
        <v>0.06999969482421875</v>
      </c>
      <c r="G2491" s="4" t="n">
        <v>4</v>
      </c>
      <c r="H2491" s="4">
        <f>IF(OR(N(F2491)&gt;=0.5,G2491&gt;=4),3,IF(OR(N(F2491)&gt;=0.3,G2491=3),2,IF(OR(N(F2491)&gt;=0.1,G2491&gt;=1),1,0)))</f>
        <v/>
      </c>
      <c r="I2491" s="4">
        <f>CHOOSE(H2491+1,"Kein Risiko","Gering","Mittel","Hoch")</f>
        <v/>
      </c>
    </row>
    <row r="2492">
      <c r="A2492" s="4" t="n">
        <v>2488</v>
      </c>
      <c r="B2492" s="4" t="inlineStr">
        <is>
          <t>yes</t>
        </is>
      </c>
      <c r="C2492" s="4" t="inlineStr">
        <is>
          <t>Dixbäume</t>
        </is>
      </c>
      <c r="D2492" s="4" t="inlineStr">
        <is>
          <t>1</t>
        </is>
      </c>
      <c r="E2492" s="13" t="n">
        <v>52.8</v>
      </c>
      <c r="F2492" s="12" t="n">
        <v>0.2399978637695312</v>
      </c>
      <c r="G2492" s="4" t="n">
        <v>4</v>
      </c>
      <c r="H2492" s="4">
        <f>IF(OR(N(F2492)&gt;=0.5,G2492&gt;=4),3,IF(OR(N(F2492)&gt;=0.3,G2492=3),2,IF(OR(N(F2492)&gt;=0.1,G2492&gt;=1),1,0)))</f>
        <v/>
      </c>
      <c r="I2492" s="4">
        <f>CHOOSE(H2492+1,"Kein Risiko","Gering","Mittel","Hoch")</f>
        <v/>
      </c>
    </row>
    <row r="2493">
      <c r="A2493" s="4" t="n">
        <v>2489</v>
      </c>
      <c r="B2493" s="4" t="inlineStr">
        <is>
          <t>garage</t>
        </is>
      </c>
      <c r="C2493" s="4" t="inlineStr"/>
      <c r="D2493" s="4" t="inlineStr"/>
      <c r="E2493" s="13" t="n">
        <v>41.5</v>
      </c>
      <c r="F2493" s="12" t="n">
        <v>0</v>
      </c>
      <c r="G2493" s="4" t="n">
        <v>1</v>
      </c>
      <c r="H2493" s="4">
        <f>IF(OR(N(F2493)&gt;=0.5,G2493&gt;=4),3,IF(OR(N(F2493)&gt;=0.3,G2493=3),2,IF(OR(N(F2493)&gt;=0.1,G2493&gt;=1),1,0)))</f>
        <v/>
      </c>
      <c r="I2493" s="4">
        <f>CHOOSE(H2493+1,"Kein Risiko","Gering","Mittel","Hoch")</f>
        <v/>
      </c>
    </row>
    <row r="2494">
      <c r="A2494" s="4" t="n">
        <v>2490</v>
      </c>
      <c r="B2494" s="4" t="inlineStr">
        <is>
          <t>garage</t>
        </is>
      </c>
      <c r="C2494" s="4" t="inlineStr"/>
      <c r="D2494" s="4" t="inlineStr"/>
      <c r="E2494" s="13" t="n">
        <v>18</v>
      </c>
      <c r="F2494" s="12" t="n">
        <v>0</v>
      </c>
      <c r="G2494" s="4" t="n">
        <v>1</v>
      </c>
      <c r="H2494" s="4">
        <f>IF(OR(N(F2494)&gt;=0.5,G2494&gt;=4),3,IF(OR(N(F2494)&gt;=0.3,G2494=3),2,IF(OR(N(F2494)&gt;=0.1,G2494&gt;=1),1,0)))</f>
        <v/>
      </c>
      <c r="I2494" s="4">
        <f>CHOOSE(H2494+1,"Kein Risiko","Gering","Mittel","Hoch")</f>
        <v/>
      </c>
    </row>
    <row r="2495">
      <c r="A2495" s="4" t="n">
        <v>2491</v>
      </c>
      <c r="B2495" s="4" t="inlineStr">
        <is>
          <t>garage</t>
        </is>
      </c>
      <c r="C2495" s="4" t="inlineStr"/>
      <c r="D2495" s="4" t="inlineStr"/>
      <c r="E2495" s="13" t="n">
        <v>20.2</v>
      </c>
      <c r="F2495" s="12" t="n">
        <v>0</v>
      </c>
      <c r="G2495" s="4" t="n">
        <v>0</v>
      </c>
      <c r="H2495" s="4">
        <f>IF(OR(N(F2495)&gt;=0.5,G2495&gt;=4),3,IF(OR(N(F2495)&gt;=0.3,G2495=3),2,IF(OR(N(F2495)&gt;=0.1,G2495&gt;=1),1,0)))</f>
        <v/>
      </c>
      <c r="I2495" s="4">
        <f>CHOOSE(H2495+1,"Kein Risiko","Gering","Mittel","Hoch")</f>
        <v/>
      </c>
    </row>
    <row r="2496">
      <c r="A2496" s="4" t="n">
        <v>2492</v>
      </c>
      <c r="B2496" s="4" t="inlineStr">
        <is>
          <t>garage</t>
        </is>
      </c>
      <c r="C2496" s="4" t="inlineStr"/>
      <c r="D2496" s="4" t="inlineStr"/>
      <c r="E2496" s="13" t="n">
        <v>29.7</v>
      </c>
      <c r="F2496" s="12" t="n">
        <v>0</v>
      </c>
      <c r="G2496" s="4" t="n">
        <v>0</v>
      </c>
      <c r="H2496" s="4">
        <f>IF(OR(N(F2496)&gt;=0.5,G2496&gt;=4),3,IF(OR(N(F2496)&gt;=0.3,G2496=3),2,IF(OR(N(F2496)&gt;=0.1,G2496&gt;=1),1,0)))</f>
        <v/>
      </c>
      <c r="I2496" s="4">
        <f>CHOOSE(H2496+1,"Kein Risiko","Gering","Mittel","Hoch")</f>
        <v/>
      </c>
    </row>
    <row r="2497">
      <c r="A2497" s="4" t="n">
        <v>2493</v>
      </c>
      <c r="B2497" s="4" t="inlineStr">
        <is>
          <t>garage</t>
        </is>
      </c>
      <c r="C2497" s="4" t="inlineStr"/>
      <c r="D2497" s="4" t="inlineStr"/>
      <c r="E2497" s="13" t="n">
        <v>20.4</v>
      </c>
      <c r="F2497" s="12" t="n">
        <v>0</v>
      </c>
      <c r="G2497" s="4" t="n">
        <v>0</v>
      </c>
      <c r="H2497" s="4">
        <f>IF(OR(N(F2497)&gt;=0.5,G2497&gt;=4),3,IF(OR(N(F2497)&gt;=0.3,G2497=3),2,IF(OR(N(F2497)&gt;=0.1,G2497&gt;=1),1,0)))</f>
        <v/>
      </c>
      <c r="I2497" s="4">
        <f>CHOOSE(H2497+1,"Kein Risiko","Gering","Mittel","Hoch")</f>
        <v/>
      </c>
    </row>
    <row r="2498">
      <c r="A2498" s="4" t="n">
        <v>2494</v>
      </c>
      <c r="B2498" s="4" t="inlineStr">
        <is>
          <t>garage</t>
        </is>
      </c>
      <c r="C2498" s="4" t="inlineStr"/>
      <c r="D2498" s="4" t="inlineStr"/>
      <c r="E2498" s="13" t="n">
        <v>22.9</v>
      </c>
      <c r="F2498" s="12" t="n">
        <v>0</v>
      </c>
      <c r="G2498" s="4" t="n">
        <v>0</v>
      </c>
      <c r="H2498" s="4">
        <f>IF(OR(N(F2498)&gt;=0.5,G2498&gt;=4),3,IF(OR(N(F2498)&gt;=0.3,G2498=3),2,IF(OR(N(F2498)&gt;=0.1,G2498&gt;=1),1,0)))</f>
        <v/>
      </c>
      <c r="I2498" s="4">
        <f>CHOOSE(H2498+1,"Kein Risiko","Gering","Mittel","Hoch")</f>
        <v/>
      </c>
    </row>
    <row r="2499">
      <c r="A2499" s="4" t="n">
        <v>2495</v>
      </c>
      <c r="B2499" s="4" t="inlineStr">
        <is>
          <t>yes</t>
        </is>
      </c>
      <c r="C2499" s="4" t="inlineStr"/>
      <c r="D2499" s="4" t="inlineStr"/>
      <c r="E2499" s="13" t="n">
        <v>26.7</v>
      </c>
      <c r="F2499" s="12" t="n">
        <v>0.040008544921875</v>
      </c>
      <c r="G2499" s="4" t="n">
        <v>1</v>
      </c>
      <c r="H2499" s="4">
        <f>IF(OR(N(F2499)&gt;=0.5,G2499&gt;=4),3,IF(OR(N(F2499)&gt;=0.3,G2499=3),2,IF(OR(N(F2499)&gt;=0.1,G2499&gt;=1),1,0)))</f>
        <v/>
      </c>
      <c r="I2499" s="4">
        <f>CHOOSE(H2499+1,"Kein Risiko","Gering","Mittel","Hoch")</f>
        <v/>
      </c>
    </row>
    <row r="2500">
      <c r="A2500" s="4" t="n">
        <v>2496</v>
      </c>
      <c r="B2500" s="4" t="inlineStr">
        <is>
          <t>garage</t>
        </is>
      </c>
      <c r="C2500" s="4" t="inlineStr"/>
      <c r="D2500" s="4" t="inlineStr"/>
      <c r="E2500" s="13" t="n">
        <v>37</v>
      </c>
      <c r="F2500" s="12" t="n">
        <v>0</v>
      </c>
      <c r="G2500" s="4" t="n">
        <v>0</v>
      </c>
      <c r="H2500" s="4">
        <f>IF(OR(N(F2500)&gt;=0.5,G2500&gt;=4),3,IF(OR(N(F2500)&gt;=0.3,G2500=3),2,IF(OR(N(F2500)&gt;=0.1,G2500&gt;=1),1,0)))</f>
        <v/>
      </c>
      <c r="I2500" s="4">
        <f>CHOOSE(H2500+1,"Kein Risiko","Gering","Mittel","Hoch")</f>
        <v/>
      </c>
    </row>
    <row r="2501">
      <c r="A2501" s="4" t="n">
        <v>2497</v>
      </c>
      <c r="B2501" s="4" t="inlineStr">
        <is>
          <t>garage</t>
        </is>
      </c>
      <c r="C2501" s="4" t="inlineStr"/>
      <c r="D2501" s="4" t="inlineStr"/>
      <c r="E2501" s="13" t="n">
        <v>32.6</v>
      </c>
      <c r="F2501" s="12" t="n">
        <v>0.2700042724609375</v>
      </c>
      <c r="G2501" s="4" t="n">
        <v>0</v>
      </c>
      <c r="H2501" s="4">
        <f>IF(OR(N(F2501)&gt;=0.5,G2501&gt;=4),3,IF(OR(N(F2501)&gt;=0.3,G2501=3),2,IF(OR(N(F2501)&gt;=0.1,G2501&gt;=1),1,0)))</f>
        <v/>
      </c>
      <c r="I2501" s="4">
        <f>CHOOSE(H2501+1,"Kein Risiko","Gering","Mittel","Hoch")</f>
        <v/>
      </c>
    </row>
    <row r="2502">
      <c r="A2502" s="4" t="n">
        <v>2498</v>
      </c>
      <c r="B2502" s="4" t="inlineStr">
        <is>
          <t>garage</t>
        </is>
      </c>
      <c r="C2502" s="4" t="inlineStr"/>
      <c r="D2502" s="4" t="inlineStr"/>
      <c r="E2502" s="13" t="n">
        <v>33.8</v>
      </c>
      <c r="F2502" s="12" t="n">
        <v>0.07000732421875</v>
      </c>
      <c r="G2502" s="4" t="n">
        <v>0</v>
      </c>
      <c r="H2502" s="4">
        <f>IF(OR(N(F2502)&gt;=0.5,G2502&gt;=4),3,IF(OR(N(F2502)&gt;=0.3,G2502=3),2,IF(OR(N(F2502)&gt;=0.1,G2502&gt;=1),1,0)))</f>
        <v/>
      </c>
      <c r="I2502" s="4">
        <f>CHOOSE(H2502+1,"Kein Risiko","Gering","Mittel","Hoch")</f>
        <v/>
      </c>
    </row>
    <row r="2503">
      <c r="A2503" s="4" t="n">
        <v>2499</v>
      </c>
      <c r="B2503" s="4" t="inlineStr">
        <is>
          <t>yes</t>
        </is>
      </c>
      <c r="C2503" s="4" t="inlineStr">
        <is>
          <t>Hinsbecker Löh</t>
        </is>
      </c>
      <c r="D2503" s="4" t="inlineStr">
        <is>
          <t>7b</t>
        </is>
      </c>
      <c r="E2503" s="13" t="n">
        <v>82.5</v>
      </c>
      <c r="F2503" s="12" t="n">
        <v>0.3699989318847656</v>
      </c>
      <c r="G2503" s="4" t="n">
        <v>5</v>
      </c>
      <c r="H2503" s="4">
        <f>IF(OR(N(F2503)&gt;=0.5,G2503&gt;=4),3,IF(OR(N(F2503)&gt;=0.3,G2503=3),2,IF(OR(N(F2503)&gt;=0.1,G2503&gt;=1),1,0)))</f>
        <v/>
      </c>
      <c r="I2503" s="4">
        <f>CHOOSE(H2503+1,"Kein Risiko","Gering","Mittel","Hoch")</f>
        <v/>
      </c>
    </row>
    <row r="2504">
      <c r="A2504" s="4" t="n">
        <v>2500</v>
      </c>
      <c r="B2504" s="4" t="inlineStr">
        <is>
          <t>yes</t>
        </is>
      </c>
      <c r="C2504" s="4" t="inlineStr"/>
      <c r="D2504" s="4" t="inlineStr"/>
      <c r="E2504" s="13" t="n">
        <v>74.5</v>
      </c>
      <c r="F2504" s="12" t="n">
        <v>0.03999710083007812</v>
      </c>
      <c r="G2504" s="4" t="n">
        <v>0</v>
      </c>
      <c r="H2504" s="4">
        <f>IF(OR(N(F2504)&gt;=0.5,G2504&gt;=4),3,IF(OR(N(F2504)&gt;=0.3,G2504=3),2,IF(OR(N(F2504)&gt;=0.1,G2504&gt;=1),1,0)))</f>
        <v/>
      </c>
      <c r="I2504" s="4">
        <f>CHOOSE(H2504+1,"Kein Risiko","Gering","Mittel","Hoch")</f>
        <v/>
      </c>
    </row>
    <row r="2505">
      <c r="A2505" s="4" t="n">
        <v>2501</v>
      </c>
      <c r="B2505" s="4" t="inlineStr">
        <is>
          <t>yes</t>
        </is>
      </c>
      <c r="C2505" s="4" t="inlineStr">
        <is>
          <t>Kampmannbrücke</t>
        </is>
      </c>
      <c r="D2505" s="4" t="inlineStr">
        <is>
          <t>11</t>
        </is>
      </c>
      <c r="E2505" s="13" t="n">
        <v>63.4</v>
      </c>
      <c r="F2505" s="12" t="n">
        <v>0</v>
      </c>
      <c r="G2505" s="4" t="n">
        <v>0</v>
      </c>
      <c r="H2505" s="4">
        <f>IF(OR(N(F2505)&gt;=0.5,G2505&gt;=4),3,IF(OR(N(F2505)&gt;=0.3,G2505=3),2,IF(OR(N(F2505)&gt;=0.1,G2505&gt;=1),1,0)))</f>
        <v/>
      </c>
      <c r="I2505" s="4">
        <f>CHOOSE(H2505+1,"Kein Risiko","Gering","Mittel","Hoch")</f>
        <v/>
      </c>
    </row>
    <row r="2506">
      <c r="A2506" s="4" t="n">
        <v>2502</v>
      </c>
      <c r="B2506" s="4" t="inlineStr">
        <is>
          <t>yes</t>
        </is>
      </c>
      <c r="C2506" s="4" t="inlineStr"/>
      <c r="D2506" s="4" t="inlineStr"/>
      <c r="E2506" s="13" t="n">
        <v>45.4</v>
      </c>
      <c r="F2506" s="12" t="n">
        <v>0.1100006103515625</v>
      </c>
      <c r="G2506" s="4" t="n">
        <v>0</v>
      </c>
      <c r="H2506" s="4">
        <f>IF(OR(N(F2506)&gt;=0.5,G2506&gt;=4),3,IF(OR(N(F2506)&gt;=0.3,G2506=3),2,IF(OR(N(F2506)&gt;=0.1,G2506&gt;=1),1,0)))</f>
        <v/>
      </c>
      <c r="I2506" s="4">
        <f>CHOOSE(H2506+1,"Kein Risiko","Gering","Mittel","Hoch")</f>
        <v/>
      </c>
    </row>
    <row r="2507">
      <c r="A2507" s="4" t="n">
        <v>2503</v>
      </c>
      <c r="B2507" s="4" t="inlineStr">
        <is>
          <t>yes</t>
        </is>
      </c>
      <c r="C2507" s="4" t="inlineStr">
        <is>
          <t>Kampmannbrücke</t>
        </is>
      </c>
      <c r="D2507" s="4" t="inlineStr">
        <is>
          <t>35</t>
        </is>
      </c>
      <c r="E2507" s="13" t="n">
        <v>70.40000000000001</v>
      </c>
      <c r="F2507" s="12" t="n">
        <v>0</v>
      </c>
      <c r="G2507" s="4" t="n">
        <v>0</v>
      </c>
      <c r="H2507" s="4">
        <f>IF(OR(N(F2507)&gt;=0.5,G2507&gt;=4),3,IF(OR(N(F2507)&gt;=0.3,G2507=3),2,IF(OR(N(F2507)&gt;=0.1,G2507&gt;=1),1,0)))</f>
        <v/>
      </c>
      <c r="I2507" s="4">
        <f>CHOOSE(H2507+1,"Kein Risiko","Gering","Mittel","Hoch")</f>
        <v/>
      </c>
    </row>
    <row r="2508">
      <c r="A2508" s="4" t="n">
        <v>2504</v>
      </c>
      <c r="B2508" s="4" t="inlineStr">
        <is>
          <t>yes</t>
        </is>
      </c>
      <c r="C2508" s="4" t="inlineStr"/>
      <c r="D2508" s="4" t="inlineStr"/>
      <c r="E2508" s="13" t="n">
        <v>98.8</v>
      </c>
      <c r="F2508" s="12" t="n">
        <v>0.029998779296875</v>
      </c>
      <c r="G2508" s="4" t="n">
        <v>0</v>
      </c>
      <c r="H2508" s="4">
        <f>IF(OR(N(F2508)&gt;=0.5,G2508&gt;=4),3,IF(OR(N(F2508)&gt;=0.3,G2508=3),2,IF(OR(N(F2508)&gt;=0.1,G2508&gt;=1),1,0)))</f>
        <v/>
      </c>
      <c r="I2508" s="4">
        <f>CHOOSE(H2508+1,"Kein Risiko","Gering","Mittel","Hoch")</f>
        <v/>
      </c>
    </row>
    <row r="2509">
      <c r="A2509" s="4" t="n">
        <v>2505</v>
      </c>
      <c r="B2509" s="4" t="inlineStr">
        <is>
          <t>yes</t>
        </is>
      </c>
      <c r="C2509" s="4" t="inlineStr"/>
      <c r="D2509" s="4" t="inlineStr"/>
      <c r="E2509" s="13" t="n">
        <v>95</v>
      </c>
      <c r="F2509" s="12" t="n">
        <v>0</v>
      </c>
      <c r="G2509" s="4" t="n">
        <v>0</v>
      </c>
      <c r="H2509" s="4">
        <f>IF(OR(N(F2509)&gt;=0.5,G2509&gt;=4),3,IF(OR(N(F2509)&gt;=0.3,G2509=3),2,IF(OR(N(F2509)&gt;=0.1,G2509&gt;=1),1,0)))</f>
        <v/>
      </c>
      <c r="I2509" s="4">
        <f>CHOOSE(H2509+1,"Kein Risiko","Gering","Mittel","Hoch")</f>
        <v/>
      </c>
    </row>
    <row r="2510">
      <c r="A2510" s="4" t="n">
        <v>2506</v>
      </c>
      <c r="B2510" s="4" t="inlineStr">
        <is>
          <t>yes</t>
        </is>
      </c>
      <c r="C2510" s="4" t="inlineStr"/>
      <c r="D2510" s="4" t="inlineStr"/>
      <c r="E2510" s="13" t="n">
        <v>38.5</v>
      </c>
      <c r="F2510" s="12" t="n">
        <v>0.03000259399414062</v>
      </c>
      <c r="G2510" s="4" t="n">
        <v>0</v>
      </c>
      <c r="H2510" s="4">
        <f>IF(OR(N(F2510)&gt;=0.5,G2510&gt;=4),3,IF(OR(N(F2510)&gt;=0.3,G2510=3),2,IF(OR(N(F2510)&gt;=0.1,G2510&gt;=1),1,0)))</f>
        <v/>
      </c>
      <c r="I2510" s="4">
        <f>CHOOSE(H2510+1,"Kein Risiko","Gering","Mittel","Hoch")</f>
        <v/>
      </c>
    </row>
    <row r="2511">
      <c r="A2511" s="4" t="n">
        <v>2507</v>
      </c>
      <c r="B2511" s="4" t="inlineStr">
        <is>
          <t>yes</t>
        </is>
      </c>
      <c r="C2511" s="4" t="inlineStr"/>
      <c r="D2511" s="4" t="inlineStr"/>
      <c r="E2511" s="13" t="n">
        <v>61.5</v>
      </c>
      <c r="F2511" s="12" t="n">
        <v>0</v>
      </c>
      <c r="G2511" s="4" t="n">
        <v>0</v>
      </c>
      <c r="H2511" s="4">
        <f>IF(OR(N(F2511)&gt;=0.5,G2511&gt;=4),3,IF(OR(N(F2511)&gt;=0.3,G2511=3),2,IF(OR(N(F2511)&gt;=0.1,G2511&gt;=1),1,0)))</f>
        <v/>
      </c>
      <c r="I2511" s="4">
        <f>CHOOSE(H2511+1,"Kein Risiko","Gering","Mittel","Hoch")</f>
        <v/>
      </c>
    </row>
    <row r="2512">
      <c r="A2512" s="4" t="n">
        <v>2508</v>
      </c>
      <c r="B2512" s="4" t="inlineStr">
        <is>
          <t>yes</t>
        </is>
      </c>
      <c r="C2512" s="4" t="inlineStr"/>
      <c r="D2512" s="4" t="inlineStr"/>
      <c r="E2512" s="13" t="n">
        <v>42.1</v>
      </c>
      <c r="F2512" s="12" t="n">
        <v>0.04000091552734375</v>
      </c>
      <c r="G2512" s="4" t="n">
        <v>0</v>
      </c>
      <c r="H2512" s="4">
        <f>IF(OR(N(F2512)&gt;=0.5,G2512&gt;=4),3,IF(OR(N(F2512)&gt;=0.3,G2512=3),2,IF(OR(N(F2512)&gt;=0.1,G2512&gt;=1),1,0)))</f>
        <v/>
      </c>
      <c r="I2512" s="4">
        <f>CHOOSE(H2512+1,"Kein Risiko","Gering","Mittel","Hoch")</f>
        <v/>
      </c>
    </row>
    <row r="2513">
      <c r="A2513" s="4" t="n">
        <v>2509</v>
      </c>
      <c r="B2513" s="4" t="inlineStr">
        <is>
          <t>yes</t>
        </is>
      </c>
      <c r="C2513" s="4" t="inlineStr"/>
      <c r="D2513" s="4" t="inlineStr"/>
      <c r="E2513" s="13" t="n">
        <v>23.6</v>
      </c>
      <c r="F2513" s="12" t="n">
        <v>0</v>
      </c>
      <c r="G2513" s="4" t="n">
        <v>0</v>
      </c>
      <c r="H2513" s="4">
        <f>IF(OR(N(F2513)&gt;=0.5,G2513&gt;=4),3,IF(OR(N(F2513)&gt;=0.3,G2513=3),2,IF(OR(N(F2513)&gt;=0.1,G2513&gt;=1),1,0)))</f>
        <v/>
      </c>
      <c r="I2513" s="4">
        <f>CHOOSE(H2513+1,"Kein Risiko","Gering","Mittel","Hoch")</f>
        <v/>
      </c>
    </row>
    <row r="2514">
      <c r="A2514" s="4" t="n">
        <v>2510</v>
      </c>
      <c r="B2514" s="4" t="inlineStr">
        <is>
          <t>yes</t>
        </is>
      </c>
      <c r="C2514" s="4" t="inlineStr">
        <is>
          <t>Leibergweg</t>
        </is>
      </c>
      <c r="D2514" s="4" t="inlineStr">
        <is>
          <t>9a</t>
        </is>
      </c>
      <c r="E2514" s="13" t="n">
        <v>45</v>
      </c>
      <c r="F2514" s="12" t="n">
        <v>0</v>
      </c>
      <c r="G2514" s="4" t="n">
        <v>0</v>
      </c>
      <c r="H2514" s="4">
        <f>IF(OR(N(F2514)&gt;=0.5,G2514&gt;=4),3,IF(OR(N(F2514)&gt;=0.3,G2514=3),2,IF(OR(N(F2514)&gt;=0.1,G2514&gt;=1),1,0)))</f>
        <v/>
      </c>
      <c r="I2514" s="4">
        <f>CHOOSE(H2514+1,"Kein Risiko","Gering","Mittel","Hoch")</f>
        <v/>
      </c>
    </row>
    <row r="2515">
      <c r="A2515" s="4" t="n">
        <v>2511</v>
      </c>
      <c r="B2515" s="4" t="inlineStr">
        <is>
          <t>yes</t>
        </is>
      </c>
      <c r="C2515" s="4" t="inlineStr">
        <is>
          <t>Marienbergstraße</t>
        </is>
      </c>
      <c r="D2515" s="4" t="inlineStr">
        <is>
          <t>80a</t>
        </is>
      </c>
      <c r="E2515" s="13" t="n">
        <v>90.59999999999999</v>
      </c>
      <c r="F2515" s="12" t="n">
        <v>0</v>
      </c>
      <c r="G2515" s="4" t="n">
        <v>2</v>
      </c>
      <c r="H2515" s="4">
        <f>IF(OR(N(F2515)&gt;=0.5,G2515&gt;=4),3,IF(OR(N(F2515)&gt;=0.3,G2515=3),2,IF(OR(N(F2515)&gt;=0.1,G2515&gt;=1),1,0)))</f>
        <v/>
      </c>
      <c r="I2515" s="4">
        <f>CHOOSE(H2515+1,"Kein Risiko","Gering","Mittel","Hoch")</f>
        <v/>
      </c>
    </row>
    <row r="2516">
      <c r="A2516" s="4" t="n">
        <v>2512</v>
      </c>
      <c r="B2516" s="4" t="inlineStr">
        <is>
          <t>yes</t>
        </is>
      </c>
      <c r="C2516" s="4" t="inlineStr">
        <is>
          <t>Nierenhofer Straße</t>
        </is>
      </c>
      <c r="D2516" s="4" t="inlineStr">
        <is>
          <t>6</t>
        </is>
      </c>
      <c r="E2516" s="13" t="n">
        <v>190.2</v>
      </c>
      <c r="F2516" s="12" t="n"/>
      <c r="G2516" s="4" t="n">
        <v>0</v>
      </c>
      <c r="H2516" s="4">
        <f>IF(OR(N(F2516)&gt;=0.5,G2516&gt;=4),3,IF(OR(N(F2516)&gt;=0.3,G2516=3),2,IF(OR(N(F2516)&gt;=0.1,G2516&gt;=1),1,0)))</f>
        <v/>
      </c>
      <c r="I2516" s="4">
        <f>CHOOSE(H2516+1,"Kein Risiko","Gering","Mittel","Hoch")</f>
        <v/>
      </c>
    </row>
    <row r="2517">
      <c r="A2517" s="4" t="n">
        <v>2513</v>
      </c>
      <c r="B2517" s="4" t="inlineStr">
        <is>
          <t>yes</t>
        </is>
      </c>
      <c r="C2517" s="4" t="inlineStr"/>
      <c r="D2517" s="4" t="inlineStr"/>
      <c r="E2517" s="13" t="n">
        <v>54.2</v>
      </c>
      <c r="F2517" s="12" t="n">
        <v>0</v>
      </c>
      <c r="G2517" s="4" t="n">
        <v>0</v>
      </c>
      <c r="H2517" s="4">
        <f>IF(OR(N(F2517)&gt;=0.5,G2517&gt;=4),3,IF(OR(N(F2517)&gt;=0.3,G2517=3),2,IF(OR(N(F2517)&gt;=0.1,G2517&gt;=1),1,0)))</f>
        <v/>
      </c>
      <c r="I2517" s="4">
        <f>CHOOSE(H2517+1,"Kein Risiko","Gering","Mittel","Hoch")</f>
        <v/>
      </c>
    </row>
    <row r="2518">
      <c r="A2518" s="4" t="n">
        <v>2514</v>
      </c>
      <c r="B2518" s="4" t="inlineStr">
        <is>
          <t>yes</t>
        </is>
      </c>
      <c r="C2518" s="4" t="inlineStr"/>
      <c r="D2518" s="4" t="inlineStr"/>
      <c r="E2518" s="13" t="n">
        <v>296.4</v>
      </c>
      <c r="F2518" s="12" t="n">
        <v>1.290000915527344</v>
      </c>
      <c r="G2518" s="4" t="n">
        <v>1</v>
      </c>
      <c r="H2518" s="4">
        <f>IF(OR(N(F2518)&gt;=0.5,G2518&gt;=4),3,IF(OR(N(F2518)&gt;=0.3,G2518=3),2,IF(OR(N(F2518)&gt;=0.1,G2518&gt;=1),1,0)))</f>
        <v/>
      </c>
      <c r="I2518" s="4">
        <f>CHOOSE(H2518+1,"Kein Risiko","Gering","Mittel","Hoch")</f>
        <v/>
      </c>
    </row>
    <row r="2519">
      <c r="A2519" s="4" t="n">
        <v>2515</v>
      </c>
      <c r="B2519" s="4" t="inlineStr">
        <is>
          <t>yes</t>
        </is>
      </c>
      <c r="C2519" s="4" t="inlineStr"/>
      <c r="D2519" s="4" t="inlineStr"/>
      <c r="E2519" s="13" t="n">
        <v>19</v>
      </c>
      <c r="F2519" s="12" t="n">
        <v>0</v>
      </c>
      <c r="G2519" s="4" t="n">
        <v>0</v>
      </c>
      <c r="H2519" s="4">
        <f>IF(OR(N(F2519)&gt;=0.5,G2519&gt;=4),3,IF(OR(N(F2519)&gt;=0.3,G2519=3),2,IF(OR(N(F2519)&gt;=0.1,G2519&gt;=1),1,0)))</f>
        <v/>
      </c>
      <c r="I2519" s="4">
        <f>CHOOSE(H2519+1,"Kein Risiko","Gering","Mittel","Hoch")</f>
        <v/>
      </c>
    </row>
    <row r="2520">
      <c r="A2520" s="4" t="n">
        <v>2516</v>
      </c>
      <c r="B2520" s="4" t="inlineStr">
        <is>
          <t>yes</t>
        </is>
      </c>
      <c r="C2520" s="4" t="inlineStr"/>
      <c r="D2520" s="4" t="inlineStr"/>
      <c r="E2520" s="13" t="n">
        <v>36.4</v>
      </c>
      <c r="F2520" s="12" t="n">
        <v>0</v>
      </c>
      <c r="G2520" s="4" t="n">
        <v>0</v>
      </c>
      <c r="H2520" s="4">
        <f>IF(OR(N(F2520)&gt;=0.5,G2520&gt;=4),3,IF(OR(N(F2520)&gt;=0.3,G2520=3),2,IF(OR(N(F2520)&gt;=0.1,G2520&gt;=1),1,0)))</f>
        <v/>
      </c>
      <c r="I2520" s="4">
        <f>CHOOSE(H2520+1,"Kein Risiko","Gering","Mittel","Hoch")</f>
        <v/>
      </c>
    </row>
    <row r="2521">
      <c r="A2521" s="4" t="n">
        <v>2517</v>
      </c>
      <c r="B2521" s="4" t="inlineStr">
        <is>
          <t>yes</t>
        </is>
      </c>
      <c r="C2521" s="4" t="inlineStr"/>
      <c r="D2521" s="4" t="inlineStr"/>
      <c r="E2521" s="13" t="n">
        <v>21.2</v>
      </c>
      <c r="F2521" s="12" t="n">
        <v>0</v>
      </c>
      <c r="G2521" s="4" t="n">
        <v>0</v>
      </c>
      <c r="H2521" s="4">
        <f>IF(OR(N(F2521)&gt;=0.5,G2521&gt;=4),3,IF(OR(N(F2521)&gt;=0.3,G2521=3),2,IF(OR(N(F2521)&gt;=0.1,G2521&gt;=1),1,0)))</f>
        <v/>
      </c>
      <c r="I2521" s="4">
        <f>CHOOSE(H2521+1,"Kein Risiko","Gering","Mittel","Hoch")</f>
        <v/>
      </c>
    </row>
    <row r="2522">
      <c r="A2522" s="4" t="n">
        <v>2518</v>
      </c>
      <c r="B2522" s="4" t="inlineStr">
        <is>
          <t>yes</t>
        </is>
      </c>
      <c r="C2522" s="4" t="inlineStr"/>
      <c r="D2522" s="4" t="inlineStr"/>
      <c r="E2522" s="13" t="n">
        <v>40.6</v>
      </c>
      <c r="F2522" s="12" t="n">
        <v>0</v>
      </c>
      <c r="G2522" s="4" t="n">
        <v>1</v>
      </c>
      <c r="H2522" s="4">
        <f>IF(OR(N(F2522)&gt;=0.5,G2522&gt;=4),3,IF(OR(N(F2522)&gt;=0.3,G2522=3),2,IF(OR(N(F2522)&gt;=0.1,G2522&gt;=1),1,0)))</f>
        <v/>
      </c>
      <c r="I2522" s="4">
        <f>CHOOSE(H2522+1,"Kein Risiko","Gering","Mittel","Hoch")</f>
        <v/>
      </c>
    </row>
    <row r="2523">
      <c r="A2523" s="4" t="n">
        <v>2519</v>
      </c>
      <c r="B2523" s="4" t="inlineStr">
        <is>
          <t>yes</t>
        </is>
      </c>
      <c r="C2523" s="4" t="inlineStr"/>
      <c r="D2523" s="4" t="inlineStr"/>
      <c r="E2523" s="13" t="n">
        <v>22</v>
      </c>
      <c r="F2523" s="12" t="n">
        <v>0</v>
      </c>
      <c r="G2523" s="4" t="n">
        <v>1</v>
      </c>
      <c r="H2523" s="4">
        <f>IF(OR(N(F2523)&gt;=0.5,G2523&gt;=4),3,IF(OR(N(F2523)&gt;=0.3,G2523=3),2,IF(OR(N(F2523)&gt;=0.1,G2523&gt;=1),1,0)))</f>
        <v/>
      </c>
      <c r="I2523" s="4">
        <f>CHOOSE(H2523+1,"Kein Risiko","Gering","Mittel","Hoch")</f>
        <v/>
      </c>
    </row>
    <row r="2524">
      <c r="A2524" s="4" t="n">
        <v>2520</v>
      </c>
      <c r="B2524" s="4" t="inlineStr">
        <is>
          <t>yes</t>
        </is>
      </c>
      <c r="C2524" s="4" t="inlineStr"/>
      <c r="D2524" s="4" t="inlineStr"/>
      <c r="E2524" s="13" t="n">
        <v>64.59999999999999</v>
      </c>
      <c r="F2524" s="12" t="n">
        <v>0.0300140380859375</v>
      </c>
      <c r="G2524" s="4" t="n">
        <v>2</v>
      </c>
      <c r="H2524" s="4">
        <f>IF(OR(N(F2524)&gt;=0.5,G2524&gt;=4),3,IF(OR(N(F2524)&gt;=0.3,G2524=3),2,IF(OR(N(F2524)&gt;=0.1,G2524&gt;=1),1,0)))</f>
        <v/>
      </c>
      <c r="I2524" s="4">
        <f>CHOOSE(H2524+1,"Kein Risiko","Gering","Mittel","Hoch")</f>
        <v/>
      </c>
    </row>
    <row r="2525">
      <c r="A2525" s="4" t="n">
        <v>2521</v>
      </c>
      <c r="B2525" s="4" t="inlineStr">
        <is>
          <t>industrial</t>
        </is>
      </c>
      <c r="C2525" s="4" t="inlineStr"/>
      <c r="D2525" s="4" t="inlineStr"/>
      <c r="E2525" s="13" t="n">
        <v>315</v>
      </c>
      <c r="F2525" s="12" t="n">
        <v>0.01000213623046875</v>
      </c>
      <c r="G2525" s="4" t="n">
        <v>0</v>
      </c>
      <c r="H2525" s="4">
        <f>IF(OR(N(F2525)&gt;=0.5,G2525&gt;=4),3,IF(OR(N(F2525)&gt;=0.3,G2525=3),2,IF(OR(N(F2525)&gt;=0.1,G2525&gt;=1),1,0)))</f>
        <v/>
      </c>
      <c r="I2525" s="4">
        <f>CHOOSE(H2525+1,"Kein Risiko","Gering","Mittel","Hoch")</f>
        <v/>
      </c>
    </row>
    <row r="2526">
      <c r="A2526" s="4" t="n">
        <v>2522</v>
      </c>
      <c r="B2526" s="4" t="inlineStr">
        <is>
          <t>industrial</t>
        </is>
      </c>
      <c r="C2526" s="4" t="inlineStr"/>
      <c r="D2526" s="4" t="inlineStr"/>
      <c r="E2526" s="13" t="n">
        <v>291.4</v>
      </c>
      <c r="F2526" s="12" t="n">
        <v>0.1199989318847656</v>
      </c>
      <c r="G2526" s="4" t="n">
        <v>1</v>
      </c>
      <c r="H2526" s="4">
        <f>IF(OR(N(F2526)&gt;=0.5,G2526&gt;=4),3,IF(OR(N(F2526)&gt;=0.3,G2526=3),2,IF(OR(N(F2526)&gt;=0.1,G2526&gt;=1),1,0)))</f>
        <v/>
      </c>
      <c r="I2526" s="4">
        <f>CHOOSE(H2526+1,"Kein Risiko","Gering","Mittel","Hoch")</f>
        <v/>
      </c>
    </row>
    <row r="2527">
      <c r="A2527" s="4" t="n">
        <v>2523</v>
      </c>
      <c r="B2527" s="4" t="inlineStr">
        <is>
          <t>yes</t>
        </is>
      </c>
      <c r="C2527" s="4" t="inlineStr"/>
      <c r="D2527" s="4" t="inlineStr"/>
      <c r="E2527" s="13" t="n">
        <v>80.8</v>
      </c>
      <c r="F2527" s="12" t="n">
        <v>0</v>
      </c>
      <c r="G2527" s="4" t="n">
        <v>3</v>
      </c>
      <c r="H2527" s="4">
        <f>IF(OR(N(F2527)&gt;=0.5,G2527&gt;=4),3,IF(OR(N(F2527)&gt;=0.3,G2527=3),2,IF(OR(N(F2527)&gt;=0.1,G2527&gt;=1),1,0)))</f>
        <v/>
      </c>
      <c r="I2527" s="4">
        <f>CHOOSE(H2527+1,"Kein Risiko","Gering","Mittel","Hoch")</f>
        <v/>
      </c>
    </row>
    <row r="2528">
      <c r="A2528" s="4" t="n">
        <v>2524</v>
      </c>
      <c r="B2528" s="4" t="inlineStr">
        <is>
          <t>yes</t>
        </is>
      </c>
      <c r="C2528" s="4" t="inlineStr"/>
      <c r="D2528" s="4" t="inlineStr"/>
      <c r="E2528" s="13" t="n">
        <v>420.8</v>
      </c>
      <c r="F2528" s="12" t="n">
        <v>0.06999969482421875</v>
      </c>
      <c r="G2528" s="4" t="n">
        <v>3</v>
      </c>
      <c r="H2528" s="4">
        <f>IF(OR(N(F2528)&gt;=0.5,G2528&gt;=4),3,IF(OR(N(F2528)&gt;=0.3,G2528=3),2,IF(OR(N(F2528)&gt;=0.1,G2528&gt;=1),1,0)))</f>
        <v/>
      </c>
      <c r="I2528" s="4">
        <f>CHOOSE(H2528+1,"Kein Risiko","Gering","Mittel","Hoch")</f>
        <v/>
      </c>
    </row>
    <row r="2529">
      <c r="A2529" s="4" t="n">
        <v>2525</v>
      </c>
      <c r="B2529" s="4" t="inlineStr">
        <is>
          <t>yes</t>
        </is>
      </c>
      <c r="C2529" s="4" t="inlineStr"/>
      <c r="D2529" s="4" t="inlineStr"/>
      <c r="E2529" s="13" t="n">
        <v>200.5</v>
      </c>
      <c r="F2529" s="12" t="n">
        <v>0.1399993896484375</v>
      </c>
      <c r="G2529" s="4" t="n">
        <v>0</v>
      </c>
      <c r="H2529" s="4">
        <f>IF(OR(N(F2529)&gt;=0.5,G2529&gt;=4),3,IF(OR(N(F2529)&gt;=0.3,G2529=3),2,IF(OR(N(F2529)&gt;=0.1,G2529&gt;=1),1,0)))</f>
        <v/>
      </c>
      <c r="I2529" s="4">
        <f>CHOOSE(H2529+1,"Kein Risiko","Gering","Mittel","Hoch")</f>
        <v/>
      </c>
    </row>
    <row r="2530">
      <c r="A2530" s="4" t="n">
        <v>2526</v>
      </c>
      <c r="B2530" s="4" t="inlineStr">
        <is>
          <t>yes</t>
        </is>
      </c>
      <c r="C2530" s="4" t="inlineStr"/>
      <c r="D2530" s="4" t="inlineStr"/>
      <c r="E2530" s="13" t="n">
        <v>128.5</v>
      </c>
      <c r="F2530" s="12" t="n">
        <v>0.01000213623046875</v>
      </c>
      <c r="G2530" s="4" t="n">
        <v>0</v>
      </c>
      <c r="H2530" s="4">
        <f>IF(OR(N(F2530)&gt;=0.5,G2530&gt;=4),3,IF(OR(N(F2530)&gt;=0.3,G2530=3),2,IF(OR(N(F2530)&gt;=0.1,G2530&gt;=1),1,0)))</f>
        <v/>
      </c>
      <c r="I2530" s="4">
        <f>CHOOSE(H2530+1,"Kein Risiko","Gering","Mittel","Hoch")</f>
        <v/>
      </c>
    </row>
    <row r="2531">
      <c r="A2531" s="4" t="n">
        <v>2527</v>
      </c>
      <c r="B2531" s="4" t="inlineStr">
        <is>
          <t>yes</t>
        </is>
      </c>
      <c r="C2531" s="4" t="inlineStr">
        <is>
          <t>Stauseebogen</t>
        </is>
      </c>
      <c r="D2531" s="4" t="inlineStr">
        <is>
          <t>33</t>
        </is>
      </c>
      <c r="E2531" s="13" t="n">
        <v>147.4</v>
      </c>
      <c r="F2531" s="12" t="n"/>
      <c r="G2531" s="4" t="n">
        <v>0</v>
      </c>
      <c r="H2531" s="4">
        <f>IF(OR(N(F2531)&gt;=0.5,G2531&gt;=4),3,IF(OR(N(F2531)&gt;=0.3,G2531=3),2,IF(OR(N(F2531)&gt;=0.1,G2531&gt;=1),1,0)))</f>
        <v/>
      </c>
      <c r="I2531" s="4">
        <f>CHOOSE(H2531+1,"Kein Risiko","Gering","Mittel","Hoch")</f>
        <v/>
      </c>
    </row>
    <row r="2532">
      <c r="A2532" s="4" t="n">
        <v>2528</v>
      </c>
      <c r="B2532" s="4" t="inlineStr">
        <is>
          <t>yes</t>
        </is>
      </c>
      <c r="C2532" s="4" t="inlineStr">
        <is>
          <t>Stauseebogen</t>
        </is>
      </c>
      <c r="D2532" s="4" t="inlineStr">
        <is>
          <t>29</t>
        </is>
      </c>
      <c r="E2532" s="13" t="n">
        <v>81.3</v>
      </c>
      <c r="F2532" s="12" t="n">
        <v>0</v>
      </c>
      <c r="G2532" s="4" t="n">
        <v>1</v>
      </c>
      <c r="H2532" s="4">
        <f>IF(OR(N(F2532)&gt;=0.5,G2532&gt;=4),3,IF(OR(N(F2532)&gt;=0.3,G2532=3),2,IF(OR(N(F2532)&gt;=0.1,G2532&gt;=1),1,0)))</f>
        <v/>
      </c>
      <c r="I2532" s="4">
        <f>CHOOSE(H2532+1,"Kein Risiko","Gering","Mittel","Hoch")</f>
        <v/>
      </c>
    </row>
    <row r="2533">
      <c r="A2533" s="4" t="n">
        <v>2529</v>
      </c>
      <c r="B2533" s="4" t="inlineStr">
        <is>
          <t>yes</t>
        </is>
      </c>
      <c r="C2533" s="4" t="inlineStr"/>
      <c r="D2533" s="4" t="inlineStr"/>
      <c r="E2533" s="13" t="n">
        <v>36.2</v>
      </c>
      <c r="F2533" s="12" t="n">
        <v>0</v>
      </c>
      <c r="G2533" s="4" t="n">
        <v>0</v>
      </c>
      <c r="H2533" s="4">
        <f>IF(OR(N(F2533)&gt;=0.5,G2533&gt;=4),3,IF(OR(N(F2533)&gt;=0.3,G2533=3),2,IF(OR(N(F2533)&gt;=0.1,G2533&gt;=1),1,0)))</f>
        <v/>
      </c>
      <c r="I2533" s="4">
        <f>CHOOSE(H2533+1,"Kein Risiko","Gering","Mittel","Hoch")</f>
        <v/>
      </c>
    </row>
    <row r="2534">
      <c r="A2534" s="4" t="n">
        <v>2530</v>
      </c>
      <c r="B2534" s="4" t="inlineStr">
        <is>
          <t>yes</t>
        </is>
      </c>
      <c r="C2534" s="4" t="inlineStr"/>
      <c r="D2534" s="4" t="inlineStr"/>
      <c r="E2534" s="13" t="n">
        <v>65.7</v>
      </c>
      <c r="F2534" s="12" t="n">
        <v>0</v>
      </c>
      <c r="G2534" s="4" t="n">
        <v>0</v>
      </c>
      <c r="H2534" s="4">
        <f>IF(OR(N(F2534)&gt;=0.5,G2534&gt;=4),3,IF(OR(N(F2534)&gt;=0.3,G2534=3),2,IF(OR(N(F2534)&gt;=0.1,G2534&gt;=1),1,0)))</f>
        <v/>
      </c>
      <c r="I2534" s="4">
        <f>CHOOSE(H2534+1,"Kein Risiko","Gering","Mittel","Hoch")</f>
        <v/>
      </c>
    </row>
    <row r="2535">
      <c r="A2535" s="4" t="n">
        <v>2531</v>
      </c>
      <c r="B2535" s="4" t="inlineStr">
        <is>
          <t>yes</t>
        </is>
      </c>
      <c r="C2535" s="4" t="inlineStr"/>
      <c r="D2535" s="4" t="inlineStr"/>
      <c r="E2535" s="13" t="n">
        <v>123.7</v>
      </c>
      <c r="F2535" s="12" t="n">
        <v>0</v>
      </c>
      <c r="G2535" s="4" t="n">
        <v>0</v>
      </c>
      <c r="H2535" s="4">
        <f>IF(OR(N(F2535)&gt;=0.5,G2535&gt;=4),3,IF(OR(N(F2535)&gt;=0.3,G2535=3),2,IF(OR(N(F2535)&gt;=0.1,G2535&gt;=1),1,0)))</f>
        <v/>
      </c>
      <c r="I2535" s="4">
        <f>CHOOSE(H2535+1,"Kein Risiko","Gering","Mittel","Hoch")</f>
        <v/>
      </c>
    </row>
    <row r="2536">
      <c r="A2536" s="4" t="n">
        <v>2532</v>
      </c>
      <c r="B2536" s="4" t="inlineStr">
        <is>
          <t>yes</t>
        </is>
      </c>
      <c r="C2536" s="4" t="inlineStr">
        <is>
          <t>Wuppertaler Straße</t>
        </is>
      </c>
      <c r="D2536" s="4" t="inlineStr">
        <is>
          <t>597a</t>
        </is>
      </c>
      <c r="E2536" s="13" t="n">
        <v>205.7</v>
      </c>
      <c r="F2536" s="12" t="n">
        <v>0.04000091552734375</v>
      </c>
      <c r="G2536" s="4" t="n">
        <v>1</v>
      </c>
      <c r="H2536" s="4">
        <f>IF(OR(N(F2536)&gt;=0.5,G2536&gt;=4),3,IF(OR(N(F2536)&gt;=0.3,G2536=3),2,IF(OR(N(F2536)&gt;=0.1,G2536&gt;=1),1,0)))</f>
        <v/>
      </c>
      <c r="I2536" s="4">
        <f>CHOOSE(H2536+1,"Kein Risiko","Gering","Mittel","Hoch")</f>
        <v/>
      </c>
    </row>
    <row r="2537">
      <c r="A2537" s="4" t="n">
        <v>2533</v>
      </c>
      <c r="B2537" s="4" t="inlineStr">
        <is>
          <t>yes</t>
        </is>
      </c>
      <c r="C2537" s="4" t="inlineStr">
        <is>
          <t>Wuppertaler Straße</t>
        </is>
      </c>
      <c r="D2537" s="4" t="inlineStr">
        <is>
          <t>597b</t>
        </is>
      </c>
      <c r="E2537" s="13" t="n">
        <v>121.4</v>
      </c>
      <c r="F2537" s="12" t="n">
        <v>0</v>
      </c>
      <c r="G2537" s="4" t="n">
        <v>0</v>
      </c>
      <c r="H2537" s="4">
        <f>IF(OR(N(F2537)&gt;=0.5,G2537&gt;=4),3,IF(OR(N(F2537)&gt;=0.3,G2537=3),2,IF(OR(N(F2537)&gt;=0.1,G2537&gt;=1),1,0)))</f>
        <v/>
      </c>
      <c r="I2537" s="4">
        <f>CHOOSE(H2537+1,"Kein Risiko","Gering","Mittel","Hoch")</f>
        <v/>
      </c>
    </row>
    <row r="2538">
      <c r="A2538" s="4" t="n">
        <v>2534</v>
      </c>
      <c r="B2538" s="4" t="inlineStr">
        <is>
          <t>yes</t>
        </is>
      </c>
      <c r="C2538" s="4" t="inlineStr">
        <is>
          <t>Zementstraße</t>
        </is>
      </c>
      <c r="D2538" s="4" t="inlineStr">
        <is>
          <t>25a</t>
        </is>
      </c>
      <c r="E2538" s="13" t="n">
        <v>87.2</v>
      </c>
      <c r="F2538" s="12" t="n">
        <v>0</v>
      </c>
      <c r="G2538" s="4" t="n">
        <v>2</v>
      </c>
      <c r="H2538" s="4">
        <f>IF(OR(N(F2538)&gt;=0.5,G2538&gt;=4),3,IF(OR(N(F2538)&gt;=0.3,G2538=3),2,IF(OR(N(F2538)&gt;=0.1,G2538&gt;=1),1,0)))</f>
        <v/>
      </c>
      <c r="I2538" s="4">
        <f>CHOOSE(H2538+1,"Kein Risiko","Gering","Mittel","Hoch")</f>
        <v/>
      </c>
    </row>
    <row r="2539">
      <c r="A2539" s="4" t="n">
        <v>2535</v>
      </c>
      <c r="B2539" s="4" t="inlineStr">
        <is>
          <t>yes</t>
        </is>
      </c>
      <c r="C2539" s="4" t="inlineStr">
        <is>
          <t>Schliepersberg</t>
        </is>
      </c>
      <c r="D2539" s="4" t="inlineStr">
        <is>
          <t>97a</t>
        </is>
      </c>
      <c r="E2539" s="13" t="n">
        <v>85.7</v>
      </c>
      <c r="F2539" s="12" t="n">
        <v>0</v>
      </c>
      <c r="G2539" s="4" t="n">
        <v>1</v>
      </c>
      <c r="H2539" s="4">
        <f>IF(OR(N(F2539)&gt;=0.5,G2539&gt;=4),3,IF(OR(N(F2539)&gt;=0.3,G2539=3),2,IF(OR(N(F2539)&gt;=0.1,G2539&gt;=1),1,0)))</f>
        <v/>
      </c>
      <c r="I2539" s="4">
        <f>CHOOSE(H2539+1,"Kein Risiko","Gering","Mittel","Hoch")</f>
        <v/>
      </c>
    </row>
    <row r="2540">
      <c r="A2540" s="4" t="n">
        <v>2536</v>
      </c>
      <c r="B2540" s="4" t="inlineStr">
        <is>
          <t>yes</t>
        </is>
      </c>
      <c r="C2540" s="4" t="inlineStr">
        <is>
          <t>Bovermanns Weg</t>
        </is>
      </c>
      <c r="D2540" s="4" t="inlineStr">
        <is>
          <t>6</t>
        </is>
      </c>
      <c r="E2540" s="13" t="n">
        <v>98.8</v>
      </c>
      <c r="F2540" s="12" t="n">
        <v>0</v>
      </c>
      <c r="G2540" s="4" t="n">
        <v>0</v>
      </c>
      <c r="H2540" s="4">
        <f>IF(OR(N(F2540)&gt;=0.5,G2540&gt;=4),3,IF(OR(N(F2540)&gt;=0.3,G2540=3),2,IF(OR(N(F2540)&gt;=0.1,G2540&gt;=1),1,0)))</f>
        <v/>
      </c>
      <c r="I2540" s="4">
        <f>CHOOSE(H2540+1,"Kein Risiko","Gering","Mittel","Hoch")</f>
        <v/>
      </c>
    </row>
    <row r="2541">
      <c r="A2541" s="4" t="n">
        <v>2537</v>
      </c>
      <c r="B2541" s="4" t="inlineStr">
        <is>
          <t>yes</t>
        </is>
      </c>
      <c r="C2541" s="4" t="inlineStr">
        <is>
          <t>Johannes-Böttcher-Straße</t>
        </is>
      </c>
      <c r="D2541" s="4" t="inlineStr">
        <is>
          <t>3</t>
        </is>
      </c>
      <c r="E2541" s="13" t="n">
        <v>274</v>
      </c>
      <c r="F2541" s="12" t="n">
        <v>0</v>
      </c>
      <c r="G2541" s="4" t="n">
        <v>0</v>
      </c>
      <c r="H2541" s="4">
        <f>IF(OR(N(F2541)&gt;=0.5,G2541&gt;=4),3,IF(OR(N(F2541)&gt;=0.3,G2541=3),2,IF(OR(N(F2541)&gt;=0.1,G2541&gt;=1),1,0)))</f>
        <v/>
      </c>
      <c r="I2541" s="4">
        <f>CHOOSE(H2541+1,"Kein Risiko","Gering","Mittel","Hoch")</f>
        <v/>
      </c>
    </row>
    <row r="2542">
      <c r="A2542" s="4" t="n">
        <v>2538</v>
      </c>
      <c r="B2542" s="4" t="inlineStr">
        <is>
          <t>yes</t>
        </is>
      </c>
      <c r="C2542" s="4" t="inlineStr">
        <is>
          <t>Johannes-Böttcher-Straße</t>
        </is>
      </c>
      <c r="D2542" s="4" t="inlineStr">
        <is>
          <t>2</t>
        </is>
      </c>
      <c r="E2542" s="13" t="n">
        <v>273.6</v>
      </c>
      <c r="F2542" s="12" t="n">
        <v>0.0200042724609375</v>
      </c>
      <c r="G2542" s="4" t="n">
        <v>0</v>
      </c>
      <c r="H2542" s="4">
        <f>IF(OR(N(F2542)&gt;=0.5,G2542&gt;=4),3,IF(OR(N(F2542)&gt;=0.3,G2542=3),2,IF(OR(N(F2542)&gt;=0.1,G2542&gt;=1),1,0)))</f>
        <v/>
      </c>
      <c r="I2542" s="4">
        <f>CHOOSE(H2542+1,"Kein Risiko","Gering","Mittel","Hoch")</f>
        <v/>
      </c>
    </row>
    <row r="2543">
      <c r="A2543" s="4" t="n">
        <v>2539</v>
      </c>
      <c r="B2543" s="4" t="inlineStr">
        <is>
          <t>yes</t>
        </is>
      </c>
      <c r="C2543" s="4" t="inlineStr">
        <is>
          <t>Johannes-Böttcher-Straße</t>
        </is>
      </c>
      <c r="D2543" s="4" t="inlineStr">
        <is>
          <t>1</t>
        </is>
      </c>
      <c r="E2543" s="13" t="n">
        <v>275.9</v>
      </c>
      <c r="F2543" s="12" t="n">
        <v>0</v>
      </c>
      <c r="G2543" s="4" t="n">
        <v>0</v>
      </c>
      <c r="H2543" s="4">
        <f>IF(OR(N(F2543)&gt;=0.5,G2543&gt;=4),3,IF(OR(N(F2543)&gt;=0.3,G2543=3),2,IF(OR(N(F2543)&gt;=0.1,G2543&gt;=1),1,0)))</f>
        <v/>
      </c>
      <c r="I2543" s="4">
        <f>CHOOSE(H2543+1,"Kein Risiko","Gering","Mittel","Hoch")</f>
        <v/>
      </c>
    </row>
    <row r="2544">
      <c r="A2544" s="4" t="n">
        <v>2540</v>
      </c>
      <c r="B2544" s="4" t="inlineStr">
        <is>
          <t>yes</t>
        </is>
      </c>
      <c r="C2544" s="4" t="inlineStr"/>
      <c r="D2544" s="4" t="inlineStr"/>
      <c r="E2544" s="13" t="n">
        <v>61.5</v>
      </c>
      <c r="F2544" s="12" t="n">
        <v>0.25</v>
      </c>
      <c r="G2544" s="4" t="n">
        <v>1</v>
      </c>
      <c r="H2544" s="4">
        <f>IF(OR(N(F2544)&gt;=0.5,G2544&gt;=4),3,IF(OR(N(F2544)&gt;=0.3,G2544=3),2,IF(OR(N(F2544)&gt;=0.1,G2544&gt;=1),1,0)))</f>
        <v/>
      </c>
      <c r="I2544" s="4">
        <f>CHOOSE(H2544+1,"Kein Risiko","Gering","Mittel","Hoch")</f>
        <v/>
      </c>
    </row>
    <row r="2545">
      <c r="A2545" s="4" t="n">
        <v>2541</v>
      </c>
      <c r="B2545" s="4" t="inlineStr">
        <is>
          <t>school</t>
        </is>
      </c>
      <c r="C2545" s="4" t="inlineStr"/>
      <c r="D2545" s="4" t="inlineStr"/>
      <c r="E2545" s="13" t="n">
        <v>203.2</v>
      </c>
      <c r="F2545" s="12" t="n">
        <v>0</v>
      </c>
      <c r="G2545" s="4" t="n">
        <v>0</v>
      </c>
      <c r="H2545" s="4">
        <f>IF(OR(N(F2545)&gt;=0.5,G2545&gt;=4),3,IF(OR(N(F2545)&gt;=0.3,G2545=3),2,IF(OR(N(F2545)&gt;=0.1,G2545&gt;=1),1,0)))</f>
        <v/>
      </c>
      <c r="I2545" s="4">
        <f>CHOOSE(H2545+1,"Kein Risiko","Gering","Mittel","Hoch")</f>
        <v/>
      </c>
    </row>
    <row r="2546">
      <c r="A2546" s="4" t="n">
        <v>2542</v>
      </c>
      <c r="B2546" s="4" t="inlineStr">
        <is>
          <t>shed</t>
        </is>
      </c>
      <c r="C2546" s="4" t="inlineStr">
        <is>
          <t>Schwermannstraße</t>
        </is>
      </c>
      <c r="D2546" s="4" t="inlineStr">
        <is>
          <t>45</t>
        </is>
      </c>
      <c r="E2546" s="13" t="n">
        <v>103.3</v>
      </c>
      <c r="F2546" s="12" t="n">
        <v>0</v>
      </c>
      <c r="G2546" s="4" t="n">
        <v>0</v>
      </c>
      <c r="H2546" s="4">
        <f>IF(OR(N(F2546)&gt;=0.5,G2546&gt;=4),3,IF(OR(N(F2546)&gt;=0.3,G2546=3),2,IF(OR(N(F2546)&gt;=0.1,G2546&gt;=1),1,0)))</f>
        <v/>
      </c>
      <c r="I2546" s="4">
        <f>CHOOSE(H2546+1,"Kein Risiko","Gering","Mittel","Hoch")</f>
        <v/>
      </c>
    </row>
    <row r="2547">
      <c r="A2547" s="4" t="n">
        <v>2543</v>
      </c>
      <c r="B2547" s="4" t="inlineStr">
        <is>
          <t>hospital</t>
        </is>
      </c>
      <c r="C2547" s="4" t="inlineStr"/>
      <c r="D2547" s="4" t="inlineStr"/>
      <c r="E2547" s="13" t="n">
        <v>171.5</v>
      </c>
      <c r="F2547" s="12" t="n">
        <v>0.0200042724609375</v>
      </c>
      <c r="G2547" s="4" t="n">
        <v>2</v>
      </c>
      <c r="H2547" s="4">
        <f>IF(OR(N(F2547)&gt;=0.5,G2547&gt;=4),3,IF(OR(N(F2547)&gt;=0.3,G2547=3),2,IF(OR(N(F2547)&gt;=0.1,G2547&gt;=1),1,0)))</f>
        <v/>
      </c>
      <c r="I2547" s="4">
        <f>CHOOSE(H2547+1,"Kein Risiko","Gering","Mittel","Hoch")</f>
        <v/>
      </c>
    </row>
    <row r="2548">
      <c r="A2548" s="4" t="n">
        <v>2544</v>
      </c>
      <c r="B2548" s="4" t="inlineStr">
        <is>
          <t>service</t>
        </is>
      </c>
      <c r="C2548" s="4" t="inlineStr"/>
      <c r="D2548" s="4" t="inlineStr"/>
      <c r="E2548" s="13" t="n">
        <v>280.7</v>
      </c>
      <c r="F2548" s="12" t="n">
        <v>0.3400039672851562</v>
      </c>
      <c r="G2548" s="4" t="n">
        <v>0</v>
      </c>
      <c r="H2548" s="4">
        <f>IF(OR(N(F2548)&gt;=0.5,G2548&gt;=4),3,IF(OR(N(F2548)&gt;=0.3,G2548=3),2,IF(OR(N(F2548)&gt;=0.1,G2548&gt;=1),1,0)))</f>
        <v/>
      </c>
      <c r="I2548" s="4">
        <f>CHOOSE(H2548+1,"Kein Risiko","Gering","Mittel","Hoch")</f>
        <v/>
      </c>
    </row>
    <row r="2549">
      <c r="A2549" s="4" t="n">
        <v>2545</v>
      </c>
      <c r="B2549" s="4" t="inlineStr">
        <is>
          <t>yes</t>
        </is>
      </c>
      <c r="C2549" s="4" t="inlineStr"/>
      <c r="D2549" s="4" t="inlineStr"/>
      <c r="E2549" s="13" t="n">
        <v>356.7</v>
      </c>
      <c r="F2549" s="12" t="n">
        <v>0</v>
      </c>
      <c r="G2549" s="4" t="n">
        <v>0</v>
      </c>
      <c r="H2549" s="4">
        <f>IF(OR(N(F2549)&gt;=0.5,G2549&gt;=4),3,IF(OR(N(F2549)&gt;=0.3,G2549=3),2,IF(OR(N(F2549)&gt;=0.1,G2549&gt;=1),1,0)))</f>
        <v/>
      </c>
      <c r="I2549" s="4">
        <f>CHOOSE(H2549+1,"Kein Risiko","Gering","Mittel","Hoch")</f>
        <v/>
      </c>
    </row>
    <row r="2550">
      <c r="A2550" s="4" t="n">
        <v>2546</v>
      </c>
      <c r="B2550" s="4" t="inlineStr">
        <is>
          <t>garage</t>
        </is>
      </c>
      <c r="C2550" s="4" t="inlineStr"/>
      <c r="D2550" s="4" t="inlineStr"/>
      <c r="E2550" s="13" t="n">
        <v>50.7</v>
      </c>
      <c r="F2550" s="12" t="n">
        <v>0.09000396728515625</v>
      </c>
      <c r="G2550" s="4" t="n">
        <v>0</v>
      </c>
      <c r="H2550" s="4">
        <f>IF(OR(N(F2550)&gt;=0.5,G2550&gt;=4),3,IF(OR(N(F2550)&gt;=0.3,G2550=3),2,IF(OR(N(F2550)&gt;=0.1,G2550&gt;=1),1,0)))</f>
        <v/>
      </c>
      <c r="I2550" s="4">
        <f>CHOOSE(H2550+1,"Kein Risiko","Gering","Mittel","Hoch")</f>
        <v/>
      </c>
    </row>
    <row r="2551">
      <c r="A2551" s="4" t="n">
        <v>2547</v>
      </c>
      <c r="B2551" s="4" t="inlineStr">
        <is>
          <t>garages</t>
        </is>
      </c>
      <c r="C2551" s="4" t="inlineStr"/>
      <c r="D2551" s="4" t="inlineStr"/>
      <c r="E2551" s="13" t="n">
        <v>277.8</v>
      </c>
      <c r="F2551" s="12" t="n">
        <v>0.09999847412109375</v>
      </c>
      <c r="G2551" s="4" t="n">
        <v>1</v>
      </c>
      <c r="H2551" s="4">
        <f>IF(OR(N(F2551)&gt;=0.5,G2551&gt;=4),3,IF(OR(N(F2551)&gt;=0.3,G2551=3),2,IF(OR(N(F2551)&gt;=0.1,G2551&gt;=1),1,0)))</f>
        <v/>
      </c>
      <c r="I2551" s="4">
        <f>CHOOSE(H2551+1,"Kein Risiko","Gering","Mittel","Hoch")</f>
        <v/>
      </c>
    </row>
    <row r="2552">
      <c r="A2552" s="4" t="n">
        <v>2548</v>
      </c>
      <c r="B2552" s="4" t="inlineStr">
        <is>
          <t>garage</t>
        </is>
      </c>
      <c r="C2552" s="4" t="inlineStr"/>
      <c r="D2552" s="4" t="inlineStr"/>
      <c r="E2552" s="13" t="n">
        <v>96.09999999999999</v>
      </c>
      <c r="F2552" s="12" t="n">
        <v>0.09999847412109375</v>
      </c>
      <c r="G2552" s="4" t="n">
        <v>1</v>
      </c>
      <c r="H2552" s="4">
        <f>IF(OR(N(F2552)&gt;=0.5,G2552&gt;=4),3,IF(OR(N(F2552)&gt;=0.3,G2552=3),2,IF(OR(N(F2552)&gt;=0.1,G2552&gt;=1),1,0)))</f>
        <v/>
      </c>
      <c r="I2552" s="4">
        <f>CHOOSE(H2552+1,"Kein Risiko","Gering","Mittel","Hoch")</f>
        <v/>
      </c>
    </row>
    <row r="2553">
      <c r="A2553" s="4" t="n">
        <v>2549</v>
      </c>
      <c r="B2553" s="4" t="inlineStr">
        <is>
          <t>yes</t>
        </is>
      </c>
      <c r="C2553" s="4" t="inlineStr"/>
      <c r="D2553" s="4" t="inlineStr"/>
      <c r="E2553" s="13" t="n">
        <v>86.09999999999999</v>
      </c>
      <c r="F2553" s="12" t="n">
        <v>0</v>
      </c>
      <c r="G2553" s="4" t="n">
        <v>0</v>
      </c>
      <c r="H2553" s="4">
        <f>IF(OR(N(F2553)&gt;=0.5,G2553&gt;=4),3,IF(OR(N(F2553)&gt;=0.3,G2553=3),2,IF(OR(N(F2553)&gt;=0.1,G2553&gt;=1),1,0)))</f>
        <v/>
      </c>
      <c r="I2553" s="4">
        <f>CHOOSE(H2553+1,"Kein Risiko","Gering","Mittel","Hoch")</f>
        <v/>
      </c>
    </row>
    <row r="2554">
      <c r="A2554" s="4" t="n">
        <v>2550</v>
      </c>
      <c r="B2554" s="4" t="inlineStr">
        <is>
          <t>yes</t>
        </is>
      </c>
      <c r="C2554" s="4" t="inlineStr"/>
      <c r="D2554" s="4" t="inlineStr"/>
      <c r="E2554" s="13" t="n">
        <v>21.1</v>
      </c>
      <c r="F2554" s="12" t="n">
        <v>0.029998779296875</v>
      </c>
      <c r="G2554" s="4" t="n">
        <v>0</v>
      </c>
      <c r="H2554" s="4">
        <f>IF(OR(N(F2554)&gt;=0.5,G2554&gt;=4),3,IF(OR(N(F2554)&gt;=0.3,G2554=3),2,IF(OR(N(F2554)&gt;=0.1,G2554&gt;=1),1,0)))</f>
        <v/>
      </c>
      <c r="I2554" s="4">
        <f>CHOOSE(H2554+1,"Kein Risiko","Gering","Mittel","Hoch")</f>
        <v/>
      </c>
    </row>
    <row r="2555">
      <c r="A2555" s="4" t="n">
        <v>2551</v>
      </c>
      <c r="B2555" s="4" t="inlineStr">
        <is>
          <t>yes</t>
        </is>
      </c>
      <c r="C2555" s="4" t="inlineStr"/>
      <c r="D2555" s="4" t="inlineStr"/>
      <c r="E2555" s="13" t="n">
        <v>73</v>
      </c>
      <c r="F2555" s="12" t="n">
        <v>0</v>
      </c>
      <c r="G2555" s="4" t="n">
        <v>1</v>
      </c>
      <c r="H2555" s="4">
        <f>IF(OR(N(F2555)&gt;=0.5,G2555&gt;=4),3,IF(OR(N(F2555)&gt;=0.3,G2555=3),2,IF(OR(N(F2555)&gt;=0.1,G2555&gt;=1),1,0)))</f>
        <v/>
      </c>
      <c r="I2555" s="4">
        <f>CHOOSE(H2555+1,"Kein Risiko","Gering","Mittel","Hoch")</f>
        <v/>
      </c>
    </row>
    <row r="2556">
      <c r="A2556" s="4" t="n">
        <v>2552</v>
      </c>
      <c r="B2556" s="4" t="inlineStr">
        <is>
          <t>yes</t>
        </is>
      </c>
      <c r="C2556" s="4" t="inlineStr"/>
      <c r="D2556" s="4" t="inlineStr"/>
      <c r="E2556" s="13" t="n">
        <v>75.5</v>
      </c>
      <c r="F2556" s="12" t="n">
        <v>0.2599983215332031</v>
      </c>
      <c r="G2556" s="4" t="n">
        <v>1</v>
      </c>
      <c r="H2556" s="4">
        <f>IF(OR(N(F2556)&gt;=0.5,G2556&gt;=4),3,IF(OR(N(F2556)&gt;=0.3,G2556=3),2,IF(OR(N(F2556)&gt;=0.1,G2556&gt;=1),1,0)))</f>
        <v/>
      </c>
      <c r="I2556" s="4">
        <f>CHOOSE(H2556+1,"Kein Risiko","Gering","Mittel","Hoch")</f>
        <v/>
      </c>
    </row>
    <row r="2557">
      <c r="A2557" s="4" t="n">
        <v>2553</v>
      </c>
      <c r="B2557" s="4" t="inlineStr">
        <is>
          <t>yes</t>
        </is>
      </c>
      <c r="C2557" s="4" t="inlineStr"/>
      <c r="D2557" s="4" t="inlineStr"/>
      <c r="E2557" s="13" t="n">
        <v>136.5</v>
      </c>
      <c r="F2557" s="12" t="n">
        <v>0.04999923706054688</v>
      </c>
      <c r="G2557" s="4" t="n">
        <v>4</v>
      </c>
      <c r="H2557" s="4">
        <f>IF(OR(N(F2557)&gt;=0.5,G2557&gt;=4),3,IF(OR(N(F2557)&gt;=0.3,G2557=3),2,IF(OR(N(F2557)&gt;=0.1,G2557&gt;=1),1,0)))</f>
        <v/>
      </c>
      <c r="I2557" s="4">
        <f>CHOOSE(H2557+1,"Kein Risiko","Gering","Mittel","Hoch")</f>
        <v/>
      </c>
    </row>
    <row r="2558">
      <c r="A2558" s="4" t="n">
        <v>2554</v>
      </c>
      <c r="B2558" s="4" t="inlineStr">
        <is>
          <t>garage</t>
        </is>
      </c>
      <c r="C2558" s="4" t="inlineStr"/>
      <c r="D2558" s="4" t="inlineStr"/>
      <c r="E2558" s="13" t="n">
        <v>16.4</v>
      </c>
      <c r="F2558" s="12" t="n">
        <v>0.04000091552734375</v>
      </c>
      <c r="G2558" s="4" t="n">
        <v>0</v>
      </c>
      <c r="H2558" s="4">
        <f>IF(OR(N(F2558)&gt;=0.5,G2558&gt;=4),3,IF(OR(N(F2558)&gt;=0.3,G2558=3),2,IF(OR(N(F2558)&gt;=0.1,G2558&gt;=1),1,0)))</f>
        <v/>
      </c>
      <c r="I2558" s="4">
        <f>CHOOSE(H2558+1,"Kein Risiko","Gering","Mittel","Hoch")</f>
        <v/>
      </c>
    </row>
    <row r="2559">
      <c r="A2559" s="4" t="n">
        <v>2555</v>
      </c>
      <c r="B2559" s="4" t="inlineStr">
        <is>
          <t>yes</t>
        </is>
      </c>
      <c r="C2559" s="4" t="inlineStr"/>
      <c r="D2559" s="4" t="inlineStr"/>
      <c r="E2559" s="13" t="n">
        <v>106.5</v>
      </c>
      <c r="F2559" s="12" t="n">
        <v>0</v>
      </c>
      <c r="G2559" s="4" t="n">
        <v>0</v>
      </c>
      <c r="H2559" s="4">
        <f>IF(OR(N(F2559)&gt;=0.5,G2559&gt;=4),3,IF(OR(N(F2559)&gt;=0.3,G2559=3),2,IF(OR(N(F2559)&gt;=0.1,G2559&gt;=1),1,0)))</f>
        <v/>
      </c>
      <c r="I2559" s="4">
        <f>CHOOSE(H2559+1,"Kein Risiko","Gering","Mittel","Hoch")</f>
        <v/>
      </c>
    </row>
    <row r="2560">
      <c r="A2560" s="4" t="n">
        <v>2556</v>
      </c>
      <c r="B2560" s="4" t="inlineStr">
        <is>
          <t>carport</t>
        </is>
      </c>
      <c r="C2560" s="4" t="inlineStr"/>
      <c r="D2560" s="4" t="inlineStr"/>
      <c r="E2560" s="13" t="n">
        <v>560.8</v>
      </c>
      <c r="F2560" s="12" t="n">
        <v>0.04000091552734375</v>
      </c>
      <c r="G2560" s="4" t="n">
        <v>4</v>
      </c>
      <c r="H2560" s="4">
        <f>IF(OR(N(F2560)&gt;=0.5,G2560&gt;=4),3,IF(OR(N(F2560)&gt;=0.3,G2560=3),2,IF(OR(N(F2560)&gt;=0.1,G2560&gt;=1),1,0)))</f>
        <v/>
      </c>
      <c r="I2560" s="4">
        <f>CHOOSE(H2560+1,"Kein Risiko","Gering","Mittel","Hoch")</f>
        <v/>
      </c>
    </row>
    <row r="2561">
      <c r="A2561" s="4" t="n">
        <v>2557</v>
      </c>
      <c r="B2561" s="4" t="inlineStr">
        <is>
          <t>yes</t>
        </is>
      </c>
      <c r="C2561" s="4" t="inlineStr">
        <is>
          <t>Bahnstraße</t>
        </is>
      </c>
      <c r="D2561" s="4" t="inlineStr">
        <is>
          <t>7</t>
        </is>
      </c>
      <c r="E2561" s="13" t="n">
        <v>262.4</v>
      </c>
      <c r="F2561" s="12" t="n">
        <v>0.0500030517578125</v>
      </c>
      <c r="G2561" s="4" t="n">
        <v>1</v>
      </c>
      <c r="H2561" s="4">
        <f>IF(OR(N(F2561)&gt;=0.5,G2561&gt;=4),3,IF(OR(N(F2561)&gt;=0.3,G2561=3),2,IF(OR(N(F2561)&gt;=0.1,G2561&gt;=1),1,0)))</f>
        <v/>
      </c>
      <c r="I2561" s="4">
        <f>CHOOSE(H2561+1,"Kein Risiko","Gering","Mittel","Hoch")</f>
        <v/>
      </c>
    </row>
    <row r="2562">
      <c r="A2562" s="4" t="n">
        <v>2558</v>
      </c>
      <c r="B2562" s="4" t="inlineStr">
        <is>
          <t>garage</t>
        </is>
      </c>
      <c r="C2562" s="4" t="inlineStr"/>
      <c r="D2562" s="4" t="inlineStr"/>
      <c r="E2562" s="13" t="n">
        <v>141.7</v>
      </c>
      <c r="F2562" s="12" t="n">
        <v>0.0200042724609375</v>
      </c>
      <c r="G2562" s="4" t="n">
        <v>1</v>
      </c>
      <c r="H2562" s="4">
        <f>IF(OR(N(F2562)&gt;=0.5,G2562&gt;=4),3,IF(OR(N(F2562)&gt;=0.3,G2562=3),2,IF(OR(N(F2562)&gt;=0.1,G2562&gt;=1),1,0)))</f>
        <v/>
      </c>
      <c r="I2562" s="4">
        <f>CHOOSE(H2562+1,"Kein Risiko","Gering","Mittel","Hoch")</f>
        <v/>
      </c>
    </row>
    <row r="2563">
      <c r="A2563" s="4" t="n">
        <v>2559</v>
      </c>
      <c r="B2563" s="4" t="inlineStr">
        <is>
          <t>shed</t>
        </is>
      </c>
      <c r="C2563" s="4" t="inlineStr"/>
      <c r="D2563" s="4" t="inlineStr"/>
      <c r="E2563" s="13" t="n">
        <v>49.5</v>
      </c>
      <c r="F2563" s="12" t="n">
        <v>0.160003662109375</v>
      </c>
      <c r="G2563" s="4" t="n">
        <v>0</v>
      </c>
      <c r="H2563" s="4">
        <f>IF(OR(N(F2563)&gt;=0.5,G2563&gt;=4),3,IF(OR(N(F2563)&gt;=0.3,G2563=3),2,IF(OR(N(F2563)&gt;=0.1,G2563&gt;=1),1,0)))</f>
        <v/>
      </c>
      <c r="I2563" s="4">
        <f>CHOOSE(H2563+1,"Kein Risiko","Gering","Mittel","Hoch")</f>
        <v/>
      </c>
    </row>
    <row r="2564">
      <c r="A2564" s="4" t="n">
        <v>2560</v>
      </c>
      <c r="B2564" s="4" t="inlineStr">
        <is>
          <t>retail</t>
        </is>
      </c>
      <c r="C2564" s="4" t="inlineStr">
        <is>
          <t>Bahnstraße</t>
        </is>
      </c>
      <c r="D2564" s="4" t="inlineStr">
        <is>
          <t>20-22</t>
        </is>
      </c>
      <c r="E2564" s="13" t="n">
        <v>439.9</v>
      </c>
      <c r="F2564" s="12" t="n">
        <v>0.2599983215332031</v>
      </c>
      <c r="G2564" s="4" t="n">
        <v>3</v>
      </c>
      <c r="H2564" s="4">
        <f>IF(OR(N(F2564)&gt;=0.5,G2564&gt;=4),3,IF(OR(N(F2564)&gt;=0.3,G2564=3),2,IF(OR(N(F2564)&gt;=0.1,G2564&gt;=1),1,0)))</f>
        <v/>
      </c>
      <c r="I2564" s="4">
        <f>CHOOSE(H2564+1,"Kein Risiko","Gering","Mittel","Hoch")</f>
        <v/>
      </c>
    </row>
    <row r="2565">
      <c r="A2565" s="4" t="n">
        <v>2561</v>
      </c>
      <c r="B2565" s="4" t="inlineStr">
        <is>
          <t>roof</t>
        </is>
      </c>
      <c r="C2565" s="4" t="inlineStr"/>
      <c r="D2565" s="4" t="inlineStr"/>
      <c r="E2565" s="13" t="n">
        <v>150.6</v>
      </c>
      <c r="F2565" s="12" t="n">
        <v>0.1199989318847656</v>
      </c>
      <c r="G2565" s="4" t="n">
        <v>0</v>
      </c>
      <c r="H2565" s="4">
        <f>IF(OR(N(F2565)&gt;=0.5,G2565&gt;=4),3,IF(OR(N(F2565)&gt;=0.3,G2565=3),2,IF(OR(N(F2565)&gt;=0.1,G2565&gt;=1),1,0)))</f>
        <v/>
      </c>
      <c r="I2565" s="4">
        <f>CHOOSE(H2565+1,"Kein Risiko","Gering","Mittel","Hoch")</f>
        <v/>
      </c>
    </row>
    <row r="2566">
      <c r="A2566" s="4" t="n">
        <v>2562</v>
      </c>
      <c r="B2566" s="4" t="inlineStr">
        <is>
          <t>garage</t>
        </is>
      </c>
      <c r="C2566" s="4" t="inlineStr"/>
      <c r="D2566" s="4" t="inlineStr"/>
      <c r="E2566" s="13" t="n">
        <v>93.59999999999999</v>
      </c>
      <c r="F2566" s="12" t="n">
        <v>0.1599998474121094</v>
      </c>
      <c r="G2566" s="4" t="n">
        <v>0</v>
      </c>
      <c r="H2566" s="4">
        <f>IF(OR(N(F2566)&gt;=0.5,G2566&gt;=4),3,IF(OR(N(F2566)&gt;=0.3,G2566=3),2,IF(OR(N(F2566)&gt;=0.1,G2566&gt;=1),1,0)))</f>
        <v/>
      </c>
      <c r="I2566" s="4">
        <f>CHOOSE(H2566+1,"Kein Risiko","Gering","Mittel","Hoch")</f>
        <v/>
      </c>
    </row>
    <row r="2567">
      <c r="A2567" s="4" t="n">
        <v>2563</v>
      </c>
      <c r="B2567" s="4" t="inlineStr">
        <is>
          <t>apartments</t>
        </is>
      </c>
      <c r="C2567" s="4" t="inlineStr">
        <is>
          <t>Dixbäume</t>
        </is>
      </c>
      <c r="D2567" s="4" t="inlineStr">
        <is>
          <t>57</t>
        </is>
      </c>
      <c r="E2567" s="13" t="n">
        <v>244.9</v>
      </c>
      <c r="F2567" s="12" t="n">
        <v>0</v>
      </c>
      <c r="G2567" s="4" t="n">
        <v>1</v>
      </c>
      <c r="H2567" s="4">
        <f>IF(OR(N(F2567)&gt;=0.5,G2567&gt;=4),3,IF(OR(N(F2567)&gt;=0.3,G2567=3),2,IF(OR(N(F2567)&gt;=0.1,G2567&gt;=1),1,0)))</f>
        <v/>
      </c>
      <c r="I2567" s="4">
        <f>CHOOSE(H2567+1,"Kein Risiko","Gering","Mittel","Hoch")</f>
        <v/>
      </c>
    </row>
    <row r="2568">
      <c r="A2568" s="4" t="n">
        <v>2564</v>
      </c>
      <c r="B2568" s="4" t="inlineStr">
        <is>
          <t>yes</t>
        </is>
      </c>
      <c r="C2568" s="4" t="inlineStr"/>
      <c r="D2568" s="4" t="inlineStr"/>
      <c r="E2568" s="13" t="n">
        <v>119</v>
      </c>
      <c r="F2568" s="12" t="n">
        <v>0.029998779296875</v>
      </c>
      <c r="G2568" s="4" t="n">
        <v>0</v>
      </c>
      <c r="H2568" s="4">
        <f>IF(OR(N(F2568)&gt;=0.5,G2568&gt;=4),3,IF(OR(N(F2568)&gt;=0.3,G2568=3),2,IF(OR(N(F2568)&gt;=0.1,G2568&gt;=1),1,0)))</f>
        <v/>
      </c>
      <c r="I2568" s="4">
        <f>CHOOSE(H2568+1,"Kein Risiko","Gering","Mittel","Hoch")</f>
        <v/>
      </c>
    </row>
    <row r="2569">
      <c r="A2569" s="4" t="n">
        <v>2565</v>
      </c>
      <c r="B2569" s="4" t="inlineStr">
        <is>
          <t>roof</t>
        </is>
      </c>
      <c r="C2569" s="4" t="inlineStr"/>
      <c r="D2569" s="4" t="inlineStr"/>
      <c r="E2569" s="13" t="n">
        <v>6.8</v>
      </c>
      <c r="F2569" s="12" t="n">
        <v>0</v>
      </c>
      <c r="G2569" s="4" t="n">
        <v>0</v>
      </c>
      <c r="H2569" s="4">
        <f>IF(OR(N(F2569)&gt;=0.5,G2569&gt;=4),3,IF(OR(N(F2569)&gt;=0.3,G2569=3),2,IF(OR(N(F2569)&gt;=0.1,G2569&gt;=1),1,0)))</f>
        <v/>
      </c>
      <c r="I2569" s="4">
        <f>CHOOSE(H2569+1,"Kein Risiko","Gering","Mittel","Hoch")</f>
        <v/>
      </c>
    </row>
    <row r="2570">
      <c r="A2570" s="4" t="n">
        <v>2566</v>
      </c>
      <c r="B2570" s="4" t="inlineStr">
        <is>
          <t>garage</t>
        </is>
      </c>
      <c r="C2570" s="4" t="inlineStr"/>
      <c r="D2570" s="4" t="inlineStr"/>
      <c r="E2570" s="13" t="n">
        <v>68.40000000000001</v>
      </c>
      <c r="F2570" s="12" t="n">
        <v>0</v>
      </c>
      <c r="G2570" s="4" t="n">
        <v>0</v>
      </c>
      <c r="H2570" s="4">
        <f>IF(OR(N(F2570)&gt;=0.5,G2570&gt;=4),3,IF(OR(N(F2570)&gt;=0.3,G2570=3),2,IF(OR(N(F2570)&gt;=0.1,G2570&gt;=1),1,0)))</f>
        <v/>
      </c>
      <c r="I2570" s="4">
        <f>CHOOSE(H2570+1,"Kein Risiko","Gering","Mittel","Hoch")</f>
        <v/>
      </c>
    </row>
    <row r="2571">
      <c r="A2571" s="4" t="n">
        <v>2567</v>
      </c>
      <c r="B2571" s="4" t="inlineStr">
        <is>
          <t>yes</t>
        </is>
      </c>
      <c r="C2571" s="4" t="inlineStr"/>
      <c r="D2571" s="4" t="inlineStr"/>
      <c r="E2571" s="13" t="n">
        <v>61.4</v>
      </c>
      <c r="F2571" s="12" t="n">
        <v>0.05999755859375</v>
      </c>
      <c r="G2571" s="4" t="n">
        <v>0</v>
      </c>
      <c r="H2571" s="4">
        <f>IF(OR(N(F2571)&gt;=0.5,G2571&gt;=4),3,IF(OR(N(F2571)&gt;=0.3,G2571=3),2,IF(OR(N(F2571)&gt;=0.1,G2571&gt;=1),1,0)))</f>
        <v/>
      </c>
      <c r="I2571" s="4">
        <f>CHOOSE(H2571+1,"Kein Risiko","Gering","Mittel","Hoch")</f>
        <v/>
      </c>
    </row>
    <row r="2572">
      <c r="A2572" s="4" t="n">
        <v>2568</v>
      </c>
      <c r="B2572" s="4" t="inlineStr">
        <is>
          <t>yes</t>
        </is>
      </c>
      <c r="C2572" s="4" t="inlineStr"/>
      <c r="D2572" s="4" t="inlineStr"/>
      <c r="E2572" s="13" t="n">
        <v>20.6</v>
      </c>
      <c r="F2572" s="12" t="n">
        <v>0</v>
      </c>
      <c r="G2572" s="4" t="n">
        <v>0</v>
      </c>
      <c r="H2572" s="4">
        <f>IF(OR(N(F2572)&gt;=0.5,G2572&gt;=4),3,IF(OR(N(F2572)&gt;=0.3,G2572=3),2,IF(OR(N(F2572)&gt;=0.1,G2572&gt;=1),1,0)))</f>
        <v/>
      </c>
      <c r="I2572" s="4">
        <f>CHOOSE(H2572+1,"Kein Risiko","Gering","Mittel","Hoch")</f>
        <v/>
      </c>
    </row>
    <row r="2573">
      <c r="A2573" s="4" t="n">
        <v>2569</v>
      </c>
      <c r="B2573" s="4" t="inlineStr">
        <is>
          <t>semidetached_house</t>
        </is>
      </c>
      <c r="C2573" s="4" t="inlineStr">
        <is>
          <t>Schliepersberg</t>
        </is>
      </c>
      <c r="D2573" s="4" t="inlineStr">
        <is>
          <t>6b</t>
        </is>
      </c>
      <c r="E2573" s="13" t="n">
        <v>78.59999999999999</v>
      </c>
      <c r="F2573" s="12" t="n">
        <v>0</v>
      </c>
      <c r="G2573" s="4" t="n">
        <v>0</v>
      </c>
      <c r="H2573" s="4">
        <f>IF(OR(N(F2573)&gt;=0.5,G2573&gt;=4),3,IF(OR(N(F2573)&gt;=0.3,G2573=3),2,IF(OR(N(F2573)&gt;=0.1,G2573&gt;=1),1,0)))</f>
        <v/>
      </c>
      <c r="I2573" s="4">
        <f>CHOOSE(H2573+1,"Kein Risiko","Gering","Mittel","Hoch")</f>
        <v/>
      </c>
    </row>
    <row r="2574">
      <c r="A2574" s="4" t="n">
        <v>2570</v>
      </c>
      <c r="B2574" s="4" t="inlineStr">
        <is>
          <t>industrial</t>
        </is>
      </c>
      <c r="C2574" s="4" t="inlineStr"/>
      <c r="D2574" s="4" t="inlineStr"/>
      <c r="E2574" s="13" t="n">
        <v>2504.1</v>
      </c>
      <c r="F2574" s="12" t="n">
        <v>0.06000137329101562</v>
      </c>
      <c r="G2574" s="4" t="n">
        <v>1</v>
      </c>
      <c r="H2574" s="4">
        <f>IF(OR(N(F2574)&gt;=0.5,G2574&gt;=4),3,IF(OR(N(F2574)&gt;=0.3,G2574=3),2,IF(OR(N(F2574)&gt;=0.1,G2574&gt;=1),1,0)))</f>
        <v/>
      </c>
      <c r="I2574" s="4">
        <f>CHOOSE(H2574+1,"Kein Risiko","Gering","Mittel","Hoch")</f>
        <v/>
      </c>
    </row>
    <row r="2575">
      <c r="A2575" s="4" t="n">
        <v>2571</v>
      </c>
      <c r="B2575" s="4" t="inlineStr">
        <is>
          <t>roof</t>
        </is>
      </c>
      <c r="C2575" s="4" t="inlineStr"/>
      <c r="D2575" s="4" t="inlineStr"/>
      <c r="E2575" s="13" t="n">
        <v>7.1</v>
      </c>
      <c r="F2575" s="12" t="n">
        <v>0</v>
      </c>
      <c r="G2575" s="4" t="n">
        <v>0</v>
      </c>
      <c r="H2575" s="4">
        <f>IF(OR(N(F2575)&gt;=0.5,G2575&gt;=4),3,IF(OR(N(F2575)&gt;=0.3,G2575=3),2,IF(OR(N(F2575)&gt;=0.1,G2575&gt;=1),1,0)))</f>
        <v/>
      </c>
      <c r="I2575" s="4">
        <f>CHOOSE(H2575+1,"Kein Risiko","Gering","Mittel","Hoch")</f>
        <v/>
      </c>
    </row>
    <row r="2576">
      <c r="A2576" s="4" t="n">
        <v>2572</v>
      </c>
      <c r="B2576" s="4" t="inlineStr">
        <is>
          <t>detached</t>
        </is>
      </c>
      <c r="C2576" s="4" t="inlineStr">
        <is>
          <t>Dilldorfer Straße</t>
        </is>
      </c>
      <c r="D2576" s="4" t="inlineStr">
        <is>
          <t>56</t>
        </is>
      </c>
      <c r="E2576" s="13" t="n">
        <v>99.09999999999999</v>
      </c>
      <c r="F2576" s="12" t="n">
        <v>0.01999664306640625</v>
      </c>
      <c r="G2576" s="4" t="n">
        <v>0</v>
      </c>
      <c r="H2576" s="4">
        <f>IF(OR(N(F2576)&gt;=0.5,G2576&gt;=4),3,IF(OR(N(F2576)&gt;=0.3,G2576=3),2,IF(OR(N(F2576)&gt;=0.1,G2576&gt;=1),1,0)))</f>
        <v/>
      </c>
      <c r="I2576" s="4">
        <f>CHOOSE(H2576+1,"Kein Risiko","Gering","Mittel","Hoch")</f>
        <v/>
      </c>
    </row>
    <row r="2577">
      <c r="A2577" s="4" t="n">
        <v>2573</v>
      </c>
      <c r="B2577" s="4" t="inlineStr">
        <is>
          <t>garage</t>
        </is>
      </c>
      <c r="C2577" s="4" t="inlineStr"/>
      <c r="D2577" s="4" t="inlineStr"/>
      <c r="E2577" s="13" t="n">
        <v>14.4</v>
      </c>
      <c r="F2577" s="12" t="n">
        <v>0</v>
      </c>
      <c r="G2577" s="4" t="n">
        <v>0</v>
      </c>
      <c r="H2577" s="4">
        <f>IF(OR(N(F2577)&gt;=0.5,G2577&gt;=4),3,IF(OR(N(F2577)&gt;=0.3,G2577=3),2,IF(OR(N(F2577)&gt;=0.1,G2577&gt;=1),1,0)))</f>
        <v/>
      </c>
      <c r="I2577" s="4">
        <f>CHOOSE(H2577+1,"Kein Risiko","Gering","Mittel","Hoch")</f>
        <v/>
      </c>
    </row>
    <row r="2578">
      <c r="A2578" s="4" t="n">
        <v>2574</v>
      </c>
      <c r="B2578" s="4" t="inlineStr">
        <is>
          <t>garage</t>
        </is>
      </c>
      <c r="C2578" s="4" t="inlineStr"/>
      <c r="D2578" s="4" t="inlineStr"/>
      <c r="E2578" s="13" t="n">
        <v>14</v>
      </c>
      <c r="F2578" s="12" t="n">
        <v>0</v>
      </c>
      <c r="G2578" s="4" t="n">
        <v>0</v>
      </c>
      <c r="H2578" s="4">
        <f>IF(OR(N(F2578)&gt;=0.5,G2578&gt;=4),3,IF(OR(N(F2578)&gt;=0.3,G2578=3),2,IF(OR(N(F2578)&gt;=0.1,G2578&gt;=1),1,0)))</f>
        <v/>
      </c>
      <c r="I2578" s="4">
        <f>CHOOSE(H2578+1,"Kein Risiko","Gering","Mittel","Hoch")</f>
        <v/>
      </c>
    </row>
    <row r="2579">
      <c r="A2579" s="4" t="n">
        <v>2575</v>
      </c>
      <c r="B2579" s="4" t="inlineStr">
        <is>
          <t>garage</t>
        </is>
      </c>
      <c r="C2579" s="4" t="inlineStr"/>
      <c r="D2579" s="4" t="inlineStr"/>
      <c r="E2579" s="13" t="n">
        <v>14.8</v>
      </c>
      <c r="F2579" s="12" t="n">
        <v>0</v>
      </c>
      <c r="G2579" s="4" t="n">
        <v>0</v>
      </c>
      <c r="H2579" s="4">
        <f>IF(OR(N(F2579)&gt;=0.5,G2579&gt;=4),3,IF(OR(N(F2579)&gt;=0.3,G2579=3),2,IF(OR(N(F2579)&gt;=0.1,G2579&gt;=1),1,0)))</f>
        <v/>
      </c>
      <c r="I2579" s="4">
        <f>CHOOSE(H2579+1,"Kein Risiko","Gering","Mittel","Hoch")</f>
        <v/>
      </c>
    </row>
    <row r="2580">
      <c r="A2580" s="4" t="n">
        <v>2576</v>
      </c>
      <c r="B2580" s="4" t="inlineStr">
        <is>
          <t>garage</t>
        </is>
      </c>
      <c r="C2580" s="4" t="inlineStr"/>
      <c r="D2580" s="4" t="inlineStr"/>
      <c r="E2580" s="13" t="n">
        <v>16.5</v>
      </c>
      <c r="F2580" s="12" t="n">
        <v>0.07999801635742188</v>
      </c>
      <c r="G2580" s="4" t="n">
        <v>0</v>
      </c>
      <c r="H2580" s="4">
        <f>IF(OR(N(F2580)&gt;=0.5,G2580&gt;=4),3,IF(OR(N(F2580)&gt;=0.3,G2580=3),2,IF(OR(N(F2580)&gt;=0.1,G2580&gt;=1),1,0)))</f>
        <v/>
      </c>
      <c r="I2580" s="4">
        <f>CHOOSE(H2580+1,"Kein Risiko","Gering","Mittel","Hoch")</f>
        <v/>
      </c>
    </row>
    <row r="2581">
      <c r="A2581" s="4" t="n">
        <v>2577</v>
      </c>
      <c r="B2581" s="4" t="inlineStr">
        <is>
          <t>garages</t>
        </is>
      </c>
      <c r="C2581" s="4" t="inlineStr"/>
      <c r="D2581" s="4" t="inlineStr"/>
      <c r="E2581" s="13" t="n">
        <v>35.8</v>
      </c>
      <c r="F2581" s="12" t="n">
        <v>0</v>
      </c>
      <c r="G2581" s="4" t="n">
        <v>0</v>
      </c>
      <c r="H2581" s="4">
        <f>IF(OR(N(F2581)&gt;=0.5,G2581&gt;=4),3,IF(OR(N(F2581)&gt;=0.3,G2581=3),2,IF(OR(N(F2581)&gt;=0.1,G2581&gt;=1),1,0)))</f>
        <v/>
      </c>
      <c r="I2581" s="4">
        <f>CHOOSE(H2581+1,"Kein Risiko","Gering","Mittel","Hoch")</f>
        <v/>
      </c>
    </row>
    <row r="2582">
      <c r="A2582" s="4" t="n">
        <v>2578</v>
      </c>
      <c r="B2582" s="4" t="inlineStr">
        <is>
          <t>apartments</t>
        </is>
      </c>
      <c r="C2582" s="4" t="inlineStr">
        <is>
          <t>Dilldorfer Straße</t>
        </is>
      </c>
      <c r="D2582" s="4" t="inlineStr">
        <is>
          <t>29</t>
        </is>
      </c>
      <c r="E2582" s="13" t="n">
        <v>244.9</v>
      </c>
      <c r="F2582" s="12" t="n">
        <v>0</v>
      </c>
      <c r="G2582" s="4" t="n">
        <v>0</v>
      </c>
      <c r="H2582" s="4">
        <f>IF(OR(N(F2582)&gt;=0.5,G2582&gt;=4),3,IF(OR(N(F2582)&gt;=0.3,G2582=3),2,IF(OR(N(F2582)&gt;=0.1,G2582&gt;=1),1,0)))</f>
        <v/>
      </c>
      <c r="I2582" s="4">
        <f>CHOOSE(H2582+1,"Kein Risiko","Gering","Mittel","Hoch")</f>
        <v/>
      </c>
    </row>
    <row r="2583">
      <c r="A2583" s="4" t="n">
        <v>2579</v>
      </c>
      <c r="B2583" s="4" t="inlineStr">
        <is>
          <t>apartments</t>
        </is>
      </c>
      <c r="C2583" s="4" t="inlineStr">
        <is>
          <t>Dilldorfer Allee</t>
        </is>
      </c>
      <c r="D2583" s="4" t="inlineStr">
        <is>
          <t>19</t>
        </is>
      </c>
      <c r="E2583" s="13" t="n">
        <v>400.4</v>
      </c>
      <c r="F2583" s="12" t="n">
        <v>0.04999542236328125</v>
      </c>
      <c r="G2583" s="4" t="n">
        <v>0</v>
      </c>
      <c r="H2583" s="4">
        <f>IF(OR(N(F2583)&gt;=0.5,G2583&gt;=4),3,IF(OR(N(F2583)&gt;=0.3,G2583=3),2,IF(OR(N(F2583)&gt;=0.1,G2583&gt;=1),1,0)))</f>
        <v/>
      </c>
      <c r="I2583" s="4">
        <f>CHOOSE(H2583+1,"Kein Risiko","Gering","Mittel","Hoch")</f>
        <v/>
      </c>
    </row>
    <row r="2584">
      <c r="A2584" s="4" t="n">
        <v>2580</v>
      </c>
      <c r="B2584" s="4" t="inlineStr">
        <is>
          <t>apartments</t>
        </is>
      </c>
      <c r="C2584" s="4" t="inlineStr">
        <is>
          <t>Dilldorfer Allee</t>
        </is>
      </c>
      <c r="D2584" s="4" t="inlineStr">
        <is>
          <t>17</t>
        </is>
      </c>
      <c r="E2584" s="13" t="n">
        <v>408.8</v>
      </c>
      <c r="F2584" s="12" t="n">
        <v>0.0399932861328125</v>
      </c>
      <c r="G2584" s="4" t="n">
        <v>0</v>
      </c>
      <c r="H2584" s="4">
        <f>IF(OR(N(F2584)&gt;=0.5,G2584&gt;=4),3,IF(OR(N(F2584)&gt;=0.3,G2584=3),2,IF(OR(N(F2584)&gt;=0.1,G2584&gt;=1),1,0)))</f>
        <v/>
      </c>
      <c r="I2584" s="4">
        <f>CHOOSE(H2584+1,"Kein Risiko","Gering","Mittel","Hoch")</f>
        <v/>
      </c>
    </row>
    <row r="2585">
      <c r="A2585" s="4" t="n">
        <v>2581</v>
      </c>
      <c r="B2585" s="4" t="inlineStr">
        <is>
          <t>apartments</t>
        </is>
      </c>
      <c r="C2585" s="4" t="inlineStr">
        <is>
          <t>Dilldorfer Allee</t>
        </is>
      </c>
      <c r="D2585" s="4" t="inlineStr">
        <is>
          <t>15</t>
        </is>
      </c>
      <c r="E2585" s="13" t="n">
        <v>384.2</v>
      </c>
      <c r="F2585" s="12" t="n">
        <v>0.0200042724609375</v>
      </c>
      <c r="G2585" s="4" t="n">
        <v>0</v>
      </c>
      <c r="H2585" s="4">
        <f>IF(OR(N(F2585)&gt;=0.5,G2585&gt;=4),3,IF(OR(N(F2585)&gt;=0.3,G2585=3),2,IF(OR(N(F2585)&gt;=0.1,G2585&gt;=1),1,0)))</f>
        <v/>
      </c>
      <c r="I2585" s="4">
        <f>CHOOSE(H2585+1,"Kein Risiko","Gering","Mittel","Hoch")</f>
        <v/>
      </c>
    </row>
    <row r="2586">
      <c r="A2586" s="4" t="n">
        <v>2582</v>
      </c>
      <c r="B2586" s="4" t="inlineStr">
        <is>
          <t>yes</t>
        </is>
      </c>
      <c r="C2586" s="4" t="inlineStr"/>
      <c r="D2586" s="4" t="inlineStr"/>
      <c r="E2586" s="13" t="n">
        <v>51.9</v>
      </c>
      <c r="F2586" s="12" t="n">
        <v>0.01999664306640625</v>
      </c>
      <c r="G2586" s="4" t="n">
        <v>0</v>
      </c>
      <c r="H2586" s="4">
        <f>IF(OR(N(F2586)&gt;=0.5,G2586&gt;=4),3,IF(OR(N(F2586)&gt;=0.3,G2586=3),2,IF(OR(N(F2586)&gt;=0.1,G2586&gt;=1),1,0)))</f>
        <v/>
      </c>
      <c r="I2586" s="4">
        <f>CHOOSE(H2586+1,"Kein Risiko","Gering","Mittel","Hoch")</f>
        <v/>
      </c>
    </row>
    <row r="2587">
      <c r="A2587" s="4" t="n">
        <v>2583</v>
      </c>
      <c r="B2587" s="4" t="inlineStr">
        <is>
          <t>roof</t>
        </is>
      </c>
      <c r="C2587" s="4" t="inlineStr"/>
      <c r="D2587" s="4" t="inlineStr"/>
      <c r="E2587" s="13" t="n">
        <v>7.3</v>
      </c>
      <c r="F2587" s="12" t="n">
        <v>0</v>
      </c>
      <c r="G2587" s="4" t="n">
        <v>4</v>
      </c>
      <c r="H2587" s="4">
        <f>IF(OR(N(F2587)&gt;=0.5,G2587&gt;=4),3,IF(OR(N(F2587)&gt;=0.3,G2587=3),2,IF(OR(N(F2587)&gt;=0.1,G2587&gt;=1),1,0)))</f>
        <v/>
      </c>
      <c r="I2587" s="4">
        <f>CHOOSE(H2587+1,"Kein Risiko","Gering","Mittel","Hoch")</f>
        <v/>
      </c>
    </row>
    <row r="2588">
      <c r="A2588" s="4" t="n">
        <v>2584</v>
      </c>
      <c r="B2588" s="4" t="inlineStr">
        <is>
          <t>roof</t>
        </is>
      </c>
      <c r="C2588" s="4" t="inlineStr"/>
      <c r="D2588" s="4" t="inlineStr"/>
      <c r="E2588" s="13" t="n">
        <v>6.8</v>
      </c>
      <c r="F2588" s="12" t="n">
        <v>0</v>
      </c>
      <c r="G2588" s="4" t="n">
        <v>0</v>
      </c>
      <c r="H2588" s="4">
        <f>IF(OR(N(F2588)&gt;=0.5,G2588&gt;=4),3,IF(OR(N(F2588)&gt;=0.3,G2588=3),2,IF(OR(N(F2588)&gt;=0.1,G2588&gt;=1),1,0)))</f>
        <v/>
      </c>
      <c r="I2588" s="4">
        <f>CHOOSE(H2588+1,"Kein Risiko","Gering","Mittel","Hoch")</f>
        <v/>
      </c>
    </row>
    <row r="2589">
      <c r="A2589" s="4" t="n">
        <v>2585</v>
      </c>
      <c r="B2589" s="4" t="inlineStr">
        <is>
          <t>roof</t>
        </is>
      </c>
      <c r="C2589" s="4" t="inlineStr"/>
      <c r="D2589" s="4" t="inlineStr"/>
      <c r="E2589" s="13" t="n">
        <v>4.3</v>
      </c>
      <c r="F2589" s="12" t="n">
        <v>0</v>
      </c>
      <c r="G2589" s="4" t="n">
        <v>0</v>
      </c>
      <c r="H2589" s="4">
        <f>IF(OR(N(F2589)&gt;=0.5,G2589&gt;=4),3,IF(OR(N(F2589)&gt;=0.3,G2589=3),2,IF(OR(N(F2589)&gt;=0.1,G2589&gt;=1),1,0)))</f>
        <v/>
      </c>
      <c r="I2589" s="4">
        <f>CHOOSE(H2589+1,"Kein Risiko","Gering","Mittel","Hoch")</f>
        <v/>
      </c>
    </row>
    <row r="2590">
      <c r="A2590" s="4" t="n">
        <v>2586</v>
      </c>
      <c r="B2590" s="4" t="inlineStr">
        <is>
          <t>roof</t>
        </is>
      </c>
      <c r="C2590" s="4" t="inlineStr"/>
      <c r="D2590" s="4" t="inlineStr"/>
      <c r="E2590" s="13" t="n">
        <v>4.9</v>
      </c>
      <c r="F2590" s="12" t="n">
        <v>0</v>
      </c>
      <c r="G2590" s="4" t="n">
        <v>1</v>
      </c>
      <c r="H2590" s="4">
        <f>IF(OR(N(F2590)&gt;=0.5,G2590&gt;=4),3,IF(OR(N(F2590)&gt;=0.3,G2590=3),2,IF(OR(N(F2590)&gt;=0.1,G2590&gt;=1),1,0)))</f>
        <v/>
      </c>
      <c r="I2590" s="4">
        <f>CHOOSE(H2590+1,"Kein Risiko","Gering","Mittel","Hoch")</f>
        <v/>
      </c>
    </row>
    <row r="2591">
      <c r="A2591" s="4" t="n">
        <v>2587</v>
      </c>
      <c r="B2591" s="4" t="inlineStr">
        <is>
          <t>semidetached_house</t>
        </is>
      </c>
      <c r="C2591" s="4" t="inlineStr">
        <is>
          <t>Schliepersberg</t>
        </is>
      </c>
      <c r="D2591" s="4" t="inlineStr">
        <is>
          <t>90</t>
        </is>
      </c>
      <c r="E2591" s="13" t="n">
        <v>75.3</v>
      </c>
      <c r="F2591" s="12" t="n">
        <v>0</v>
      </c>
      <c r="G2591" s="4" t="n">
        <v>0</v>
      </c>
      <c r="H2591" s="4">
        <f>IF(OR(N(F2591)&gt;=0.5,G2591&gt;=4),3,IF(OR(N(F2591)&gt;=0.3,G2591=3),2,IF(OR(N(F2591)&gt;=0.1,G2591&gt;=1),1,0)))</f>
        <v/>
      </c>
      <c r="I2591" s="4">
        <f>CHOOSE(H2591+1,"Kein Risiko","Gering","Mittel","Hoch")</f>
        <v/>
      </c>
    </row>
    <row r="2592">
      <c r="A2592" s="4" t="n">
        <v>2588</v>
      </c>
      <c r="B2592" s="4" t="inlineStr">
        <is>
          <t>garage</t>
        </is>
      </c>
      <c r="C2592" s="4" t="inlineStr"/>
      <c r="D2592" s="4" t="inlineStr"/>
      <c r="E2592" s="13" t="n">
        <v>28.4</v>
      </c>
      <c r="F2592" s="12" t="n">
        <v>0</v>
      </c>
      <c r="G2592" s="4" t="n">
        <v>0</v>
      </c>
      <c r="H2592" s="4">
        <f>IF(OR(N(F2592)&gt;=0.5,G2592&gt;=4),3,IF(OR(N(F2592)&gt;=0.3,G2592=3),2,IF(OR(N(F2592)&gt;=0.1,G2592&gt;=1),1,0)))</f>
        <v/>
      </c>
      <c r="I2592" s="4">
        <f>CHOOSE(H2592+1,"Kein Risiko","Gering","Mittel","Hoch")</f>
        <v/>
      </c>
    </row>
    <row r="2593">
      <c r="A2593" s="4" t="n">
        <v>2589</v>
      </c>
      <c r="B2593" s="4" t="inlineStr">
        <is>
          <t>garage</t>
        </is>
      </c>
      <c r="C2593" s="4" t="inlineStr"/>
      <c r="D2593" s="4" t="inlineStr"/>
      <c r="E2593" s="13" t="n">
        <v>17.8</v>
      </c>
      <c r="F2593" s="12" t="n">
        <v>0</v>
      </c>
      <c r="G2593" s="4" t="n">
        <v>0</v>
      </c>
      <c r="H2593" s="4">
        <f>IF(OR(N(F2593)&gt;=0.5,G2593&gt;=4),3,IF(OR(N(F2593)&gt;=0.3,G2593=3),2,IF(OR(N(F2593)&gt;=0.1,G2593&gt;=1),1,0)))</f>
        <v/>
      </c>
      <c r="I2593" s="4">
        <f>CHOOSE(H2593+1,"Kein Risiko","Gering","Mittel","Hoch")</f>
        <v/>
      </c>
    </row>
    <row r="2594">
      <c r="A2594" s="4" t="n">
        <v>2590</v>
      </c>
      <c r="B2594" s="4" t="inlineStr">
        <is>
          <t>garage</t>
        </is>
      </c>
      <c r="C2594" s="4" t="inlineStr"/>
      <c r="D2594" s="4" t="inlineStr"/>
      <c r="E2594" s="13" t="n">
        <v>17</v>
      </c>
      <c r="F2594" s="12" t="n">
        <v>0</v>
      </c>
      <c r="G2594" s="4" t="n">
        <v>0</v>
      </c>
      <c r="H2594" s="4">
        <f>IF(OR(N(F2594)&gt;=0.5,G2594&gt;=4),3,IF(OR(N(F2594)&gt;=0.3,G2594=3),2,IF(OR(N(F2594)&gt;=0.1,G2594&gt;=1),1,0)))</f>
        <v/>
      </c>
      <c r="I2594" s="4">
        <f>CHOOSE(H2594+1,"Kein Risiko","Gering","Mittel","Hoch")</f>
        <v/>
      </c>
    </row>
    <row r="2595">
      <c r="A2595" s="4" t="n">
        <v>2591</v>
      </c>
      <c r="B2595" s="4" t="inlineStr">
        <is>
          <t>semidetached_house</t>
        </is>
      </c>
      <c r="C2595" s="4" t="inlineStr">
        <is>
          <t>Schliepersberg</t>
        </is>
      </c>
      <c r="D2595" s="4" t="inlineStr">
        <is>
          <t>88</t>
        </is>
      </c>
      <c r="E2595" s="13" t="n">
        <v>68.59999999999999</v>
      </c>
      <c r="F2595" s="12" t="n">
        <v>0</v>
      </c>
      <c r="G2595" s="4" t="n">
        <v>0</v>
      </c>
      <c r="H2595" s="4">
        <f>IF(OR(N(F2595)&gt;=0.5,G2595&gt;=4),3,IF(OR(N(F2595)&gt;=0.3,G2595=3),2,IF(OR(N(F2595)&gt;=0.1,G2595&gt;=1),1,0)))</f>
        <v/>
      </c>
      <c r="I2595" s="4">
        <f>CHOOSE(H2595+1,"Kein Risiko","Gering","Mittel","Hoch")</f>
        <v/>
      </c>
    </row>
    <row r="2596">
      <c r="A2596" s="4" t="n">
        <v>2592</v>
      </c>
      <c r="B2596" s="4" t="inlineStr">
        <is>
          <t>semidetached_house</t>
        </is>
      </c>
      <c r="C2596" s="4" t="inlineStr">
        <is>
          <t>Schliepersberg</t>
        </is>
      </c>
      <c r="D2596" s="4" t="inlineStr">
        <is>
          <t>84</t>
        </is>
      </c>
      <c r="E2596" s="13" t="n">
        <v>67.8</v>
      </c>
      <c r="F2596" s="12" t="n">
        <v>0.279998779296875</v>
      </c>
      <c r="G2596" s="4" t="n">
        <v>0</v>
      </c>
      <c r="H2596" s="4">
        <f>IF(OR(N(F2596)&gt;=0.5,G2596&gt;=4),3,IF(OR(N(F2596)&gt;=0.3,G2596=3),2,IF(OR(N(F2596)&gt;=0.1,G2596&gt;=1),1,0)))</f>
        <v/>
      </c>
      <c r="I2596" s="4">
        <f>CHOOSE(H2596+1,"Kein Risiko","Gering","Mittel","Hoch")</f>
        <v/>
      </c>
    </row>
    <row r="2597">
      <c r="A2597" s="4" t="n">
        <v>2593</v>
      </c>
      <c r="B2597" s="4" t="inlineStr">
        <is>
          <t>semidetached_house</t>
        </is>
      </c>
      <c r="C2597" s="4" t="inlineStr">
        <is>
          <t>Schliepersberg</t>
        </is>
      </c>
      <c r="D2597" s="4" t="inlineStr">
        <is>
          <t>80</t>
        </is>
      </c>
      <c r="E2597" s="13" t="n">
        <v>67.09999999999999</v>
      </c>
      <c r="F2597" s="12" t="n">
        <v>0.1200027465820312</v>
      </c>
      <c r="G2597" s="4" t="n">
        <v>0</v>
      </c>
      <c r="H2597" s="4">
        <f>IF(OR(N(F2597)&gt;=0.5,G2597&gt;=4),3,IF(OR(N(F2597)&gt;=0.3,G2597=3),2,IF(OR(N(F2597)&gt;=0.1,G2597&gt;=1),1,0)))</f>
        <v/>
      </c>
      <c r="I2597" s="4">
        <f>CHOOSE(H2597+1,"Kein Risiko","Gering","Mittel","Hoch")</f>
        <v/>
      </c>
    </row>
    <row r="2598">
      <c r="A2598" s="4" t="n">
        <v>2594</v>
      </c>
      <c r="B2598" s="4" t="inlineStr">
        <is>
          <t>yes</t>
        </is>
      </c>
      <c r="C2598" s="4" t="inlineStr"/>
      <c r="D2598" s="4" t="inlineStr"/>
      <c r="E2598" s="13" t="n">
        <v>42.2</v>
      </c>
      <c r="F2598" s="12" t="n">
        <v>0</v>
      </c>
      <c r="G2598" s="4" t="n">
        <v>0</v>
      </c>
      <c r="H2598" s="4">
        <f>IF(OR(N(F2598)&gt;=0.5,G2598&gt;=4),3,IF(OR(N(F2598)&gt;=0.3,G2598=3),2,IF(OR(N(F2598)&gt;=0.1,G2598&gt;=1),1,0)))</f>
        <v/>
      </c>
      <c r="I2598" s="4">
        <f>CHOOSE(H2598+1,"Kein Risiko","Gering","Mittel","Hoch")</f>
        <v/>
      </c>
    </row>
    <row r="2599">
      <c r="A2599" s="4" t="n">
        <v>2595</v>
      </c>
      <c r="B2599" s="4" t="inlineStr">
        <is>
          <t>roof</t>
        </is>
      </c>
      <c r="C2599" s="4" t="inlineStr"/>
      <c r="D2599" s="4" t="inlineStr"/>
      <c r="E2599" s="13" t="n">
        <v>70.40000000000001</v>
      </c>
      <c r="F2599" s="12" t="n">
        <v>0.05999755859375</v>
      </c>
      <c r="G2599" s="4" t="n">
        <v>0</v>
      </c>
      <c r="H2599" s="4">
        <f>IF(OR(N(F2599)&gt;=0.5,G2599&gt;=4),3,IF(OR(N(F2599)&gt;=0.3,G2599=3),2,IF(OR(N(F2599)&gt;=0.1,G2599&gt;=1),1,0)))</f>
        <v/>
      </c>
      <c r="I2599" s="4">
        <f>CHOOSE(H2599+1,"Kein Risiko","Gering","Mittel","Hoch")</f>
        <v/>
      </c>
    </row>
    <row r="2600">
      <c r="A2600" s="4" t="n">
        <v>2596</v>
      </c>
      <c r="B2600" s="4" t="inlineStr">
        <is>
          <t>roof</t>
        </is>
      </c>
      <c r="C2600" s="4" t="inlineStr"/>
      <c r="D2600" s="4" t="inlineStr"/>
      <c r="E2600" s="13" t="n">
        <v>53.7</v>
      </c>
      <c r="F2600" s="12" t="n">
        <v>0</v>
      </c>
      <c r="G2600" s="4" t="n">
        <v>0</v>
      </c>
      <c r="H2600" s="4">
        <f>IF(OR(N(F2600)&gt;=0.5,G2600&gt;=4),3,IF(OR(N(F2600)&gt;=0.3,G2600=3),2,IF(OR(N(F2600)&gt;=0.1,G2600&gt;=1),1,0)))</f>
        <v/>
      </c>
      <c r="I2600" s="4">
        <f>CHOOSE(H2600+1,"Kein Risiko","Gering","Mittel","Hoch")</f>
        <v/>
      </c>
    </row>
    <row r="2601">
      <c r="A2601" s="4" t="n">
        <v>2597</v>
      </c>
      <c r="B2601" s="4" t="inlineStr">
        <is>
          <t>semidetached_house</t>
        </is>
      </c>
      <c r="C2601" s="4" t="inlineStr">
        <is>
          <t>Schliepersberg</t>
        </is>
      </c>
      <c r="D2601" s="4" t="inlineStr">
        <is>
          <t>92</t>
        </is>
      </c>
      <c r="E2601" s="13" t="n">
        <v>69.5</v>
      </c>
      <c r="F2601" s="12" t="n">
        <v>0</v>
      </c>
      <c r="G2601" s="4" t="n">
        <v>0</v>
      </c>
      <c r="H2601" s="4">
        <f>IF(OR(N(F2601)&gt;=0.5,G2601&gt;=4),3,IF(OR(N(F2601)&gt;=0.3,G2601=3),2,IF(OR(N(F2601)&gt;=0.1,G2601&gt;=1),1,0)))</f>
        <v/>
      </c>
      <c r="I2601" s="4">
        <f>CHOOSE(H2601+1,"Kein Risiko","Gering","Mittel","Hoch")</f>
        <v/>
      </c>
    </row>
    <row r="2602">
      <c r="A2602" s="4" t="n">
        <v>2598</v>
      </c>
      <c r="B2602" s="4" t="inlineStr">
        <is>
          <t>semidetached_house</t>
        </is>
      </c>
      <c r="C2602" s="4" t="inlineStr">
        <is>
          <t>Schliepersberg</t>
        </is>
      </c>
      <c r="D2602" s="4" t="inlineStr">
        <is>
          <t>86</t>
        </is>
      </c>
      <c r="E2602" s="13" t="n">
        <v>67.90000000000001</v>
      </c>
      <c r="F2602" s="12" t="n">
        <v>0</v>
      </c>
      <c r="G2602" s="4" t="n">
        <v>0</v>
      </c>
      <c r="H2602" s="4">
        <f>IF(OR(N(F2602)&gt;=0.5,G2602&gt;=4),3,IF(OR(N(F2602)&gt;=0.3,G2602=3),2,IF(OR(N(F2602)&gt;=0.1,G2602&gt;=1),1,0)))</f>
        <v/>
      </c>
      <c r="I2602" s="4">
        <f>CHOOSE(H2602+1,"Kein Risiko","Gering","Mittel","Hoch")</f>
        <v/>
      </c>
    </row>
    <row r="2603">
      <c r="A2603" s="4" t="n">
        <v>2599</v>
      </c>
      <c r="B2603" s="4" t="inlineStr">
        <is>
          <t>garage</t>
        </is>
      </c>
      <c r="C2603" s="4" t="inlineStr"/>
      <c r="D2603" s="4" t="inlineStr"/>
      <c r="E2603" s="13" t="n">
        <v>19</v>
      </c>
      <c r="F2603" s="12" t="n">
        <v>0</v>
      </c>
      <c r="G2603" s="4" t="n">
        <v>0</v>
      </c>
      <c r="H2603" s="4">
        <f>IF(OR(N(F2603)&gt;=0.5,G2603&gt;=4),3,IF(OR(N(F2603)&gt;=0.3,G2603=3),2,IF(OR(N(F2603)&gt;=0.1,G2603&gt;=1),1,0)))</f>
        <v/>
      </c>
      <c r="I2603" s="4">
        <f>CHOOSE(H2603+1,"Kein Risiko","Gering","Mittel","Hoch")</f>
        <v/>
      </c>
    </row>
    <row r="2604">
      <c r="A2604" s="4" t="n">
        <v>2600</v>
      </c>
      <c r="B2604" s="4" t="inlineStr">
        <is>
          <t>garage</t>
        </is>
      </c>
      <c r="C2604" s="4" t="inlineStr"/>
      <c r="D2604" s="4" t="inlineStr"/>
      <c r="E2604" s="13" t="n">
        <v>16.3</v>
      </c>
      <c r="F2604" s="12" t="n">
        <v>0</v>
      </c>
      <c r="G2604" s="4" t="n">
        <v>0</v>
      </c>
      <c r="H2604" s="4">
        <f>IF(OR(N(F2604)&gt;=0.5,G2604&gt;=4),3,IF(OR(N(F2604)&gt;=0.3,G2604=3),2,IF(OR(N(F2604)&gt;=0.1,G2604&gt;=1),1,0)))</f>
        <v/>
      </c>
      <c r="I2604" s="4">
        <f>CHOOSE(H2604+1,"Kein Risiko","Gering","Mittel","Hoch")</f>
        <v/>
      </c>
    </row>
    <row r="2605">
      <c r="A2605" s="4" t="n">
        <v>2601</v>
      </c>
      <c r="B2605" s="4" t="inlineStr">
        <is>
          <t>semidetached_house</t>
        </is>
      </c>
      <c r="C2605" s="4" t="inlineStr">
        <is>
          <t>Schliepersberg</t>
        </is>
      </c>
      <c r="D2605" s="4" t="inlineStr">
        <is>
          <t>82</t>
        </is>
      </c>
      <c r="E2605" s="13" t="n">
        <v>71.59999999999999</v>
      </c>
      <c r="F2605" s="12" t="n">
        <v>0.2399978637695312</v>
      </c>
      <c r="G2605" s="4" t="n">
        <v>0</v>
      </c>
      <c r="H2605" s="4">
        <f>IF(OR(N(F2605)&gt;=0.5,G2605&gt;=4),3,IF(OR(N(F2605)&gt;=0.3,G2605=3),2,IF(OR(N(F2605)&gt;=0.1,G2605&gt;=1),1,0)))</f>
        <v/>
      </c>
      <c r="I2605" s="4">
        <f>CHOOSE(H2605+1,"Kein Risiko","Gering","Mittel","Hoch")</f>
        <v/>
      </c>
    </row>
    <row r="2606">
      <c r="A2606" s="4" t="n">
        <v>2602</v>
      </c>
      <c r="B2606" s="4" t="inlineStr">
        <is>
          <t>semidetached_house</t>
        </is>
      </c>
      <c r="C2606" s="4" t="inlineStr">
        <is>
          <t>Schliepersberg</t>
        </is>
      </c>
      <c r="D2606" s="4" t="inlineStr">
        <is>
          <t>78</t>
        </is>
      </c>
      <c r="E2606" s="13" t="n">
        <v>68.90000000000001</v>
      </c>
      <c r="F2606" s="12" t="n">
        <v>0.1500015258789062</v>
      </c>
      <c r="G2606" s="4" t="n">
        <v>1</v>
      </c>
      <c r="H2606" s="4">
        <f>IF(OR(N(F2606)&gt;=0.5,G2606&gt;=4),3,IF(OR(N(F2606)&gt;=0.3,G2606=3),2,IF(OR(N(F2606)&gt;=0.1,G2606&gt;=1),1,0)))</f>
        <v/>
      </c>
      <c r="I2606" s="4">
        <f>CHOOSE(H2606+1,"Kein Risiko","Gering","Mittel","Hoch")</f>
        <v/>
      </c>
    </row>
    <row r="2607">
      <c r="A2607" s="4" t="n">
        <v>2603</v>
      </c>
      <c r="B2607" s="4" t="inlineStr">
        <is>
          <t>container</t>
        </is>
      </c>
      <c r="C2607" s="4" t="inlineStr"/>
      <c r="D2607" s="4" t="inlineStr"/>
      <c r="E2607" s="13" t="n">
        <v>7.4</v>
      </c>
      <c r="F2607" s="12" t="n">
        <v>0</v>
      </c>
      <c r="G2607" s="4" t="n">
        <v>1</v>
      </c>
      <c r="H2607" s="4">
        <f>IF(OR(N(F2607)&gt;=0.5,G2607&gt;=4),3,IF(OR(N(F2607)&gt;=0.3,G2607=3),2,IF(OR(N(F2607)&gt;=0.1,G2607&gt;=1),1,0)))</f>
        <v/>
      </c>
      <c r="I2607" s="4">
        <f>CHOOSE(H2607+1,"Kein Risiko","Gering","Mittel","Hoch")</f>
        <v/>
      </c>
    </row>
    <row r="2608">
      <c r="A2608" s="4" t="n">
        <v>2604</v>
      </c>
      <c r="B2608" s="4" t="inlineStr">
        <is>
          <t>school</t>
        </is>
      </c>
      <c r="C2608" s="4" t="inlineStr"/>
      <c r="D2608" s="4" t="inlineStr"/>
      <c r="E2608" s="13" t="n">
        <v>199.7</v>
      </c>
      <c r="F2608" s="12" t="n">
        <v>0.0099945068359375</v>
      </c>
      <c r="G2608" s="4" t="n">
        <v>0</v>
      </c>
      <c r="H2608" s="4">
        <f>IF(OR(N(F2608)&gt;=0.5,G2608&gt;=4),3,IF(OR(N(F2608)&gt;=0.3,G2608=3),2,IF(OR(N(F2608)&gt;=0.1,G2608&gt;=1),1,0)))</f>
        <v/>
      </c>
      <c r="I2608" s="4">
        <f>CHOOSE(H2608+1,"Kein Risiko","Gering","Mittel","Hoch")</f>
        <v/>
      </c>
    </row>
    <row r="2609">
      <c r="A2609" s="4" t="n">
        <v>2605</v>
      </c>
      <c r="B2609" s="4" t="inlineStr">
        <is>
          <t>container</t>
        </is>
      </c>
      <c r="C2609" s="4" t="inlineStr"/>
      <c r="D2609" s="4" t="inlineStr"/>
      <c r="E2609" s="13" t="n">
        <v>7.7</v>
      </c>
      <c r="F2609" s="12" t="n">
        <v>0.0200042724609375</v>
      </c>
      <c r="G2609" s="4" t="n">
        <v>1</v>
      </c>
      <c r="H2609" s="4">
        <f>IF(OR(N(F2609)&gt;=0.5,G2609&gt;=4),3,IF(OR(N(F2609)&gt;=0.3,G2609=3),2,IF(OR(N(F2609)&gt;=0.1,G2609&gt;=1),1,0)))</f>
        <v/>
      </c>
      <c r="I2609" s="4">
        <f>CHOOSE(H2609+1,"Kein Risiko","Gering","Mittel","Hoch")</f>
        <v/>
      </c>
    </row>
    <row r="2610">
      <c r="A2610" s="4" t="n">
        <v>2606</v>
      </c>
      <c r="B2610" s="4" t="inlineStr">
        <is>
          <t>container</t>
        </is>
      </c>
      <c r="C2610" s="4" t="inlineStr"/>
      <c r="D2610" s="4" t="inlineStr"/>
      <c r="E2610" s="13" t="n">
        <v>7.1</v>
      </c>
      <c r="F2610" s="12" t="n">
        <v>0</v>
      </c>
      <c r="G2610" s="4" t="n">
        <v>0</v>
      </c>
      <c r="H2610" s="4">
        <f>IF(OR(N(F2610)&gt;=0.5,G2610&gt;=4),3,IF(OR(N(F2610)&gt;=0.3,G2610=3),2,IF(OR(N(F2610)&gt;=0.1,G2610&gt;=1),1,0)))</f>
        <v/>
      </c>
      <c r="I2610" s="4">
        <f>CHOOSE(H2610+1,"Kein Risiko","Gering","Mittel","Hoch")</f>
        <v/>
      </c>
    </row>
    <row r="2611">
      <c r="A2611" s="4" t="n">
        <v>2607</v>
      </c>
      <c r="B2611" s="4" t="inlineStr">
        <is>
          <t>yes</t>
        </is>
      </c>
      <c r="C2611" s="4" t="inlineStr"/>
      <c r="D2611" s="4" t="inlineStr"/>
      <c r="E2611" s="13" t="n">
        <v>145.1</v>
      </c>
      <c r="F2611" s="12" t="n">
        <v>0.03000640869140625</v>
      </c>
      <c r="G2611" s="4" t="n">
        <v>0</v>
      </c>
      <c r="H2611" s="4">
        <f>IF(OR(N(F2611)&gt;=0.5,G2611&gt;=4),3,IF(OR(N(F2611)&gt;=0.3,G2611=3),2,IF(OR(N(F2611)&gt;=0.1,G2611&gt;=1),1,0)))</f>
        <v/>
      </c>
      <c r="I2611" s="4">
        <f>CHOOSE(H2611+1,"Kein Risiko","Gering","Mittel","Hoch")</f>
        <v/>
      </c>
    </row>
    <row r="2612">
      <c r="A2612" s="4" t="n">
        <v>2608</v>
      </c>
      <c r="B2612" s="4" t="inlineStr">
        <is>
          <t>garage</t>
        </is>
      </c>
      <c r="C2612" s="4" t="inlineStr"/>
      <c r="D2612" s="4" t="inlineStr"/>
      <c r="E2612" s="13" t="n">
        <v>20.7</v>
      </c>
      <c r="F2612" s="12" t="n">
        <v>0</v>
      </c>
      <c r="G2612" s="4" t="n">
        <v>1</v>
      </c>
      <c r="H2612" s="4">
        <f>IF(OR(N(F2612)&gt;=0.5,G2612&gt;=4),3,IF(OR(N(F2612)&gt;=0.3,G2612=3),2,IF(OR(N(F2612)&gt;=0.1,G2612&gt;=1),1,0)))</f>
        <v/>
      </c>
      <c r="I2612" s="4">
        <f>CHOOSE(H2612+1,"Kein Risiko","Gering","Mittel","Hoch")</f>
        <v/>
      </c>
    </row>
    <row r="2613">
      <c r="A2613" s="4" t="n">
        <v>2609</v>
      </c>
      <c r="B2613" s="4" t="inlineStr">
        <is>
          <t>garage</t>
        </is>
      </c>
      <c r="C2613" s="4" t="inlineStr"/>
      <c r="D2613" s="4" t="inlineStr"/>
      <c r="E2613" s="13" t="n">
        <v>18.1</v>
      </c>
      <c r="F2613" s="12" t="n">
        <v>0</v>
      </c>
      <c r="G2613" s="4" t="n">
        <v>1</v>
      </c>
      <c r="H2613" s="4">
        <f>IF(OR(N(F2613)&gt;=0.5,G2613&gt;=4),3,IF(OR(N(F2613)&gt;=0.3,G2613=3),2,IF(OR(N(F2613)&gt;=0.1,G2613&gt;=1),1,0)))</f>
        <v/>
      </c>
      <c r="I2613" s="4">
        <f>CHOOSE(H2613+1,"Kein Risiko","Gering","Mittel","Hoch")</f>
        <v/>
      </c>
    </row>
    <row r="2614">
      <c r="A2614" s="4" t="n">
        <v>2610</v>
      </c>
      <c r="B2614" s="4" t="inlineStr">
        <is>
          <t>garage</t>
        </is>
      </c>
      <c r="C2614" s="4" t="inlineStr"/>
      <c r="D2614" s="4" t="inlineStr"/>
      <c r="E2614" s="13" t="n">
        <v>17.6</v>
      </c>
      <c r="F2614" s="12" t="n">
        <v>0</v>
      </c>
      <c r="G2614" s="4" t="n">
        <v>1</v>
      </c>
      <c r="H2614" s="4">
        <f>IF(OR(N(F2614)&gt;=0.5,G2614&gt;=4),3,IF(OR(N(F2614)&gt;=0.3,G2614=3),2,IF(OR(N(F2614)&gt;=0.1,G2614&gt;=1),1,0)))</f>
        <v/>
      </c>
      <c r="I2614" s="4">
        <f>CHOOSE(H2614+1,"Kein Risiko","Gering","Mittel","Hoch")</f>
        <v/>
      </c>
    </row>
    <row r="2615">
      <c r="A2615" s="4" t="n">
        <v>2611</v>
      </c>
      <c r="B2615" s="4" t="inlineStr">
        <is>
          <t>yes</t>
        </is>
      </c>
      <c r="C2615" s="4" t="inlineStr"/>
      <c r="D2615" s="4" t="inlineStr"/>
      <c r="E2615" s="13" t="n">
        <v>37.8</v>
      </c>
      <c r="F2615" s="12" t="n">
        <v>0</v>
      </c>
      <c r="G2615" s="4" t="n">
        <v>0</v>
      </c>
      <c r="H2615" s="4">
        <f>IF(OR(N(F2615)&gt;=0.5,G2615&gt;=4),3,IF(OR(N(F2615)&gt;=0.3,G2615=3),2,IF(OR(N(F2615)&gt;=0.1,G2615&gt;=1),1,0)))</f>
        <v/>
      </c>
      <c r="I2615" s="4">
        <f>CHOOSE(H2615+1,"Kein Risiko","Gering","Mittel","Hoch")</f>
        <v/>
      </c>
    </row>
    <row r="2616">
      <c r="A2616" s="4" t="n">
        <v>2612</v>
      </c>
      <c r="B2616" s="4" t="inlineStr">
        <is>
          <t>yes</t>
        </is>
      </c>
      <c r="C2616" s="4" t="inlineStr"/>
      <c r="D2616" s="4" t="inlineStr"/>
      <c r="E2616" s="13" t="n">
        <v>38.3</v>
      </c>
      <c r="F2616" s="12" t="n">
        <v>0</v>
      </c>
      <c r="G2616" s="4" t="n">
        <v>2</v>
      </c>
      <c r="H2616" s="4">
        <f>IF(OR(N(F2616)&gt;=0.5,G2616&gt;=4),3,IF(OR(N(F2616)&gt;=0.3,G2616=3),2,IF(OR(N(F2616)&gt;=0.1,G2616&gt;=1),1,0)))</f>
        <v/>
      </c>
      <c r="I2616" s="4">
        <f>CHOOSE(H2616+1,"Kein Risiko","Gering","Mittel","Hoch")</f>
        <v/>
      </c>
    </row>
    <row r="2617">
      <c r="A2617" s="4" t="n">
        <v>2613</v>
      </c>
      <c r="B2617" s="4" t="inlineStr">
        <is>
          <t>yes</t>
        </is>
      </c>
      <c r="C2617" s="4" t="inlineStr"/>
      <c r="D2617" s="4" t="inlineStr"/>
      <c r="E2617" s="13" t="n">
        <v>55.7</v>
      </c>
      <c r="F2617" s="12" t="n">
        <v>0</v>
      </c>
      <c r="G2617" s="4" t="n">
        <v>0</v>
      </c>
      <c r="H2617" s="4">
        <f>IF(OR(N(F2617)&gt;=0.5,G2617&gt;=4),3,IF(OR(N(F2617)&gt;=0.3,G2617=3),2,IF(OR(N(F2617)&gt;=0.1,G2617&gt;=1),1,0)))</f>
        <v/>
      </c>
      <c r="I2617" s="4">
        <f>CHOOSE(H2617+1,"Kein Risiko","Gering","Mittel","Hoch")</f>
        <v/>
      </c>
    </row>
    <row r="2618">
      <c r="A2618" s="4" t="n">
        <v>2614</v>
      </c>
      <c r="B2618" s="4" t="inlineStr">
        <is>
          <t>yes</t>
        </is>
      </c>
      <c r="C2618" s="4" t="inlineStr"/>
      <c r="D2618" s="4" t="inlineStr"/>
      <c r="E2618" s="13" t="n">
        <v>35</v>
      </c>
      <c r="F2618" s="12" t="n">
        <v>0.01999664306640625</v>
      </c>
      <c r="G2618" s="4" t="n">
        <v>0</v>
      </c>
      <c r="H2618" s="4">
        <f>IF(OR(N(F2618)&gt;=0.5,G2618&gt;=4),3,IF(OR(N(F2618)&gt;=0.3,G2618=3),2,IF(OR(N(F2618)&gt;=0.1,G2618&gt;=1),1,0)))</f>
        <v/>
      </c>
      <c r="I2618" s="4">
        <f>CHOOSE(H2618+1,"Kein Risiko","Gering","Mittel","Hoch")</f>
        <v/>
      </c>
    </row>
    <row r="2619">
      <c r="A2619" s="4" t="n">
        <v>2615</v>
      </c>
      <c r="B2619" s="4" t="inlineStr">
        <is>
          <t>yes</t>
        </is>
      </c>
      <c r="C2619" s="4" t="inlineStr"/>
      <c r="D2619" s="4" t="inlineStr"/>
      <c r="E2619" s="13" t="n">
        <v>59</v>
      </c>
      <c r="F2619" s="12" t="n">
        <v>0</v>
      </c>
      <c r="G2619" s="4" t="n">
        <v>0</v>
      </c>
      <c r="H2619" s="4">
        <f>IF(OR(N(F2619)&gt;=0.5,G2619&gt;=4),3,IF(OR(N(F2619)&gt;=0.3,G2619=3),2,IF(OR(N(F2619)&gt;=0.1,G2619&gt;=1),1,0)))</f>
        <v/>
      </c>
      <c r="I2619" s="4">
        <f>CHOOSE(H2619+1,"Kein Risiko","Gering","Mittel","Hoch")</f>
        <v/>
      </c>
    </row>
    <row r="2620">
      <c r="A2620" s="4" t="n">
        <v>2616</v>
      </c>
      <c r="B2620" s="4" t="inlineStr">
        <is>
          <t>yes</t>
        </is>
      </c>
      <c r="C2620" s="4" t="inlineStr"/>
      <c r="D2620" s="4" t="inlineStr"/>
      <c r="E2620" s="13" t="n">
        <v>26.9</v>
      </c>
      <c r="F2620" s="12" t="n">
        <v>0</v>
      </c>
      <c r="G2620" s="4" t="n">
        <v>1</v>
      </c>
      <c r="H2620" s="4">
        <f>IF(OR(N(F2620)&gt;=0.5,G2620&gt;=4),3,IF(OR(N(F2620)&gt;=0.3,G2620=3),2,IF(OR(N(F2620)&gt;=0.1,G2620&gt;=1),1,0)))</f>
        <v/>
      </c>
      <c r="I2620" s="4">
        <f>CHOOSE(H2620+1,"Kein Risiko","Gering","Mittel","Hoch")</f>
        <v/>
      </c>
    </row>
    <row r="2621">
      <c r="A2621" s="4" t="n">
        <v>2617</v>
      </c>
      <c r="B2621" s="4" t="inlineStr">
        <is>
          <t>yes</t>
        </is>
      </c>
      <c r="C2621" s="4" t="inlineStr"/>
      <c r="D2621" s="4" t="inlineStr"/>
      <c r="E2621" s="13" t="n">
        <v>196</v>
      </c>
      <c r="F2621" s="12" t="n">
        <v>0.1200027465820312</v>
      </c>
      <c r="G2621" s="4" t="n">
        <v>0</v>
      </c>
      <c r="H2621" s="4">
        <f>IF(OR(N(F2621)&gt;=0.5,G2621&gt;=4),3,IF(OR(N(F2621)&gt;=0.3,G2621=3),2,IF(OR(N(F2621)&gt;=0.1,G2621&gt;=1),1,0)))</f>
        <v/>
      </c>
      <c r="I2621" s="4">
        <f>CHOOSE(H2621+1,"Kein Risiko","Gering","Mittel","Hoch")</f>
        <v/>
      </c>
    </row>
    <row r="2622">
      <c r="A2622" s="4" t="n">
        <v>2618</v>
      </c>
      <c r="B2622" s="4" t="inlineStr">
        <is>
          <t>yes</t>
        </is>
      </c>
      <c r="C2622" s="4" t="inlineStr"/>
      <c r="D2622" s="4" t="inlineStr"/>
      <c r="E2622" s="13" t="n">
        <v>33.5</v>
      </c>
      <c r="F2622" s="12" t="n">
        <v>0</v>
      </c>
      <c r="G2622" s="4" t="n">
        <v>0</v>
      </c>
      <c r="H2622" s="4">
        <f>IF(OR(N(F2622)&gt;=0.5,G2622&gt;=4),3,IF(OR(N(F2622)&gt;=0.3,G2622=3),2,IF(OR(N(F2622)&gt;=0.1,G2622&gt;=1),1,0)))</f>
        <v/>
      </c>
      <c r="I2622" s="4">
        <f>CHOOSE(H2622+1,"Kein Risiko","Gering","Mittel","Hoch")</f>
        <v/>
      </c>
    </row>
    <row r="2623">
      <c r="A2623" s="4" t="n">
        <v>2619</v>
      </c>
      <c r="B2623" s="4" t="inlineStr">
        <is>
          <t>yes</t>
        </is>
      </c>
      <c r="C2623" s="4" t="inlineStr"/>
      <c r="D2623" s="4" t="inlineStr"/>
      <c r="E2623" s="13" t="n">
        <v>38.4</v>
      </c>
      <c r="F2623" s="12" t="n">
        <v>0</v>
      </c>
      <c r="G2623" s="4" t="n">
        <v>0</v>
      </c>
      <c r="H2623" s="4">
        <f>IF(OR(N(F2623)&gt;=0.5,G2623&gt;=4),3,IF(OR(N(F2623)&gt;=0.3,G2623=3),2,IF(OR(N(F2623)&gt;=0.1,G2623&gt;=1),1,0)))</f>
        <v/>
      </c>
      <c r="I2623" s="4">
        <f>CHOOSE(H2623+1,"Kein Risiko","Gering","Mittel","Hoch")</f>
        <v/>
      </c>
    </row>
    <row r="2624">
      <c r="A2624" s="4" t="n">
        <v>2620</v>
      </c>
      <c r="B2624" s="4" t="inlineStr">
        <is>
          <t>yes</t>
        </is>
      </c>
      <c r="C2624" s="4" t="inlineStr"/>
      <c r="D2624" s="4" t="inlineStr"/>
      <c r="E2624" s="13" t="n">
        <v>30.7</v>
      </c>
      <c r="F2624" s="12" t="n">
        <v>0.0200042724609375</v>
      </c>
      <c r="G2624" s="4" t="n">
        <v>0</v>
      </c>
      <c r="H2624" s="4">
        <f>IF(OR(N(F2624)&gt;=0.5,G2624&gt;=4),3,IF(OR(N(F2624)&gt;=0.3,G2624=3),2,IF(OR(N(F2624)&gt;=0.1,G2624&gt;=1),1,0)))</f>
        <v/>
      </c>
      <c r="I2624" s="4">
        <f>CHOOSE(H2624+1,"Kein Risiko","Gering","Mittel","Hoch")</f>
        <v/>
      </c>
    </row>
    <row r="2625">
      <c r="A2625" s="4" t="n">
        <v>2621</v>
      </c>
      <c r="B2625" s="4" t="inlineStr">
        <is>
          <t>yes</t>
        </is>
      </c>
      <c r="C2625" s="4" t="inlineStr"/>
      <c r="D2625" s="4" t="inlineStr"/>
      <c r="E2625" s="13" t="n">
        <v>32.6</v>
      </c>
      <c r="F2625" s="12" t="n">
        <v>0</v>
      </c>
      <c r="G2625" s="4" t="n">
        <v>0</v>
      </c>
      <c r="H2625" s="4">
        <f>IF(OR(N(F2625)&gt;=0.5,G2625&gt;=4),3,IF(OR(N(F2625)&gt;=0.3,G2625=3),2,IF(OR(N(F2625)&gt;=0.1,G2625&gt;=1),1,0)))</f>
        <v/>
      </c>
      <c r="I2625" s="4">
        <f>CHOOSE(H2625+1,"Kein Risiko","Gering","Mittel","Hoch")</f>
        <v/>
      </c>
    </row>
    <row r="2626">
      <c r="A2626" s="4" t="n">
        <v>2622</v>
      </c>
      <c r="B2626" s="4" t="inlineStr">
        <is>
          <t>garage</t>
        </is>
      </c>
      <c r="C2626" s="4" t="inlineStr"/>
      <c r="D2626" s="4" t="inlineStr"/>
      <c r="E2626" s="13" t="n">
        <v>55.9</v>
      </c>
      <c r="F2626" s="12" t="n">
        <v>0</v>
      </c>
      <c r="G2626" s="4" t="n">
        <v>0</v>
      </c>
      <c r="H2626" s="4">
        <f>IF(OR(N(F2626)&gt;=0.5,G2626&gt;=4),3,IF(OR(N(F2626)&gt;=0.3,G2626=3),2,IF(OR(N(F2626)&gt;=0.1,G2626&gt;=1),1,0)))</f>
        <v/>
      </c>
      <c r="I2626" s="4">
        <f>CHOOSE(H2626+1,"Kein Risiko","Gering","Mittel","Hoch")</f>
        <v/>
      </c>
    </row>
    <row r="2627">
      <c r="A2627" s="4" t="n">
        <v>2623</v>
      </c>
      <c r="B2627" s="4" t="inlineStr">
        <is>
          <t>yes</t>
        </is>
      </c>
      <c r="C2627" s="4" t="inlineStr"/>
      <c r="D2627" s="4" t="inlineStr"/>
      <c r="E2627" s="13" t="n">
        <v>36.4</v>
      </c>
      <c r="F2627" s="12" t="n">
        <v>0</v>
      </c>
      <c r="G2627" s="4" t="n">
        <v>0</v>
      </c>
      <c r="H2627" s="4">
        <f>IF(OR(N(F2627)&gt;=0.5,G2627&gt;=4),3,IF(OR(N(F2627)&gt;=0.3,G2627=3),2,IF(OR(N(F2627)&gt;=0.1,G2627&gt;=1),1,0)))</f>
        <v/>
      </c>
      <c r="I2627" s="4">
        <f>CHOOSE(H2627+1,"Kein Risiko","Gering","Mittel","Hoch")</f>
        <v/>
      </c>
    </row>
    <row r="2628">
      <c r="A2628" s="4" t="n">
        <v>2624</v>
      </c>
      <c r="B2628" s="4" t="inlineStr">
        <is>
          <t>garage</t>
        </is>
      </c>
      <c r="C2628" s="4" t="inlineStr"/>
      <c r="D2628" s="4" t="inlineStr"/>
      <c r="E2628" s="13" t="n">
        <v>16.8</v>
      </c>
      <c r="F2628" s="12" t="n">
        <v>0</v>
      </c>
      <c r="G2628" s="4" t="n">
        <v>0</v>
      </c>
      <c r="H2628" s="4">
        <f>IF(OR(N(F2628)&gt;=0.5,G2628&gt;=4),3,IF(OR(N(F2628)&gt;=0.3,G2628=3),2,IF(OR(N(F2628)&gt;=0.1,G2628&gt;=1),1,0)))</f>
        <v/>
      </c>
      <c r="I2628" s="4">
        <f>CHOOSE(H2628+1,"Kein Risiko","Gering","Mittel","Hoch")</f>
        <v/>
      </c>
    </row>
    <row r="2629">
      <c r="A2629" s="4" t="n">
        <v>2625</v>
      </c>
      <c r="B2629" s="4" t="inlineStr">
        <is>
          <t>garage</t>
        </is>
      </c>
      <c r="C2629" s="4" t="inlineStr"/>
      <c r="D2629" s="4" t="inlineStr"/>
      <c r="E2629" s="13" t="n">
        <v>16.8</v>
      </c>
      <c r="F2629" s="12" t="n">
        <v>0</v>
      </c>
      <c r="G2629" s="4" t="n">
        <v>0</v>
      </c>
      <c r="H2629" s="4">
        <f>IF(OR(N(F2629)&gt;=0.5,G2629&gt;=4),3,IF(OR(N(F2629)&gt;=0.3,G2629=3),2,IF(OR(N(F2629)&gt;=0.1,G2629&gt;=1),1,0)))</f>
        <v/>
      </c>
      <c r="I2629" s="4">
        <f>CHOOSE(H2629+1,"Kein Risiko","Gering","Mittel","Hoch")</f>
        <v/>
      </c>
    </row>
    <row r="2630">
      <c r="A2630" s="4" t="n">
        <v>2626</v>
      </c>
      <c r="B2630" s="4" t="inlineStr">
        <is>
          <t>garage</t>
        </is>
      </c>
      <c r="C2630" s="4" t="inlineStr"/>
      <c r="D2630" s="4" t="inlineStr"/>
      <c r="E2630" s="13" t="n">
        <v>16.7</v>
      </c>
      <c r="F2630" s="12" t="n">
        <v>0</v>
      </c>
      <c r="G2630" s="4" t="n">
        <v>0</v>
      </c>
      <c r="H2630" s="4">
        <f>IF(OR(N(F2630)&gt;=0.5,G2630&gt;=4),3,IF(OR(N(F2630)&gt;=0.3,G2630=3),2,IF(OR(N(F2630)&gt;=0.1,G2630&gt;=1),1,0)))</f>
        <v/>
      </c>
      <c r="I2630" s="4">
        <f>CHOOSE(H2630+1,"Kein Risiko","Gering","Mittel","Hoch")</f>
        <v/>
      </c>
    </row>
    <row r="2631">
      <c r="A2631" s="4" t="n">
        <v>2627</v>
      </c>
      <c r="B2631" s="4" t="inlineStr">
        <is>
          <t>garage</t>
        </is>
      </c>
      <c r="C2631" s="4" t="inlineStr"/>
      <c r="D2631" s="4" t="inlineStr"/>
      <c r="E2631" s="13" t="n">
        <v>16.7</v>
      </c>
      <c r="F2631" s="12" t="n">
        <v>0</v>
      </c>
      <c r="G2631" s="4" t="n">
        <v>0</v>
      </c>
      <c r="H2631" s="4">
        <f>IF(OR(N(F2631)&gt;=0.5,G2631&gt;=4),3,IF(OR(N(F2631)&gt;=0.3,G2631=3),2,IF(OR(N(F2631)&gt;=0.1,G2631&gt;=1),1,0)))</f>
        <v/>
      </c>
      <c r="I2631" s="4">
        <f>CHOOSE(H2631+1,"Kein Risiko","Gering","Mittel","Hoch")</f>
        <v/>
      </c>
    </row>
    <row r="2632">
      <c r="A2632" s="4" t="n">
        <v>2628</v>
      </c>
      <c r="B2632" s="4" t="inlineStr">
        <is>
          <t>garage</t>
        </is>
      </c>
      <c r="C2632" s="4" t="inlineStr"/>
      <c r="D2632" s="4" t="inlineStr"/>
      <c r="E2632" s="13" t="n">
        <v>16.8</v>
      </c>
      <c r="F2632" s="12" t="n">
        <v>0</v>
      </c>
      <c r="G2632" s="4" t="n">
        <v>0</v>
      </c>
      <c r="H2632" s="4">
        <f>IF(OR(N(F2632)&gt;=0.5,G2632&gt;=4),3,IF(OR(N(F2632)&gt;=0.3,G2632=3),2,IF(OR(N(F2632)&gt;=0.1,G2632&gt;=1),1,0)))</f>
        <v/>
      </c>
      <c r="I2632" s="4">
        <f>CHOOSE(H2632+1,"Kein Risiko","Gering","Mittel","Hoch")</f>
        <v/>
      </c>
    </row>
    <row r="2633">
      <c r="A2633" s="4" t="n">
        <v>2629</v>
      </c>
      <c r="B2633" s="4" t="inlineStr">
        <is>
          <t>garage</t>
        </is>
      </c>
      <c r="C2633" s="4" t="inlineStr"/>
      <c r="D2633" s="4" t="inlineStr"/>
      <c r="E2633" s="13" t="n">
        <v>16.7</v>
      </c>
      <c r="F2633" s="12" t="n">
        <v>0</v>
      </c>
      <c r="G2633" s="4" t="n">
        <v>0</v>
      </c>
      <c r="H2633" s="4">
        <f>IF(OR(N(F2633)&gt;=0.5,G2633&gt;=4),3,IF(OR(N(F2633)&gt;=0.3,G2633=3),2,IF(OR(N(F2633)&gt;=0.1,G2633&gt;=1),1,0)))</f>
        <v/>
      </c>
      <c r="I2633" s="4">
        <f>CHOOSE(H2633+1,"Kein Risiko","Gering","Mittel","Hoch")</f>
        <v/>
      </c>
    </row>
    <row r="2634">
      <c r="A2634" s="4" t="n">
        <v>2630</v>
      </c>
      <c r="B2634" s="4" t="inlineStr">
        <is>
          <t>garage</t>
        </is>
      </c>
      <c r="C2634" s="4" t="inlineStr"/>
      <c r="D2634" s="4" t="inlineStr"/>
      <c r="E2634" s="13" t="n">
        <v>17.3</v>
      </c>
      <c r="F2634" s="12" t="n">
        <v>0.0200042724609375</v>
      </c>
      <c r="G2634" s="4" t="n">
        <v>0</v>
      </c>
      <c r="H2634" s="4">
        <f>IF(OR(N(F2634)&gt;=0.5,G2634&gt;=4),3,IF(OR(N(F2634)&gt;=0.3,G2634=3),2,IF(OR(N(F2634)&gt;=0.1,G2634&gt;=1),1,0)))</f>
        <v/>
      </c>
      <c r="I2634" s="4">
        <f>CHOOSE(H2634+1,"Kein Risiko","Gering","Mittel","Hoch")</f>
        <v/>
      </c>
    </row>
    <row r="2635">
      <c r="A2635" s="4" t="n">
        <v>2631</v>
      </c>
      <c r="B2635" s="4" t="inlineStr">
        <is>
          <t>garage</t>
        </is>
      </c>
      <c r="C2635" s="4" t="inlineStr"/>
      <c r="D2635" s="4" t="inlineStr"/>
      <c r="E2635" s="13" t="n">
        <v>17.1</v>
      </c>
      <c r="F2635" s="12" t="n">
        <v>0.04000091552734375</v>
      </c>
      <c r="G2635" s="4" t="n">
        <v>0</v>
      </c>
      <c r="H2635" s="4">
        <f>IF(OR(N(F2635)&gt;=0.5,G2635&gt;=4),3,IF(OR(N(F2635)&gt;=0.3,G2635=3),2,IF(OR(N(F2635)&gt;=0.1,G2635&gt;=1),1,0)))</f>
        <v/>
      </c>
      <c r="I2635" s="4">
        <f>CHOOSE(H2635+1,"Kein Risiko","Gering","Mittel","Hoch")</f>
        <v/>
      </c>
    </row>
    <row r="2636">
      <c r="A2636" s="4" t="n">
        <v>2632</v>
      </c>
      <c r="B2636" s="4" t="inlineStr">
        <is>
          <t>yes</t>
        </is>
      </c>
      <c r="C2636" s="4" t="inlineStr"/>
      <c r="D2636" s="4" t="inlineStr"/>
      <c r="E2636" s="13" t="n">
        <v>35.7</v>
      </c>
      <c r="F2636" s="12" t="n">
        <v>0</v>
      </c>
      <c r="G2636" s="4" t="n">
        <v>0</v>
      </c>
      <c r="H2636" s="4">
        <f>IF(OR(N(F2636)&gt;=0.5,G2636&gt;=4),3,IF(OR(N(F2636)&gt;=0.3,G2636=3),2,IF(OR(N(F2636)&gt;=0.1,G2636&gt;=1),1,0)))</f>
        <v/>
      </c>
      <c r="I2636" s="4">
        <f>CHOOSE(H2636+1,"Kein Risiko","Gering","Mittel","Hoch")</f>
        <v/>
      </c>
    </row>
    <row r="2637">
      <c r="A2637" s="4" t="n">
        <v>2633</v>
      </c>
      <c r="B2637" s="4" t="inlineStr">
        <is>
          <t>yes</t>
        </is>
      </c>
      <c r="C2637" s="4" t="inlineStr"/>
      <c r="D2637" s="4" t="inlineStr"/>
      <c r="E2637" s="13" t="n">
        <v>119</v>
      </c>
      <c r="F2637" s="12" t="n">
        <v>0</v>
      </c>
      <c r="G2637" s="4" t="n">
        <v>0</v>
      </c>
      <c r="H2637" s="4">
        <f>IF(OR(N(F2637)&gt;=0.5,G2637&gt;=4),3,IF(OR(N(F2637)&gt;=0.3,G2637=3),2,IF(OR(N(F2637)&gt;=0.1,G2637&gt;=1),1,0)))</f>
        <v/>
      </c>
      <c r="I2637" s="4">
        <f>CHOOSE(H2637+1,"Kein Risiko","Gering","Mittel","Hoch")</f>
        <v/>
      </c>
    </row>
    <row r="2638">
      <c r="A2638" s="4" t="n">
        <v>2634</v>
      </c>
      <c r="B2638" s="4" t="inlineStr">
        <is>
          <t>yes</t>
        </is>
      </c>
      <c r="C2638" s="4" t="inlineStr"/>
      <c r="D2638" s="4" t="inlineStr"/>
      <c r="E2638" s="13" t="n">
        <v>82.09999999999999</v>
      </c>
      <c r="F2638" s="12" t="n">
        <v>0</v>
      </c>
      <c r="G2638" s="4" t="n">
        <v>0</v>
      </c>
      <c r="H2638" s="4">
        <f>IF(OR(N(F2638)&gt;=0.5,G2638&gt;=4),3,IF(OR(N(F2638)&gt;=0.3,G2638=3),2,IF(OR(N(F2638)&gt;=0.1,G2638&gt;=1),1,0)))</f>
        <v/>
      </c>
      <c r="I2638" s="4">
        <f>CHOOSE(H2638+1,"Kein Risiko","Gering","Mittel","Hoch")</f>
        <v/>
      </c>
    </row>
    <row r="2639">
      <c r="A2639" s="4" t="n">
        <v>2635</v>
      </c>
      <c r="B2639" s="4" t="inlineStr">
        <is>
          <t>yes</t>
        </is>
      </c>
      <c r="C2639" s="4" t="inlineStr"/>
      <c r="D2639" s="4" t="inlineStr"/>
      <c r="E2639" s="13" t="n">
        <v>64.59999999999999</v>
      </c>
      <c r="F2639" s="12" t="n">
        <v>0</v>
      </c>
      <c r="G2639" s="4" t="n">
        <v>0</v>
      </c>
      <c r="H2639" s="4">
        <f>IF(OR(N(F2639)&gt;=0.5,G2639&gt;=4),3,IF(OR(N(F2639)&gt;=0.3,G2639=3),2,IF(OR(N(F2639)&gt;=0.1,G2639&gt;=1),1,0)))</f>
        <v/>
      </c>
      <c r="I2639" s="4">
        <f>CHOOSE(H2639+1,"Kein Risiko","Gering","Mittel","Hoch")</f>
        <v/>
      </c>
    </row>
    <row r="2640">
      <c r="A2640" s="4" t="n">
        <v>2636</v>
      </c>
      <c r="B2640" s="4" t="inlineStr">
        <is>
          <t>yes</t>
        </is>
      </c>
      <c r="C2640" s="4" t="inlineStr"/>
      <c r="D2640" s="4" t="inlineStr"/>
      <c r="E2640" s="13" t="n">
        <v>49.4</v>
      </c>
      <c r="F2640" s="12" t="n">
        <v>0.089996337890625</v>
      </c>
      <c r="G2640" s="4" t="n">
        <v>0</v>
      </c>
      <c r="H2640" s="4">
        <f>IF(OR(N(F2640)&gt;=0.5,G2640&gt;=4),3,IF(OR(N(F2640)&gt;=0.3,G2640=3),2,IF(OR(N(F2640)&gt;=0.1,G2640&gt;=1),1,0)))</f>
        <v/>
      </c>
      <c r="I2640" s="4">
        <f>CHOOSE(H2640+1,"Kein Risiko","Gering","Mittel","Hoch")</f>
        <v/>
      </c>
    </row>
    <row r="2641">
      <c r="A2641" s="4" t="n">
        <v>2637</v>
      </c>
      <c r="B2641" s="4" t="inlineStr">
        <is>
          <t>yes</t>
        </is>
      </c>
      <c r="C2641" s="4" t="inlineStr"/>
      <c r="D2641" s="4" t="inlineStr"/>
      <c r="E2641" s="13" t="n">
        <v>24.6</v>
      </c>
      <c r="F2641" s="12" t="n">
        <v>0</v>
      </c>
      <c r="G2641" s="4" t="n">
        <v>0</v>
      </c>
      <c r="H2641" s="4">
        <f>IF(OR(N(F2641)&gt;=0.5,G2641&gt;=4),3,IF(OR(N(F2641)&gt;=0.3,G2641=3),2,IF(OR(N(F2641)&gt;=0.1,G2641&gt;=1),1,0)))</f>
        <v/>
      </c>
      <c r="I2641" s="4">
        <f>CHOOSE(H2641+1,"Kein Risiko","Gering","Mittel","Hoch")</f>
        <v/>
      </c>
    </row>
    <row r="2642">
      <c r="A2642" s="4" t="n">
        <v>2638</v>
      </c>
      <c r="B2642" s="4" t="inlineStr">
        <is>
          <t>yes</t>
        </is>
      </c>
      <c r="C2642" s="4" t="inlineStr"/>
      <c r="D2642" s="4" t="inlineStr"/>
      <c r="E2642" s="13" t="n">
        <v>52.2</v>
      </c>
      <c r="F2642" s="12" t="n">
        <v>0</v>
      </c>
      <c r="G2642" s="4" t="n">
        <v>1</v>
      </c>
      <c r="H2642" s="4">
        <f>IF(OR(N(F2642)&gt;=0.5,G2642&gt;=4),3,IF(OR(N(F2642)&gt;=0.3,G2642=3),2,IF(OR(N(F2642)&gt;=0.1,G2642&gt;=1),1,0)))</f>
        <v/>
      </c>
      <c r="I2642" s="4">
        <f>CHOOSE(H2642+1,"Kein Risiko","Gering","Mittel","Hoch")</f>
        <v/>
      </c>
    </row>
    <row r="2643">
      <c r="A2643" s="4" t="n">
        <v>2639</v>
      </c>
      <c r="B2643" s="4" t="inlineStr">
        <is>
          <t>yes</t>
        </is>
      </c>
      <c r="C2643" s="4" t="inlineStr"/>
      <c r="D2643" s="4" t="inlineStr"/>
      <c r="E2643" s="13" t="n">
        <v>34.1</v>
      </c>
      <c r="F2643" s="12" t="n">
        <v>0</v>
      </c>
      <c r="G2643" s="4" t="n">
        <v>0</v>
      </c>
      <c r="H2643" s="4">
        <f>IF(OR(N(F2643)&gt;=0.5,G2643&gt;=4),3,IF(OR(N(F2643)&gt;=0.3,G2643=3),2,IF(OR(N(F2643)&gt;=0.1,G2643&gt;=1),1,0)))</f>
        <v/>
      </c>
      <c r="I2643" s="4">
        <f>CHOOSE(H2643+1,"Kein Risiko","Gering","Mittel","Hoch")</f>
        <v/>
      </c>
    </row>
    <row r="2644">
      <c r="A2644" s="4" t="n">
        <v>2640</v>
      </c>
      <c r="B2644" s="4" t="inlineStr">
        <is>
          <t>yes</t>
        </is>
      </c>
      <c r="C2644" s="4" t="inlineStr"/>
      <c r="D2644" s="4" t="inlineStr"/>
      <c r="E2644" s="13" t="n">
        <v>89.09999999999999</v>
      </c>
      <c r="F2644" s="12" t="n">
        <v>0.0800018310546875</v>
      </c>
      <c r="G2644" s="4" t="n">
        <v>1</v>
      </c>
      <c r="H2644" s="4">
        <f>IF(OR(N(F2644)&gt;=0.5,G2644&gt;=4),3,IF(OR(N(F2644)&gt;=0.3,G2644=3),2,IF(OR(N(F2644)&gt;=0.1,G2644&gt;=1),1,0)))</f>
        <v/>
      </c>
      <c r="I2644" s="4">
        <f>CHOOSE(H2644+1,"Kein Risiko","Gering","Mittel","Hoch")</f>
        <v/>
      </c>
    </row>
    <row r="2645">
      <c r="A2645" s="4" t="n">
        <v>2641</v>
      </c>
      <c r="B2645" s="4" t="inlineStr">
        <is>
          <t>yes</t>
        </is>
      </c>
      <c r="C2645" s="4" t="inlineStr"/>
      <c r="D2645" s="4" t="inlineStr"/>
      <c r="E2645" s="13" t="n">
        <v>58.6</v>
      </c>
      <c r="F2645" s="12" t="n">
        <v>0</v>
      </c>
      <c r="G2645" s="4" t="n">
        <v>0</v>
      </c>
      <c r="H2645" s="4">
        <f>IF(OR(N(F2645)&gt;=0.5,G2645&gt;=4),3,IF(OR(N(F2645)&gt;=0.3,G2645=3),2,IF(OR(N(F2645)&gt;=0.1,G2645&gt;=1),1,0)))</f>
        <v/>
      </c>
      <c r="I2645" s="4">
        <f>CHOOSE(H2645+1,"Kein Risiko","Gering","Mittel","Hoch")</f>
        <v/>
      </c>
    </row>
    <row r="2646">
      <c r="A2646" s="4" t="n">
        <v>2642</v>
      </c>
      <c r="B2646" s="4" t="inlineStr">
        <is>
          <t>yes</t>
        </is>
      </c>
      <c r="C2646" s="4" t="inlineStr"/>
      <c r="D2646" s="4" t="inlineStr"/>
      <c r="E2646" s="13" t="n">
        <v>29.9</v>
      </c>
      <c r="F2646" s="12" t="n">
        <v>0</v>
      </c>
      <c r="G2646" s="4" t="n">
        <v>0</v>
      </c>
      <c r="H2646" s="4">
        <f>IF(OR(N(F2646)&gt;=0.5,G2646&gt;=4),3,IF(OR(N(F2646)&gt;=0.3,G2646=3),2,IF(OR(N(F2646)&gt;=0.1,G2646&gt;=1),1,0)))</f>
        <v/>
      </c>
      <c r="I2646" s="4">
        <f>CHOOSE(H2646+1,"Kein Risiko","Gering","Mittel","Hoch")</f>
        <v/>
      </c>
    </row>
    <row r="2647">
      <c r="A2647" s="4" t="n">
        <v>2643</v>
      </c>
      <c r="B2647" s="4" t="inlineStr">
        <is>
          <t>yes</t>
        </is>
      </c>
      <c r="C2647" s="4" t="inlineStr"/>
      <c r="D2647" s="4" t="inlineStr"/>
      <c r="E2647" s="13" t="n">
        <v>36.5</v>
      </c>
      <c r="F2647" s="12" t="n">
        <v>0</v>
      </c>
      <c r="G2647" s="4" t="n">
        <v>0</v>
      </c>
      <c r="H2647" s="4">
        <f>IF(OR(N(F2647)&gt;=0.5,G2647&gt;=4),3,IF(OR(N(F2647)&gt;=0.3,G2647=3),2,IF(OR(N(F2647)&gt;=0.1,G2647&gt;=1),1,0)))</f>
        <v/>
      </c>
      <c r="I2647" s="4">
        <f>CHOOSE(H2647+1,"Kein Risiko","Gering","Mittel","Hoch")</f>
        <v/>
      </c>
    </row>
    <row r="2648">
      <c r="A2648" s="4" t="n">
        <v>2644</v>
      </c>
      <c r="B2648" s="4" t="inlineStr">
        <is>
          <t>yes</t>
        </is>
      </c>
      <c r="C2648" s="4" t="inlineStr"/>
      <c r="D2648" s="4" t="inlineStr"/>
      <c r="E2648" s="13" t="n">
        <v>26.3</v>
      </c>
      <c r="F2648" s="12" t="n">
        <v>0.01000213623046875</v>
      </c>
      <c r="G2648" s="4" t="n">
        <v>0</v>
      </c>
      <c r="H2648" s="4">
        <f>IF(OR(N(F2648)&gt;=0.5,G2648&gt;=4),3,IF(OR(N(F2648)&gt;=0.3,G2648=3),2,IF(OR(N(F2648)&gt;=0.1,G2648&gt;=1),1,0)))</f>
        <v/>
      </c>
      <c r="I2648" s="4">
        <f>CHOOSE(H2648+1,"Kein Risiko","Gering","Mittel","Hoch")</f>
        <v/>
      </c>
    </row>
    <row r="2649">
      <c r="A2649" s="4" t="n">
        <v>2645</v>
      </c>
      <c r="B2649" s="4" t="inlineStr">
        <is>
          <t>yes</t>
        </is>
      </c>
      <c r="C2649" s="4" t="inlineStr"/>
      <c r="D2649" s="4" t="inlineStr"/>
      <c r="E2649" s="13" t="n">
        <v>40.7</v>
      </c>
      <c r="F2649" s="12" t="n">
        <v>0.05999755859375</v>
      </c>
      <c r="G2649" s="4" t="n">
        <v>0</v>
      </c>
      <c r="H2649" s="4">
        <f>IF(OR(N(F2649)&gt;=0.5,G2649&gt;=4),3,IF(OR(N(F2649)&gt;=0.3,G2649=3),2,IF(OR(N(F2649)&gt;=0.1,G2649&gt;=1),1,0)))</f>
        <v/>
      </c>
      <c r="I2649" s="4">
        <f>CHOOSE(H2649+1,"Kein Risiko","Gering","Mittel","Hoch")</f>
        <v/>
      </c>
    </row>
    <row r="2650">
      <c r="A2650" s="4" t="n">
        <v>2646</v>
      </c>
      <c r="B2650" s="4" t="inlineStr">
        <is>
          <t>yes</t>
        </is>
      </c>
      <c r="C2650" s="4" t="inlineStr"/>
      <c r="D2650" s="4" t="inlineStr"/>
      <c r="E2650" s="13" t="n">
        <v>20.9</v>
      </c>
      <c r="F2650" s="12" t="n">
        <v>0</v>
      </c>
      <c r="G2650" s="4" t="n">
        <v>0</v>
      </c>
      <c r="H2650" s="4">
        <f>IF(OR(N(F2650)&gt;=0.5,G2650&gt;=4),3,IF(OR(N(F2650)&gt;=0.3,G2650=3),2,IF(OR(N(F2650)&gt;=0.1,G2650&gt;=1),1,0)))</f>
        <v/>
      </c>
      <c r="I2650" s="4">
        <f>CHOOSE(H2650+1,"Kein Risiko","Gering","Mittel","Hoch")</f>
        <v/>
      </c>
    </row>
    <row r="2651">
      <c r="A2651" s="4" t="n">
        <v>2647</v>
      </c>
      <c r="B2651" s="4" t="inlineStr">
        <is>
          <t>yes</t>
        </is>
      </c>
      <c r="C2651" s="4" t="inlineStr"/>
      <c r="D2651" s="4" t="inlineStr"/>
      <c r="E2651" s="13" t="n">
        <v>18.4</v>
      </c>
      <c r="F2651" s="12" t="n">
        <v>0</v>
      </c>
      <c r="G2651" s="4" t="n">
        <v>0</v>
      </c>
      <c r="H2651" s="4">
        <f>IF(OR(N(F2651)&gt;=0.5,G2651&gt;=4),3,IF(OR(N(F2651)&gt;=0.3,G2651=3),2,IF(OR(N(F2651)&gt;=0.1,G2651&gt;=1),1,0)))</f>
        <v/>
      </c>
      <c r="I2651" s="4">
        <f>CHOOSE(H2651+1,"Kein Risiko","Gering","Mittel","Hoch")</f>
        <v/>
      </c>
    </row>
    <row r="2652">
      <c r="A2652" s="4" t="n">
        <v>2648</v>
      </c>
      <c r="B2652" s="4" t="inlineStr">
        <is>
          <t>yes</t>
        </is>
      </c>
      <c r="C2652" s="4" t="inlineStr"/>
      <c r="D2652" s="4" t="inlineStr"/>
      <c r="E2652" s="13" t="n">
        <v>37</v>
      </c>
      <c r="F2652" s="12" t="n">
        <v>0</v>
      </c>
      <c r="G2652" s="4" t="n">
        <v>0</v>
      </c>
      <c r="H2652" s="4">
        <f>IF(OR(N(F2652)&gt;=0.5,G2652&gt;=4),3,IF(OR(N(F2652)&gt;=0.3,G2652=3),2,IF(OR(N(F2652)&gt;=0.1,G2652&gt;=1),1,0)))</f>
        <v/>
      </c>
      <c r="I2652" s="4">
        <f>CHOOSE(H2652+1,"Kein Risiko","Gering","Mittel","Hoch")</f>
        <v/>
      </c>
    </row>
    <row r="2653">
      <c r="A2653" s="4" t="n">
        <v>2649</v>
      </c>
      <c r="B2653" s="4" t="inlineStr">
        <is>
          <t>yes</t>
        </is>
      </c>
      <c r="C2653" s="4" t="inlineStr"/>
      <c r="D2653" s="4" t="inlineStr"/>
      <c r="E2653" s="13" t="n">
        <v>55.5</v>
      </c>
      <c r="F2653" s="12" t="n">
        <v>0</v>
      </c>
      <c r="G2653" s="4" t="n">
        <v>0</v>
      </c>
      <c r="H2653" s="4">
        <f>IF(OR(N(F2653)&gt;=0.5,G2653&gt;=4),3,IF(OR(N(F2653)&gt;=0.3,G2653=3),2,IF(OR(N(F2653)&gt;=0.1,G2653&gt;=1),1,0)))</f>
        <v/>
      </c>
      <c r="I2653" s="4">
        <f>CHOOSE(H2653+1,"Kein Risiko","Gering","Mittel","Hoch")</f>
        <v/>
      </c>
    </row>
    <row r="2654">
      <c r="A2654" s="4" t="n">
        <v>2650</v>
      </c>
      <c r="B2654" s="4" t="inlineStr">
        <is>
          <t>yes</t>
        </is>
      </c>
      <c r="C2654" s="4" t="inlineStr"/>
      <c r="D2654" s="4" t="inlineStr"/>
      <c r="E2654" s="13" t="n">
        <v>60.1</v>
      </c>
      <c r="F2654" s="12" t="n">
        <v>0.029998779296875</v>
      </c>
      <c r="G2654" s="4" t="n">
        <v>0</v>
      </c>
      <c r="H2654" s="4">
        <f>IF(OR(N(F2654)&gt;=0.5,G2654&gt;=4),3,IF(OR(N(F2654)&gt;=0.3,G2654=3),2,IF(OR(N(F2654)&gt;=0.1,G2654&gt;=1),1,0)))</f>
        <v/>
      </c>
      <c r="I2654" s="4">
        <f>CHOOSE(H2654+1,"Kein Risiko","Gering","Mittel","Hoch")</f>
        <v/>
      </c>
    </row>
    <row r="2655">
      <c r="A2655" s="4" t="n">
        <v>2651</v>
      </c>
      <c r="B2655" s="4" t="inlineStr">
        <is>
          <t>yes</t>
        </is>
      </c>
      <c r="C2655" s="4" t="inlineStr"/>
      <c r="D2655" s="4" t="inlineStr"/>
      <c r="E2655" s="13" t="n">
        <v>142</v>
      </c>
      <c r="F2655" s="12" t="n">
        <v>0</v>
      </c>
      <c r="G2655" s="4" t="n">
        <v>0</v>
      </c>
      <c r="H2655" s="4">
        <f>IF(OR(N(F2655)&gt;=0.5,G2655&gt;=4),3,IF(OR(N(F2655)&gt;=0.3,G2655=3),2,IF(OR(N(F2655)&gt;=0.1,G2655&gt;=1),1,0)))</f>
        <v/>
      </c>
      <c r="I2655" s="4">
        <f>CHOOSE(H2655+1,"Kein Risiko","Gering","Mittel","Hoch")</f>
        <v/>
      </c>
    </row>
    <row r="2656">
      <c r="A2656" s="4" t="n">
        <v>2652</v>
      </c>
      <c r="B2656" s="4" t="inlineStr">
        <is>
          <t>yes</t>
        </is>
      </c>
      <c r="C2656" s="4" t="inlineStr"/>
      <c r="D2656" s="4" t="inlineStr"/>
      <c r="E2656" s="13" t="n">
        <v>588.2</v>
      </c>
      <c r="F2656" s="12" t="n">
        <v>0.02000045776367188</v>
      </c>
      <c r="G2656" s="4" t="n">
        <v>0</v>
      </c>
      <c r="H2656" s="4">
        <f>IF(OR(N(F2656)&gt;=0.5,G2656&gt;=4),3,IF(OR(N(F2656)&gt;=0.3,G2656=3),2,IF(OR(N(F2656)&gt;=0.1,G2656&gt;=1),1,0)))</f>
        <v/>
      </c>
      <c r="I2656" s="4">
        <f>CHOOSE(H2656+1,"Kein Risiko","Gering","Mittel","Hoch")</f>
        <v/>
      </c>
    </row>
    <row r="2657">
      <c r="A2657" s="4" t="n">
        <v>2653</v>
      </c>
      <c r="B2657" s="4" t="inlineStr">
        <is>
          <t>yes</t>
        </is>
      </c>
      <c r="C2657" s="4" t="inlineStr"/>
      <c r="D2657" s="4" t="inlineStr"/>
      <c r="E2657" s="13" t="n">
        <v>33.8</v>
      </c>
      <c r="F2657" s="12" t="n">
        <v>0.009998321533203125</v>
      </c>
      <c r="G2657" s="4" t="n">
        <v>0</v>
      </c>
      <c r="H2657" s="4">
        <f>IF(OR(N(F2657)&gt;=0.5,G2657&gt;=4),3,IF(OR(N(F2657)&gt;=0.3,G2657=3),2,IF(OR(N(F2657)&gt;=0.1,G2657&gt;=1),1,0)))</f>
        <v/>
      </c>
      <c r="I2657" s="4">
        <f>CHOOSE(H2657+1,"Kein Risiko","Gering","Mittel","Hoch")</f>
        <v/>
      </c>
    </row>
    <row r="2658">
      <c r="A2658" s="4" t="n">
        <v>2654</v>
      </c>
      <c r="B2658" s="4" t="inlineStr">
        <is>
          <t>yes</t>
        </is>
      </c>
      <c r="C2658" s="4" t="inlineStr"/>
      <c r="D2658" s="4" t="inlineStr"/>
      <c r="E2658" s="13" t="n">
        <v>142.6</v>
      </c>
      <c r="F2658" s="12" t="n">
        <v>0.01999664306640625</v>
      </c>
      <c r="G2658" s="4" t="n">
        <v>0</v>
      </c>
      <c r="H2658" s="4">
        <f>IF(OR(N(F2658)&gt;=0.5,G2658&gt;=4),3,IF(OR(N(F2658)&gt;=0.3,G2658=3),2,IF(OR(N(F2658)&gt;=0.1,G2658&gt;=1),1,0)))</f>
        <v/>
      </c>
      <c r="I2658" s="4">
        <f>CHOOSE(H2658+1,"Kein Risiko","Gering","Mittel","Hoch")</f>
        <v/>
      </c>
    </row>
    <row r="2659">
      <c r="A2659" s="4" t="n">
        <v>2655</v>
      </c>
      <c r="B2659" s="4" t="inlineStr">
        <is>
          <t>yes</t>
        </is>
      </c>
      <c r="C2659" s="4" t="inlineStr"/>
      <c r="D2659" s="4" t="inlineStr"/>
      <c r="E2659" s="13" t="n">
        <v>270.8</v>
      </c>
      <c r="F2659" s="12" t="n">
        <v>0.029998779296875</v>
      </c>
      <c r="G2659" s="4" t="n">
        <v>0</v>
      </c>
      <c r="H2659" s="4">
        <f>IF(OR(N(F2659)&gt;=0.5,G2659&gt;=4),3,IF(OR(N(F2659)&gt;=0.3,G2659=3),2,IF(OR(N(F2659)&gt;=0.1,G2659&gt;=1),1,0)))</f>
        <v/>
      </c>
      <c r="I2659" s="4">
        <f>CHOOSE(H2659+1,"Kein Risiko","Gering","Mittel","Hoch")</f>
        <v/>
      </c>
    </row>
    <row r="2660">
      <c r="A2660" s="4" t="n">
        <v>2656</v>
      </c>
      <c r="B2660" s="4" t="inlineStr">
        <is>
          <t>garage</t>
        </is>
      </c>
      <c r="C2660" s="4" t="inlineStr"/>
      <c r="D2660" s="4" t="inlineStr"/>
      <c r="E2660" s="13" t="n">
        <v>73</v>
      </c>
      <c r="F2660" s="12" t="n">
        <v>0.3699989318847656</v>
      </c>
      <c r="G2660" s="4" t="n">
        <v>1</v>
      </c>
      <c r="H2660" s="4">
        <f>IF(OR(N(F2660)&gt;=0.5,G2660&gt;=4),3,IF(OR(N(F2660)&gt;=0.3,G2660=3),2,IF(OR(N(F2660)&gt;=0.1,G2660&gt;=1),1,0)))</f>
        <v/>
      </c>
      <c r="I2660" s="4">
        <f>CHOOSE(H2660+1,"Kein Risiko","Gering","Mittel","Hoch")</f>
        <v/>
      </c>
    </row>
    <row r="2661">
      <c r="A2661" s="4" t="n">
        <v>2657</v>
      </c>
      <c r="B2661" s="4" t="inlineStr">
        <is>
          <t>garage</t>
        </is>
      </c>
      <c r="C2661" s="4" t="inlineStr"/>
      <c r="D2661" s="4" t="inlineStr"/>
      <c r="E2661" s="13" t="n">
        <v>72.8</v>
      </c>
      <c r="F2661" s="12" t="n">
        <v>0.3199996948242188</v>
      </c>
      <c r="G2661" s="4" t="n">
        <v>0</v>
      </c>
      <c r="H2661" s="4">
        <f>IF(OR(N(F2661)&gt;=0.5,G2661&gt;=4),3,IF(OR(N(F2661)&gt;=0.3,G2661=3),2,IF(OR(N(F2661)&gt;=0.1,G2661&gt;=1),1,0)))</f>
        <v/>
      </c>
      <c r="I2661" s="4">
        <f>CHOOSE(H2661+1,"Kein Risiko","Gering","Mittel","Hoch")</f>
        <v/>
      </c>
    </row>
    <row r="2662">
      <c r="A2662" s="4" t="n">
        <v>2658</v>
      </c>
      <c r="B2662" s="4" t="inlineStr">
        <is>
          <t>garage</t>
        </is>
      </c>
      <c r="C2662" s="4" t="inlineStr"/>
      <c r="D2662" s="4" t="inlineStr"/>
      <c r="E2662" s="13" t="n">
        <v>44.1</v>
      </c>
      <c r="F2662" s="12" t="n">
        <v>0.4500007629394531</v>
      </c>
      <c r="G2662" s="4" t="n">
        <v>1</v>
      </c>
      <c r="H2662" s="4">
        <f>IF(OR(N(F2662)&gt;=0.5,G2662&gt;=4),3,IF(OR(N(F2662)&gt;=0.3,G2662=3),2,IF(OR(N(F2662)&gt;=0.1,G2662&gt;=1),1,0)))</f>
        <v/>
      </c>
      <c r="I2662" s="4">
        <f>CHOOSE(H2662+1,"Kein Risiko","Gering","Mittel","Hoch")</f>
        <v/>
      </c>
    </row>
    <row r="2663">
      <c r="A2663" s="4" t="n">
        <v>2659</v>
      </c>
      <c r="B2663" s="4" t="inlineStr">
        <is>
          <t>garage</t>
        </is>
      </c>
      <c r="C2663" s="4" t="inlineStr"/>
      <c r="D2663" s="4" t="inlineStr"/>
      <c r="E2663" s="13" t="n">
        <v>74.2</v>
      </c>
      <c r="F2663" s="12" t="n">
        <v>0.7299995422363281</v>
      </c>
      <c r="G2663" s="4" t="n">
        <v>1</v>
      </c>
      <c r="H2663" s="4">
        <f>IF(OR(N(F2663)&gt;=0.5,G2663&gt;=4),3,IF(OR(N(F2663)&gt;=0.3,G2663=3),2,IF(OR(N(F2663)&gt;=0.1,G2663&gt;=1),1,0)))</f>
        <v/>
      </c>
      <c r="I2663" s="4">
        <f>CHOOSE(H2663+1,"Kein Risiko","Gering","Mittel","Hoch")</f>
        <v/>
      </c>
    </row>
    <row r="2664">
      <c r="A2664" s="4" t="n">
        <v>2660</v>
      </c>
      <c r="B2664" s="4" t="inlineStr">
        <is>
          <t>yes</t>
        </is>
      </c>
      <c r="C2664" s="4" t="inlineStr"/>
      <c r="D2664" s="4" t="inlineStr"/>
      <c r="E2664" s="13" t="n">
        <v>17.9</v>
      </c>
      <c r="F2664" s="12" t="n">
        <v>0</v>
      </c>
      <c r="G2664" s="4" t="n">
        <v>3</v>
      </c>
      <c r="H2664" s="4">
        <f>IF(OR(N(F2664)&gt;=0.5,G2664&gt;=4),3,IF(OR(N(F2664)&gt;=0.3,G2664=3),2,IF(OR(N(F2664)&gt;=0.1,G2664&gt;=1),1,0)))</f>
        <v/>
      </c>
      <c r="I2664" s="4">
        <f>CHOOSE(H2664+1,"Kein Risiko","Gering","Mittel","Hoch")</f>
        <v/>
      </c>
    </row>
    <row r="2665">
      <c r="A2665" s="4" t="n">
        <v>2661</v>
      </c>
      <c r="B2665" s="4" t="inlineStr">
        <is>
          <t>yes</t>
        </is>
      </c>
      <c r="C2665" s="4" t="inlineStr"/>
      <c r="D2665" s="4" t="inlineStr"/>
      <c r="E2665" s="13" t="n">
        <v>16.7</v>
      </c>
      <c r="F2665" s="12" t="n">
        <v>0</v>
      </c>
      <c r="G2665" s="4" t="n">
        <v>0</v>
      </c>
      <c r="H2665" s="4">
        <f>IF(OR(N(F2665)&gt;=0.5,G2665&gt;=4),3,IF(OR(N(F2665)&gt;=0.3,G2665=3),2,IF(OR(N(F2665)&gt;=0.1,G2665&gt;=1),1,0)))</f>
        <v/>
      </c>
      <c r="I2665" s="4">
        <f>CHOOSE(H2665+1,"Kein Risiko","Gering","Mittel","Hoch")</f>
        <v/>
      </c>
    </row>
    <row r="2666">
      <c r="A2666" s="4" t="n">
        <v>2662</v>
      </c>
      <c r="B2666" s="4" t="inlineStr">
        <is>
          <t>yes</t>
        </is>
      </c>
      <c r="C2666" s="4" t="inlineStr"/>
      <c r="D2666" s="4" t="inlineStr"/>
      <c r="E2666" s="13" t="n">
        <v>16.6</v>
      </c>
      <c r="F2666" s="12" t="n">
        <v>0</v>
      </c>
      <c r="G2666" s="4" t="n">
        <v>0</v>
      </c>
      <c r="H2666" s="4">
        <f>IF(OR(N(F2666)&gt;=0.5,G2666&gt;=4),3,IF(OR(N(F2666)&gt;=0.3,G2666=3),2,IF(OR(N(F2666)&gt;=0.1,G2666&gt;=1),1,0)))</f>
        <v/>
      </c>
      <c r="I2666" s="4">
        <f>CHOOSE(H2666+1,"Kein Risiko","Gering","Mittel","Hoch")</f>
        <v/>
      </c>
    </row>
    <row r="2667">
      <c r="A2667" s="4" t="n">
        <v>2663</v>
      </c>
      <c r="B2667" s="4" t="inlineStr">
        <is>
          <t>yes</t>
        </is>
      </c>
      <c r="C2667" s="4" t="inlineStr"/>
      <c r="D2667" s="4" t="inlineStr"/>
      <c r="E2667" s="13" t="n">
        <v>27.4</v>
      </c>
      <c r="F2667" s="12" t="n">
        <v>0</v>
      </c>
      <c r="G2667" s="4" t="n">
        <v>0</v>
      </c>
      <c r="H2667" s="4">
        <f>IF(OR(N(F2667)&gt;=0.5,G2667&gt;=4),3,IF(OR(N(F2667)&gt;=0.3,G2667=3),2,IF(OR(N(F2667)&gt;=0.1,G2667&gt;=1),1,0)))</f>
        <v/>
      </c>
      <c r="I2667" s="4">
        <f>CHOOSE(H2667+1,"Kein Risiko","Gering","Mittel","Hoch")</f>
        <v/>
      </c>
    </row>
    <row r="2668">
      <c r="A2668" s="4" t="n">
        <v>2664</v>
      </c>
      <c r="B2668" s="4" t="inlineStr">
        <is>
          <t>yes</t>
        </is>
      </c>
      <c r="C2668" s="4" t="inlineStr"/>
      <c r="D2668" s="4" t="inlineStr"/>
      <c r="E2668" s="13" t="n">
        <v>72.40000000000001</v>
      </c>
      <c r="F2668" s="12" t="n">
        <v>0</v>
      </c>
      <c r="G2668" s="4" t="n">
        <v>0</v>
      </c>
      <c r="H2668" s="4">
        <f>IF(OR(N(F2668)&gt;=0.5,G2668&gt;=4),3,IF(OR(N(F2668)&gt;=0.3,G2668=3),2,IF(OR(N(F2668)&gt;=0.1,G2668&gt;=1),1,0)))</f>
        <v/>
      </c>
      <c r="I2668" s="4">
        <f>CHOOSE(H2668+1,"Kein Risiko","Gering","Mittel","Hoch")</f>
        <v/>
      </c>
    </row>
    <row r="2669">
      <c r="A2669" s="4" t="n">
        <v>2665</v>
      </c>
      <c r="B2669" s="4" t="inlineStr">
        <is>
          <t>yes</t>
        </is>
      </c>
      <c r="C2669" s="4" t="inlineStr"/>
      <c r="D2669" s="4" t="inlineStr"/>
      <c r="E2669" s="13" t="n">
        <v>83.2</v>
      </c>
      <c r="F2669" s="12" t="n">
        <v>0</v>
      </c>
      <c r="G2669" s="4" t="n">
        <v>2</v>
      </c>
      <c r="H2669" s="4">
        <f>IF(OR(N(F2669)&gt;=0.5,G2669&gt;=4),3,IF(OR(N(F2669)&gt;=0.3,G2669=3),2,IF(OR(N(F2669)&gt;=0.1,G2669&gt;=1),1,0)))</f>
        <v/>
      </c>
      <c r="I2669" s="4">
        <f>CHOOSE(H2669+1,"Kein Risiko","Gering","Mittel","Hoch")</f>
        <v/>
      </c>
    </row>
    <row r="2670">
      <c r="A2670" s="4" t="n">
        <v>2666</v>
      </c>
      <c r="B2670" s="4" t="inlineStr">
        <is>
          <t>yes</t>
        </is>
      </c>
      <c r="C2670" s="4" t="inlineStr"/>
      <c r="D2670" s="4" t="inlineStr"/>
      <c r="E2670" s="13" t="n">
        <v>20.4</v>
      </c>
      <c r="F2670" s="12" t="n">
        <v>0</v>
      </c>
      <c r="G2670" s="4" t="n">
        <v>0</v>
      </c>
      <c r="H2670" s="4">
        <f>IF(OR(N(F2670)&gt;=0.5,G2670&gt;=4),3,IF(OR(N(F2670)&gt;=0.3,G2670=3),2,IF(OR(N(F2670)&gt;=0.1,G2670&gt;=1),1,0)))</f>
        <v/>
      </c>
      <c r="I2670" s="4">
        <f>CHOOSE(H2670+1,"Kein Risiko","Gering","Mittel","Hoch")</f>
        <v/>
      </c>
    </row>
    <row r="2671">
      <c r="A2671" s="4" t="n">
        <v>2667</v>
      </c>
      <c r="B2671" s="4" t="inlineStr">
        <is>
          <t>yes</t>
        </is>
      </c>
      <c r="C2671" s="4" t="inlineStr"/>
      <c r="D2671" s="4" t="inlineStr"/>
      <c r="E2671" s="13" t="n">
        <v>23.6</v>
      </c>
      <c r="F2671" s="12" t="n">
        <v>0.06999969482421875</v>
      </c>
      <c r="G2671" s="4" t="n">
        <v>0</v>
      </c>
      <c r="H2671" s="4">
        <f>IF(OR(N(F2671)&gt;=0.5,G2671&gt;=4),3,IF(OR(N(F2671)&gt;=0.3,G2671=3),2,IF(OR(N(F2671)&gt;=0.1,G2671&gt;=1),1,0)))</f>
        <v/>
      </c>
      <c r="I2671" s="4">
        <f>CHOOSE(H2671+1,"Kein Risiko","Gering","Mittel","Hoch")</f>
        <v/>
      </c>
    </row>
    <row r="2672">
      <c r="A2672" s="4" t="n">
        <v>2668</v>
      </c>
      <c r="B2672" s="4" t="inlineStr">
        <is>
          <t>yes</t>
        </is>
      </c>
      <c r="C2672" s="4" t="inlineStr"/>
      <c r="D2672" s="4" t="inlineStr"/>
      <c r="E2672" s="13" t="n">
        <v>20.6</v>
      </c>
      <c r="F2672" s="12" t="n">
        <v>0</v>
      </c>
      <c r="G2672" s="4" t="n">
        <v>0</v>
      </c>
      <c r="H2672" s="4">
        <f>IF(OR(N(F2672)&gt;=0.5,G2672&gt;=4),3,IF(OR(N(F2672)&gt;=0.3,G2672=3),2,IF(OR(N(F2672)&gt;=0.1,G2672&gt;=1),1,0)))</f>
        <v/>
      </c>
      <c r="I2672" s="4">
        <f>CHOOSE(H2672+1,"Kein Risiko","Gering","Mittel","Hoch")</f>
        <v/>
      </c>
    </row>
    <row r="2673">
      <c r="A2673" s="4" t="n">
        <v>2669</v>
      </c>
      <c r="B2673" s="4" t="inlineStr">
        <is>
          <t>yes</t>
        </is>
      </c>
      <c r="C2673" s="4" t="inlineStr"/>
      <c r="D2673" s="4" t="inlineStr"/>
      <c r="E2673" s="13" t="n">
        <v>20.4</v>
      </c>
      <c r="F2673" s="12" t="n">
        <v>0</v>
      </c>
      <c r="G2673" s="4" t="n">
        <v>0</v>
      </c>
      <c r="H2673" s="4">
        <f>IF(OR(N(F2673)&gt;=0.5,G2673&gt;=4),3,IF(OR(N(F2673)&gt;=0.3,G2673=3),2,IF(OR(N(F2673)&gt;=0.1,G2673&gt;=1),1,0)))</f>
        <v/>
      </c>
      <c r="I2673" s="4">
        <f>CHOOSE(H2673+1,"Kein Risiko","Gering","Mittel","Hoch")</f>
        <v/>
      </c>
    </row>
    <row r="2674">
      <c r="A2674" s="4" t="n">
        <v>2670</v>
      </c>
      <c r="B2674" s="4" t="inlineStr">
        <is>
          <t>yes</t>
        </is>
      </c>
      <c r="C2674" s="4" t="inlineStr"/>
      <c r="D2674" s="4" t="inlineStr"/>
      <c r="E2674" s="13" t="n">
        <v>18.6</v>
      </c>
      <c r="F2674" s="12" t="n">
        <v>0</v>
      </c>
      <c r="G2674" s="4" t="n">
        <v>0</v>
      </c>
      <c r="H2674" s="4">
        <f>IF(OR(N(F2674)&gt;=0.5,G2674&gt;=4),3,IF(OR(N(F2674)&gt;=0.3,G2674=3),2,IF(OR(N(F2674)&gt;=0.1,G2674&gt;=1),1,0)))</f>
        <v/>
      </c>
      <c r="I2674" s="4">
        <f>CHOOSE(H2674+1,"Kein Risiko","Gering","Mittel","Hoch")</f>
        <v/>
      </c>
    </row>
    <row r="2675">
      <c r="A2675" s="4" t="n">
        <v>2671</v>
      </c>
      <c r="B2675" s="4" t="inlineStr">
        <is>
          <t>yes</t>
        </is>
      </c>
      <c r="C2675" s="4" t="inlineStr"/>
      <c r="D2675" s="4" t="inlineStr"/>
      <c r="E2675" s="13" t="n">
        <v>39.6</v>
      </c>
      <c r="F2675" s="12" t="n">
        <v>0.01000213623046875</v>
      </c>
      <c r="G2675" s="4" t="n">
        <v>2</v>
      </c>
      <c r="H2675" s="4">
        <f>IF(OR(N(F2675)&gt;=0.5,G2675&gt;=4),3,IF(OR(N(F2675)&gt;=0.3,G2675=3),2,IF(OR(N(F2675)&gt;=0.1,G2675&gt;=1),1,0)))</f>
        <v/>
      </c>
      <c r="I2675" s="4">
        <f>CHOOSE(H2675+1,"Kein Risiko","Gering","Mittel","Hoch")</f>
        <v/>
      </c>
    </row>
    <row r="2676">
      <c r="A2676" s="4" t="n">
        <v>2672</v>
      </c>
      <c r="B2676" s="4" t="inlineStr">
        <is>
          <t>yes</t>
        </is>
      </c>
      <c r="C2676" s="4" t="inlineStr"/>
      <c r="D2676" s="4" t="inlineStr"/>
      <c r="E2676" s="13" t="n">
        <v>20.4</v>
      </c>
      <c r="F2676" s="12" t="n">
        <v>0</v>
      </c>
      <c r="G2676" s="4" t="n">
        <v>0</v>
      </c>
      <c r="H2676" s="4">
        <f>IF(OR(N(F2676)&gt;=0.5,G2676&gt;=4),3,IF(OR(N(F2676)&gt;=0.3,G2676=3),2,IF(OR(N(F2676)&gt;=0.1,G2676&gt;=1),1,0)))</f>
        <v/>
      </c>
      <c r="I2676" s="4">
        <f>CHOOSE(H2676+1,"Kein Risiko","Gering","Mittel","Hoch")</f>
        <v/>
      </c>
    </row>
    <row r="2677">
      <c r="A2677" s="4" t="n">
        <v>2673</v>
      </c>
      <c r="B2677" s="4" t="inlineStr">
        <is>
          <t>yes</t>
        </is>
      </c>
      <c r="C2677" s="4" t="inlineStr"/>
      <c r="D2677" s="4" t="inlineStr"/>
      <c r="E2677" s="13" t="n">
        <v>22.8</v>
      </c>
      <c r="F2677" s="12" t="n">
        <v>0</v>
      </c>
      <c r="G2677" s="4" t="n">
        <v>0</v>
      </c>
      <c r="H2677" s="4">
        <f>IF(OR(N(F2677)&gt;=0.5,G2677&gt;=4),3,IF(OR(N(F2677)&gt;=0.3,G2677=3),2,IF(OR(N(F2677)&gt;=0.1,G2677&gt;=1),1,0)))</f>
        <v/>
      </c>
      <c r="I2677" s="4">
        <f>CHOOSE(H2677+1,"Kein Risiko","Gering","Mittel","Hoch")</f>
        <v/>
      </c>
    </row>
    <row r="2678">
      <c r="A2678" s="4" t="n">
        <v>2674</v>
      </c>
      <c r="B2678" s="4" t="inlineStr">
        <is>
          <t>yes</t>
        </is>
      </c>
      <c r="C2678" s="4" t="inlineStr"/>
      <c r="D2678" s="4" t="inlineStr"/>
      <c r="E2678" s="13" t="n">
        <v>37.2</v>
      </c>
      <c r="F2678" s="12" t="n">
        <v>0</v>
      </c>
      <c r="G2678" s="4" t="n">
        <v>0</v>
      </c>
      <c r="H2678" s="4">
        <f>IF(OR(N(F2678)&gt;=0.5,G2678&gt;=4),3,IF(OR(N(F2678)&gt;=0.3,G2678=3),2,IF(OR(N(F2678)&gt;=0.1,G2678&gt;=1),1,0)))</f>
        <v/>
      </c>
      <c r="I2678" s="4">
        <f>CHOOSE(H2678+1,"Kein Risiko","Gering","Mittel","Hoch")</f>
        <v/>
      </c>
    </row>
    <row r="2679">
      <c r="A2679" s="4" t="n">
        <v>2675</v>
      </c>
      <c r="B2679" s="4" t="inlineStr">
        <is>
          <t>yes</t>
        </is>
      </c>
      <c r="C2679" s="4" t="inlineStr"/>
      <c r="D2679" s="4" t="inlineStr"/>
      <c r="E2679" s="13" t="n">
        <v>49.2</v>
      </c>
      <c r="F2679" s="12" t="n">
        <v>0</v>
      </c>
      <c r="G2679" s="4" t="n">
        <v>1</v>
      </c>
      <c r="H2679" s="4">
        <f>IF(OR(N(F2679)&gt;=0.5,G2679&gt;=4),3,IF(OR(N(F2679)&gt;=0.3,G2679=3),2,IF(OR(N(F2679)&gt;=0.1,G2679&gt;=1),1,0)))</f>
        <v/>
      </c>
      <c r="I2679" s="4">
        <f>CHOOSE(H2679+1,"Kein Risiko","Gering","Mittel","Hoch")</f>
        <v/>
      </c>
    </row>
    <row r="2680">
      <c r="A2680" s="4" t="n">
        <v>2676</v>
      </c>
      <c r="B2680" s="4" t="inlineStr">
        <is>
          <t>yes</t>
        </is>
      </c>
      <c r="C2680" s="4" t="inlineStr"/>
      <c r="D2680" s="4" t="inlineStr"/>
      <c r="E2680" s="13" t="n">
        <v>37.7</v>
      </c>
      <c r="F2680" s="12" t="n">
        <v>0</v>
      </c>
      <c r="G2680" s="4" t="n">
        <v>1</v>
      </c>
      <c r="H2680" s="4">
        <f>IF(OR(N(F2680)&gt;=0.5,G2680&gt;=4),3,IF(OR(N(F2680)&gt;=0.3,G2680=3),2,IF(OR(N(F2680)&gt;=0.1,G2680&gt;=1),1,0)))</f>
        <v/>
      </c>
      <c r="I2680" s="4">
        <f>CHOOSE(H2680+1,"Kein Risiko","Gering","Mittel","Hoch")</f>
        <v/>
      </c>
    </row>
    <row r="2681">
      <c r="A2681" s="4" t="n">
        <v>2677</v>
      </c>
      <c r="B2681" s="4" t="inlineStr">
        <is>
          <t>yes</t>
        </is>
      </c>
      <c r="C2681" s="4" t="inlineStr"/>
      <c r="D2681" s="4" t="inlineStr"/>
      <c r="E2681" s="13" t="n">
        <v>18.9</v>
      </c>
      <c r="F2681" s="12" t="n">
        <v>0</v>
      </c>
      <c r="G2681" s="4" t="n">
        <v>0</v>
      </c>
      <c r="H2681" s="4">
        <f>IF(OR(N(F2681)&gt;=0.5,G2681&gt;=4),3,IF(OR(N(F2681)&gt;=0.3,G2681=3),2,IF(OR(N(F2681)&gt;=0.1,G2681&gt;=1),1,0)))</f>
        <v/>
      </c>
      <c r="I2681" s="4">
        <f>CHOOSE(H2681+1,"Kein Risiko","Gering","Mittel","Hoch")</f>
        <v/>
      </c>
    </row>
    <row r="2682">
      <c r="A2682" s="4" t="n">
        <v>2678</v>
      </c>
      <c r="B2682" s="4" t="inlineStr">
        <is>
          <t>yes</t>
        </is>
      </c>
      <c r="C2682" s="4" t="inlineStr"/>
      <c r="D2682" s="4" t="inlineStr"/>
      <c r="E2682" s="13" t="n">
        <v>19</v>
      </c>
      <c r="F2682" s="12" t="n">
        <v>0.01999664306640625</v>
      </c>
      <c r="G2682" s="4" t="n">
        <v>0</v>
      </c>
      <c r="H2682" s="4">
        <f>IF(OR(N(F2682)&gt;=0.5,G2682&gt;=4),3,IF(OR(N(F2682)&gt;=0.3,G2682=3),2,IF(OR(N(F2682)&gt;=0.1,G2682&gt;=1),1,0)))</f>
        <v/>
      </c>
      <c r="I2682" s="4">
        <f>CHOOSE(H2682+1,"Kein Risiko","Gering","Mittel","Hoch")</f>
        <v/>
      </c>
    </row>
    <row r="2683">
      <c r="A2683" s="4" t="n">
        <v>2679</v>
      </c>
      <c r="B2683" s="4" t="inlineStr">
        <is>
          <t>yes</t>
        </is>
      </c>
      <c r="C2683" s="4" t="inlineStr"/>
      <c r="D2683" s="4" t="inlineStr"/>
      <c r="E2683" s="13" t="n">
        <v>35.2</v>
      </c>
      <c r="F2683" s="12" t="n">
        <v>0</v>
      </c>
      <c r="G2683" s="4" t="n">
        <v>0</v>
      </c>
      <c r="H2683" s="4">
        <f>IF(OR(N(F2683)&gt;=0.5,G2683&gt;=4),3,IF(OR(N(F2683)&gt;=0.3,G2683=3),2,IF(OR(N(F2683)&gt;=0.1,G2683&gt;=1),1,0)))</f>
        <v/>
      </c>
      <c r="I2683" s="4">
        <f>CHOOSE(H2683+1,"Kein Risiko","Gering","Mittel","Hoch")</f>
        <v/>
      </c>
    </row>
    <row r="2684">
      <c r="A2684" s="4" t="n">
        <v>2680</v>
      </c>
      <c r="B2684" s="4" t="inlineStr">
        <is>
          <t>yes</t>
        </is>
      </c>
      <c r="C2684" s="4" t="inlineStr"/>
      <c r="D2684" s="4" t="inlineStr"/>
      <c r="E2684" s="13" t="n">
        <v>18.9</v>
      </c>
      <c r="F2684" s="12" t="n">
        <v>0</v>
      </c>
      <c r="G2684" s="4" t="n">
        <v>0</v>
      </c>
      <c r="H2684" s="4">
        <f>IF(OR(N(F2684)&gt;=0.5,G2684&gt;=4),3,IF(OR(N(F2684)&gt;=0.3,G2684=3),2,IF(OR(N(F2684)&gt;=0.1,G2684&gt;=1),1,0)))</f>
        <v/>
      </c>
      <c r="I2684" s="4">
        <f>CHOOSE(H2684+1,"Kein Risiko","Gering","Mittel","Hoch")</f>
        <v/>
      </c>
    </row>
    <row r="2685">
      <c r="A2685" s="4" t="n">
        <v>2681</v>
      </c>
      <c r="B2685" s="4" t="inlineStr">
        <is>
          <t>yes</t>
        </is>
      </c>
      <c r="C2685" s="4" t="inlineStr"/>
      <c r="D2685" s="4" t="inlineStr"/>
      <c r="E2685" s="13" t="n">
        <v>62.3</v>
      </c>
      <c r="F2685" s="12" t="n">
        <v>0</v>
      </c>
      <c r="G2685" s="4" t="n">
        <v>0</v>
      </c>
      <c r="H2685" s="4">
        <f>IF(OR(N(F2685)&gt;=0.5,G2685&gt;=4),3,IF(OR(N(F2685)&gt;=0.3,G2685=3),2,IF(OR(N(F2685)&gt;=0.1,G2685&gt;=1),1,0)))</f>
        <v/>
      </c>
      <c r="I2685" s="4">
        <f>CHOOSE(H2685+1,"Kein Risiko","Gering","Mittel","Hoch")</f>
        <v/>
      </c>
    </row>
    <row r="2686">
      <c r="A2686" s="4" t="n">
        <v>2682</v>
      </c>
      <c r="B2686" s="4" t="inlineStr">
        <is>
          <t>yes</t>
        </is>
      </c>
      <c r="C2686" s="4" t="inlineStr"/>
      <c r="D2686" s="4" t="inlineStr"/>
      <c r="E2686" s="13" t="n">
        <v>15.5</v>
      </c>
      <c r="F2686" s="12" t="n">
        <v>0</v>
      </c>
      <c r="G2686" s="4" t="n">
        <v>0</v>
      </c>
      <c r="H2686" s="4">
        <f>IF(OR(N(F2686)&gt;=0.5,G2686&gt;=4),3,IF(OR(N(F2686)&gt;=0.3,G2686=3),2,IF(OR(N(F2686)&gt;=0.1,G2686&gt;=1),1,0)))</f>
        <v/>
      </c>
      <c r="I2686" s="4">
        <f>CHOOSE(H2686+1,"Kein Risiko","Gering","Mittel","Hoch")</f>
        <v/>
      </c>
    </row>
    <row r="2687">
      <c r="A2687" s="4" t="n">
        <v>2683</v>
      </c>
      <c r="B2687" s="4" t="inlineStr">
        <is>
          <t>roof</t>
        </is>
      </c>
      <c r="C2687" s="4" t="inlineStr"/>
      <c r="D2687" s="4" t="inlineStr"/>
      <c r="E2687" s="13" t="n">
        <v>473.1</v>
      </c>
      <c r="F2687" s="12" t="n">
        <v>0.1800003051757812</v>
      </c>
      <c r="G2687" s="4" t="n">
        <v>0</v>
      </c>
      <c r="H2687" s="4">
        <f>IF(OR(N(F2687)&gt;=0.5,G2687&gt;=4),3,IF(OR(N(F2687)&gt;=0.3,G2687=3),2,IF(OR(N(F2687)&gt;=0.1,G2687&gt;=1),1,0)))</f>
        <v/>
      </c>
      <c r="I2687" s="4">
        <f>CHOOSE(H2687+1,"Kein Risiko","Gering","Mittel","Hoch")</f>
        <v/>
      </c>
    </row>
    <row r="2688">
      <c r="A2688" s="4" t="n">
        <v>2684</v>
      </c>
      <c r="B2688" s="4" t="inlineStr">
        <is>
          <t>roof</t>
        </is>
      </c>
      <c r="C2688" s="4" t="inlineStr"/>
      <c r="D2688" s="4" t="inlineStr"/>
      <c r="E2688" s="13" t="n">
        <v>28.6</v>
      </c>
      <c r="F2688" s="12" t="n">
        <v>0</v>
      </c>
      <c r="G2688" s="4" t="n">
        <v>0</v>
      </c>
      <c r="H2688" s="4">
        <f>IF(OR(N(F2688)&gt;=0.5,G2688&gt;=4),3,IF(OR(N(F2688)&gt;=0.3,G2688=3),2,IF(OR(N(F2688)&gt;=0.1,G2688&gt;=1),1,0)))</f>
        <v/>
      </c>
      <c r="I2688" s="4">
        <f>CHOOSE(H2688+1,"Kein Risiko","Gering","Mittel","Hoch")</f>
        <v/>
      </c>
    </row>
    <row r="2689">
      <c r="A2689" s="4" t="n">
        <v>2685</v>
      </c>
      <c r="B2689" s="4" t="inlineStr">
        <is>
          <t>carport</t>
        </is>
      </c>
      <c r="C2689" s="4" t="inlineStr"/>
      <c r="D2689" s="4" t="inlineStr"/>
      <c r="E2689" s="13" t="n">
        <v>52.4</v>
      </c>
      <c r="F2689" s="12" t="n">
        <v>0</v>
      </c>
      <c r="G2689" s="4" t="n">
        <v>0</v>
      </c>
      <c r="H2689" s="4">
        <f>IF(OR(N(F2689)&gt;=0.5,G2689&gt;=4),3,IF(OR(N(F2689)&gt;=0.3,G2689=3),2,IF(OR(N(F2689)&gt;=0.1,G2689&gt;=1),1,0)))</f>
        <v/>
      </c>
      <c r="I2689" s="4">
        <f>CHOOSE(H2689+1,"Kein Risiko","Gering","Mittel","Hoch")</f>
        <v/>
      </c>
    </row>
    <row r="2690">
      <c r="A2690" s="4" t="n">
        <v>2686</v>
      </c>
      <c r="B2690" s="4" t="inlineStr">
        <is>
          <t>yes</t>
        </is>
      </c>
      <c r="C2690" s="4" t="inlineStr">
        <is>
          <t>Heidbergweg</t>
        </is>
      </c>
      <c r="D2690" s="4" t="inlineStr">
        <is>
          <t>31</t>
        </is>
      </c>
      <c r="E2690" s="13" t="n">
        <v>1395.5</v>
      </c>
      <c r="F2690" s="12" t="n">
        <v>0.0800018310546875</v>
      </c>
      <c r="G2690" s="4" t="n">
        <v>1</v>
      </c>
      <c r="H2690" s="4">
        <f>IF(OR(N(F2690)&gt;=0.5,G2690&gt;=4),3,IF(OR(N(F2690)&gt;=0.3,G2690=3),2,IF(OR(N(F2690)&gt;=0.1,G2690&gt;=1),1,0)))</f>
        <v/>
      </c>
      <c r="I2690" s="4">
        <f>CHOOSE(H2690+1,"Kein Risiko","Gering","Mittel","Hoch")</f>
        <v/>
      </c>
    </row>
    <row r="2691">
      <c r="A2691" s="4" t="n">
        <v>2687</v>
      </c>
      <c r="B2691" s="4" t="inlineStr">
        <is>
          <t>yes</t>
        </is>
      </c>
      <c r="C2691" s="4" t="inlineStr"/>
      <c r="D2691" s="4" t="inlineStr"/>
      <c r="E2691" s="13" t="n">
        <v>340.1</v>
      </c>
      <c r="F2691" s="12" t="n">
        <v>0.1500015258789062</v>
      </c>
      <c r="G2691" s="4" t="n">
        <v>0</v>
      </c>
      <c r="H2691" s="4">
        <f>IF(OR(N(F2691)&gt;=0.5,G2691&gt;=4),3,IF(OR(N(F2691)&gt;=0.3,G2691=3),2,IF(OR(N(F2691)&gt;=0.1,G2691&gt;=1),1,0)))</f>
        <v/>
      </c>
      <c r="I2691" s="4">
        <f>CHOOSE(H2691+1,"Kein Risiko","Gering","Mittel","Hoch")</f>
        <v/>
      </c>
    </row>
    <row r="2692">
      <c r="A2692" s="4" t="n">
        <v>2688</v>
      </c>
      <c r="B2692" s="4" t="inlineStr">
        <is>
          <t>yes</t>
        </is>
      </c>
      <c r="C2692" s="4" t="inlineStr"/>
      <c r="D2692" s="4" t="inlineStr"/>
      <c r="E2692" s="13" t="n">
        <v>30.3</v>
      </c>
      <c r="F2692" s="12" t="n">
        <v>0.09999847412109375</v>
      </c>
      <c r="G2692" s="4" t="n">
        <v>0</v>
      </c>
      <c r="H2692" s="4">
        <f>IF(OR(N(F2692)&gt;=0.5,G2692&gt;=4),3,IF(OR(N(F2692)&gt;=0.3,G2692=3),2,IF(OR(N(F2692)&gt;=0.1,G2692&gt;=1),1,0)))</f>
        <v/>
      </c>
      <c r="I2692" s="4">
        <f>CHOOSE(H2692+1,"Kein Risiko","Gering","Mittel","Hoch")</f>
        <v/>
      </c>
    </row>
    <row r="2693">
      <c r="A2693" s="4" t="n">
        <v>2689</v>
      </c>
      <c r="B2693" s="4" t="inlineStr">
        <is>
          <t>garages</t>
        </is>
      </c>
      <c r="C2693" s="4" t="inlineStr"/>
      <c r="D2693" s="4" t="inlineStr"/>
      <c r="E2693" s="13" t="n">
        <v>101.1</v>
      </c>
      <c r="F2693" s="12" t="n">
        <v>0</v>
      </c>
      <c r="G2693" s="4" t="n">
        <v>2</v>
      </c>
      <c r="H2693" s="4">
        <f>IF(OR(N(F2693)&gt;=0.5,G2693&gt;=4),3,IF(OR(N(F2693)&gt;=0.3,G2693=3),2,IF(OR(N(F2693)&gt;=0.1,G2693&gt;=1),1,0)))</f>
        <v/>
      </c>
      <c r="I2693" s="4">
        <f>CHOOSE(H2693+1,"Kein Risiko","Gering","Mittel","Hoch")</f>
        <v/>
      </c>
    </row>
    <row r="2694">
      <c r="A2694" s="4" t="n">
        <v>2690</v>
      </c>
      <c r="B2694" s="4" t="inlineStr">
        <is>
          <t>garages</t>
        </is>
      </c>
      <c r="C2694" s="4" t="inlineStr"/>
      <c r="D2694" s="4" t="inlineStr"/>
      <c r="E2694" s="13" t="n">
        <v>101.5</v>
      </c>
      <c r="F2694" s="12" t="n">
        <v>0.06000137329101562</v>
      </c>
      <c r="G2694" s="4" t="n">
        <v>1</v>
      </c>
      <c r="H2694" s="4">
        <f>IF(OR(N(F2694)&gt;=0.5,G2694&gt;=4),3,IF(OR(N(F2694)&gt;=0.3,G2694=3),2,IF(OR(N(F2694)&gt;=0.1,G2694&gt;=1),1,0)))</f>
        <v/>
      </c>
      <c r="I2694" s="4">
        <f>CHOOSE(H2694+1,"Kein Risiko","Gering","Mittel","Hoch")</f>
        <v/>
      </c>
    </row>
    <row r="2695">
      <c r="A2695" s="4" t="n">
        <v>2691</v>
      </c>
      <c r="B2695" s="4" t="inlineStr">
        <is>
          <t>garage</t>
        </is>
      </c>
      <c r="C2695" s="4" t="inlineStr"/>
      <c r="D2695" s="4" t="inlineStr"/>
      <c r="E2695" s="13" t="n">
        <v>4.5</v>
      </c>
      <c r="F2695" s="12" t="n">
        <v>0</v>
      </c>
      <c r="G2695" s="4" t="n">
        <v>0</v>
      </c>
      <c r="H2695" s="4">
        <f>IF(OR(N(F2695)&gt;=0.5,G2695&gt;=4),3,IF(OR(N(F2695)&gt;=0.3,G2695=3),2,IF(OR(N(F2695)&gt;=0.1,G2695&gt;=1),1,0)))</f>
        <v/>
      </c>
      <c r="I2695" s="4">
        <f>CHOOSE(H2695+1,"Kein Risiko","Gering","Mittel","Hoch")</f>
        <v/>
      </c>
    </row>
    <row r="2696">
      <c r="A2696" s="4" t="n">
        <v>2692</v>
      </c>
      <c r="B2696" s="4" t="inlineStr">
        <is>
          <t>yes</t>
        </is>
      </c>
      <c r="C2696" s="4" t="inlineStr"/>
      <c r="D2696" s="4" t="inlineStr"/>
      <c r="E2696" s="13" t="n">
        <v>33.4</v>
      </c>
      <c r="F2696" s="12" t="n">
        <v>0.19000244140625</v>
      </c>
      <c r="G2696" s="4" t="n">
        <v>1</v>
      </c>
      <c r="H2696" s="4">
        <f>IF(OR(N(F2696)&gt;=0.5,G2696&gt;=4),3,IF(OR(N(F2696)&gt;=0.3,G2696=3),2,IF(OR(N(F2696)&gt;=0.1,G2696&gt;=1),1,0)))</f>
        <v/>
      </c>
      <c r="I2696" s="4">
        <f>CHOOSE(H2696+1,"Kein Risiko","Gering","Mittel","Hoch")</f>
        <v/>
      </c>
    </row>
    <row r="2697">
      <c r="A2697" s="4" t="n">
        <v>2693</v>
      </c>
      <c r="B2697" s="4" t="inlineStr">
        <is>
          <t>yes</t>
        </is>
      </c>
      <c r="C2697" s="4" t="inlineStr"/>
      <c r="D2697" s="4" t="inlineStr"/>
      <c r="E2697" s="13" t="n">
        <v>15</v>
      </c>
      <c r="F2697" s="12" t="n">
        <v>0.01000213623046875</v>
      </c>
      <c r="G2697" s="4" t="n">
        <v>1</v>
      </c>
      <c r="H2697" s="4">
        <f>IF(OR(N(F2697)&gt;=0.5,G2697&gt;=4),3,IF(OR(N(F2697)&gt;=0.3,G2697=3),2,IF(OR(N(F2697)&gt;=0.1,G2697&gt;=1),1,0)))</f>
        <v/>
      </c>
      <c r="I2697" s="4">
        <f>CHOOSE(H2697+1,"Kein Risiko","Gering","Mittel","Hoch")</f>
        <v/>
      </c>
    </row>
    <row r="2698">
      <c r="A2698" s="4" t="n">
        <v>2694</v>
      </c>
      <c r="B2698" s="4" t="inlineStr">
        <is>
          <t>yes</t>
        </is>
      </c>
      <c r="C2698" s="4" t="inlineStr"/>
      <c r="D2698" s="4" t="inlineStr"/>
      <c r="E2698" s="13" t="n">
        <v>19.6</v>
      </c>
      <c r="F2698" s="12" t="n">
        <v>0.1199989318847656</v>
      </c>
      <c r="G2698" s="4" t="n">
        <v>0</v>
      </c>
      <c r="H2698" s="4">
        <f>IF(OR(N(F2698)&gt;=0.5,G2698&gt;=4),3,IF(OR(N(F2698)&gt;=0.3,G2698=3),2,IF(OR(N(F2698)&gt;=0.1,G2698&gt;=1),1,0)))</f>
        <v/>
      </c>
      <c r="I2698" s="4">
        <f>CHOOSE(H2698+1,"Kein Risiko","Gering","Mittel","Hoch")</f>
        <v/>
      </c>
    </row>
    <row r="2699">
      <c r="A2699" s="4" t="n">
        <v>2695</v>
      </c>
      <c r="B2699" s="4" t="inlineStr">
        <is>
          <t>yes</t>
        </is>
      </c>
      <c r="C2699" s="4" t="inlineStr"/>
      <c r="D2699" s="4" t="inlineStr"/>
      <c r="E2699" s="13" t="n">
        <v>17.3</v>
      </c>
      <c r="F2699" s="12" t="n">
        <v>0.06999969482421875</v>
      </c>
      <c r="G2699" s="4" t="n">
        <v>0</v>
      </c>
      <c r="H2699" s="4">
        <f>IF(OR(N(F2699)&gt;=0.5,G2699&gt;=4),3,IF(OR(N(F2699)&gt;=0.3,G2699=3),2,IF(OR(N(F2699)&gt;=0.1,G2699&gt;=1),1,0)))</f>
        <v/>
      </c>
      <c r="I2699" s="4">
        <f>CHOOSE(H2699+1,"Kein Risiko","Gering","Mittel","Hoch")</f>
        <v/>
      </c>
    </row>
    <row r="2700">
      <c r="A2700" s="4" t="n">
        <v>2696</v>
      </c>
      <c r="B2700" s="4" t="inlineStr">
        <is>
          <t>yes</t>
        </is>
      </c>
      <c r="C2700" s="4" t="inlineStr"/>
      <c r="D2700" s="4" t="inlineStr"/>
      <c r="E2700" s="13" t="n">
        <v>15.1</v>
      </c>
      <c r="F2700" s="12" t="n">
        <v>0.1100006103515625</v>
      </c>
      <c r="G2700" s="4" t="n">
        <v>0</v>
      </c>
      <c r="H2700" s="4">
        <f>IF(OR(N(F2700)&gt;=0.5,G2700&gt;=4),3,IF(OR(N(F2700)&gt;=0.3,G2700=3),2,IF(OR(N(F2700)&gt;=0.1,G2700&gt;=1),1,0)))</f>
        <v/>
      </c>
      <c r="I2700" s="4">
        <f>CHOOSE(H2700+1,"Kein Risiko","Gering","Mittel","Hoch")</f>
        <v/>
      </c>
    </row>
    <row r="2701">
      <c r="A2701" s="4" t="n">
        <v>2697</v>
      </c>
      <c r="B2701" s="4" t="inlineStr">
        <is>
          <t>yes</t>
        </is>
      </c>
      <c r="C2701" s="4" t="inlineStr"/>
      <c r="D2701" s="4" t="inlineStr"/>
      <c r="E2701" s="13" t="n">
        <v>26</v>
      </c>
      <c r="F2701" s="12" t="n">
        <v>0.02000045776367188</v>
      </c>
      <c r="G2701" s="4" t="n">
        <v>0</v>
      </c>
      <c r="H2701" s="4">
        <f>IF(OR(N(F2701)&gt;=0.5,G2701&gt;=4),3,IF(OR(N(F2701)&gt;=0.3,G2701=3),2,IF(OR(N(F2701)&gt;=0.1,G2701&gt;=1),1,0)))</f>
        <v/>
      </c>
      <c r="I2701" s="4">
        <f>CHOOSE(H2701+1,"Kein Risiko","Gering","Mittel","Hoch")</f>
        <v/>
      </c>
    </row>
    <row r="2702">
      <c r="A2702" s="4" t="n">
        <v>2698</v>
      </c>
      <c r="B2702" s="4" t="inlineStr">
        <is>
          <t>yes</t>
        </is>
      </c>
      <c r="C2702" s="4" t="inlineStr"/>
      <c r="D2702" s="4" t="inlineStr"/>
      <c r="E2702" s="13" t="n">
        <v>27.6</v>
      </c>
      <c r="F2702" s="12" t="n">
        <v>0.02000045776367188</v>
      </c>
      <c r="G2702" s="4" t="n">
        <v>0</v>
      </c>
      <c r="H2702" s="4">
        <f>IF(OR(N(F2702)&gt;=0.5,G2702&gt;=4),3,IF(OR(N(F2702)&gt;=0.3,G2702=3),2,IF(OR(N(F2702)&gt;=0.1,G2702&gt;=1),1,0)))</f>
        <v/>
      </c>
      <c r="I2702" s="4">
        <f>CHOOSE(H2702+1,"Kein Risiko","Gering","Mittel","Hoch")</f>
        <v/>
      </c>
    </row>
    <row r="2703">
      <c r="A2703" s="4" t="n">
        <v>2699</v>
      </c>
      <c r="B2703" s="4" t="inlineStr">
        <is>
          <t>yes</t>
        </is>
      </c>
      <c r="C2703" s="4" t="inlineStr"/>
      <c r="D2703" s="4" t="inlineStr"/>
      <c r="E2703" s="13" t="n">
        <v>59.1</v>
      </c>
      <c r="F2703" s="12" t="n">
        <v>0.02000045776367188</v>
      </c>
      <c r="G2703" s="4" t="n">
        <v>0</v>
      </c>
      <c r="H2703" s="4">
        <f>IF(OR(N(F2703)&gt;=0.5,G2703&gt;=4),3,IF(OR(N(F2703)&gt;=0.3,G2703=3),2,IF(OR(N(F2703)&gt;=0.1,G2703&gt;=1),1,0)))</f>
        <v/>
      </c>
      <c r="I2703" s="4">
        <f>CHOOSE(H2703+1,"Kein Risiko","Gering","Mittel","Hoch")</f>
        <v/>
      </c>
    </row>
    <row r="2704">
      <c r="A2704" s="4" t="n">
        <v>2700</v>
      </c>
      <c r="B2704" s="4" t="inlineStr">
        <is>
          <t>yes</t>
        </is>
      </c>
      <c r="C2704" s="4" t="inlineStr"/>
      <c r="D2704" s="4" t="inlineStr"/>
      <c r="E2704" s="13" t="n">
        <v>83.3</v>
      </c>
      <c r="F2704" s="12" t="n">
        <v>0.02000045776367188</v>
      </c>
      <c r="G2704" s="4" t="n">
        <v>0</v>
      </c>
      <c r="H2704" s="4">
        <f>IF(OR(N(F2704)&gt;=0.5,G2704&gt;=4),3,IF(OR(N(F2704)&gt;=0.3,G2704=3),2,IF(OR(N(F2704)&gt;=0.1,G2704&gt;=1),1,0)))</f>
        <v/>
      </c>
      <c r="I2704" s="4">
        <f>CHOOSE(H2704+1,"Kein Risiko","Gering","Mittel","Hoch")</f>
        <v/>
      </c>
    </row>
    <row r="2705">
      <c r="A2705" s="4" t="n">
        <v>2701</v>
      </c>
      <c r="B2705" s="4" t="inlineStr">
        <is>
          <t>yes</t>
        </is>
      </c>
      <c r="C2705" s="4" t="inlineStr"/>
      <c r="D2705" s="4" t="inlineStr"/>
      <c r="E2705" s="13" t="n">
        <v>36</v>
      </c>
      <c r="F2705" s="12" t="n">
        <v>0.06000137329101562</v>
      </c>
      <c r="G2705" s="4" t="n">
        <v>0</v>
      </c>
      <c r="H2705" s="4">
        <f>IF(OR(N(F2705)&gt;=0.5,G2705&gt;=4),3,IF(OR(N(F2705)&gt;=0.3,G2705=3),2,IF(OR(N(F2705)&gt;=0.1,G2705&gt;=1),1,0)))</f>
        <v/>
      </c>
      <c r="I2705" s="4">
        <f>CHOOSE(H2705+1,"Kein Risiko","Gering","Mittel","Hoch")</f>
        <v/>
      </c>
    </row>
    <row r="2706">
      <c r="A2706" s="4" t="n">
        <v>2702</v>
      </c>
      <c r="B2706" s="4" t="inlineStr">
        <is>
          <t>yes</t>
        </is>
      </c>
      <c r="C2706" s="4" t="inlineStr"/>
      <c r="D2706" s="4" t="inlineStr"/>
      <c r="E2706" s="13" t="n">
        <v>154.6</v>
      </c>
      <c r="F2706" s="12" t="n">
        <v>0.01000213623046875</v>
      </c>
      <c r="G2706" s="4" t="n">
        <v>0</v>
      </c>
      <c r="H2706" s="4">
        <f>IF(OR(N(F2706)&gt;=0.5,G2706&gt;=4),3,IF(OR(N(F2706)&gt;=0.3,G2706=3),2,IF(OR(N(F2706)&gt;=0.1,G2706&gt;=1),1,0)))</f>
        <v/>
      </c>
      <c r="I2706" s="4">
        <f>CHOOSE(H2706+1,"Kein Risiko","Gering","Mittel","Hoch")</f>
        <v/>
      </c>
    </row>
    <row r="2707">
      <c r="A2707" s="4" t="n">
        <v>2703</v>
      </c>
      <c r="B2707" s="4" t="inlineStr">
        <is>
          <t>warehouse</t>
        </is>
      </c>
      <c r="C2707" s="4" t="inlineStr"/>
      <c r="D2707" s="4" t="inlineStr"/>
      <c r="E2707" s="13" t="n">
        <v>2667</v>
      </c>
      <c r="F2707" s="12" t="n">
        <v>0.009998321533203125</v>
      </c>
      <c r="G2707" s="4" t="n">
        <v>1</v>
      </c>
      <c r="H2707" s="4">
        <f>IF(OR(N(F2707)&gt;=0.5,G2707&gt;=4),3,IF(OR(N(F2707)&gt;=0.3,G2707=3),2,IF(OR(N(F2707)&gt;=0.1,G2707&gt;=1),1,0)))</f>
        <v/>
      </c>
      <c r="I2707" s="4">
        <f>CHOOSE(H2707+1,"Kein Risiko","Gering","Mittel","Hoch")</f>
        <v/>
      </c>
    </row>
    <row r="2708">
      <c r="A2708" s="4" t="n">
        <v>2704</v>
      </c>
      <c r="B2708" s="4" t="inlineStr">
        <is>
          <t>roof</t>
        </is>
      </c>
      <c r="C2708" s="4" t="inlineStr"/>
      <c r="D2708" s="4" t="inlineStr"/>
      <c r="E2708" s="13" t="n">
        <v>287.7</v>
      </c>
      <c r="F2708" s="12" t="n">
        <v>0.02000045776367188</v>
      </c>
      <c r="G2708" s="4" t="n">
        <v>0</v>
      </c>
      <c r="H2708" s="4">
        <f>IF(OR(N(F2708)&gt;=0.5,G2708&gt;=4),3,IF(OR(N(F2708)&gt;=0.3,G2708=3),2,IF(OR(N(F2708)&gt;=0.1,G2708&gt;=1),1,0)))</f>
        <v/>
      </c>
      <c r="I2708" s="4">
        <f>CHOOSE(H2708+1,"Kein Risiko","Gering","Mittel","Hoch")</f>
        <v/>
      </c>
    </row>
    <row r="2709">
      <c r="A2709" s="4" t="n">
        <v>2705</v>
      </c>
      <c r="B2709" s="4" t="inlineStr">
        <is>
          <t>roof</t>
        </is>
      </c>
      <c r="C2709" s="4" t="inlineStr"/>
      <c r="D2709" s="4" t="inlineStr"/>
      <c r="E2709" s="13" t="n">
        <v>277.7</v>
      </c>
      <c r="F2709" s="12" t="n">
        <v>0</v>
      </c>
      <c r="G2709" s="4" t="n">
        <v>0</v>
      </c>
      <c r="H2709" s="4">
        <f>IF(OR(N(F2709)&gt;=0.5,G2709&gt;=4),3,IF(OR(N(F2709)&gt;=0.3,G2709=3),2,IF(OR(N(F2709)&gt;=0.1,G2709&gt;=1),1,0)))</f>
        <v/>
      </c>
      <c r="I2709" s="4">
        <f>CHOOSE(H2709+1,"Kein Risiko","Gering","Mittel","Hoch")</f>
        <v/>
      </c>
    </row>
    <row r="2710">
      <c r="A2710" s="4" t="n">
        <v>2706</v>
      </c>
      <c r="B2710" s="4" t="inlineStr">
        <is>
          <t>roof</t>
        </is>
      </c>
      <c r="C2710" s="4" t="inlineStr"/>
      <c r="D2710" s="4" t="inlineStr"/>
      <c r="E2710" s="13" t="n">
        <v>277.1</v>
      </c>
      <c r="F2710" s="12" t="n">
        <v>0</v>
      </c>
      <c r="G2710" s="4" t="n">
        <v>0</v>
      </c>
      <c r="H2710" s="4">
        <f>IF(OR(N(F2710)&gt;=0.5,G2710&gt;=4),3,IF(OR(N(F2710)&gt;=0.3,G2710=3),2,IF(OR(N(F2710)&gt;=0.1,G2710&gt;=1),1,0)))</f>
        <v/>
      </c>
      <c r="I2710" s="4">
        <f>CHOOSE(H2710+1,"Kein Risiko","Gering","Mittel","Hoch")</f>
        <v/>
      </c>
    </row>
    <row r="2711">
      <c r="A2711" s="4" t="n">
        <v>2707</v>
      </c>
      <c r="B2711" s="4" t="inlineStr">
        <is>
          <t>yes</t>
        </is>
      </c>
      <c r="C2711" s="4" t="inlineStr"/>
      <c r="D2711" s="4" t="inlineStr"/>
      <c r="E2711" s="13" t="n">
        <v>75.3</v>
      </c>
      <c r="F2711" s="12" t="n">
        <v>0</v>
      </c>
      <c r="G2711" s="4" t="n">
        <v>0</v>
      </c>
      <c r="H2711" s="4">
        <f>IF(OR(N(F2711)&gt;=0.5,G2711&gt;=4),3,IF(OR(N(F2711)&gt;=0.3,G2711=3),2,IF(OR(N(F2711)&gt;=0.1,G2711&gt;=1),1,0)))</f>
        <v/>
      </c>
      <c r="I2711" s="4">
        <f>CHOOSE(H2711+1,"Kein Risiko","Gering","Mittel","Hoch")</f>
        <v/>
      </c>
    </row>
    <row r="2712">
      <c r="A2712" s="4" t="n">
        <v>2708</v>
      </c>
      <c r="B2712" s="4" t="inlineStr">
        <is>
          <t>yes</t>
        </is>
      </c>
      <c r="C2712" s="4" t="inlineStr"/>
      <c r="D2712" s="4" t="inlineStr"/>
      <c r="E2712" s="13" t="n">
        <v>202.3</v>
      </c>
      <c r="F2712" s="12" t="n">
        <v>0</v>
      </c>
      <c r="G2712" s="4" t="n">
        <v>1</v>
      </c>
      <c r="H2712" s="4">
        <f>IF(OR(N(F2712)&gt;=0.5,G2712&gt;=4),3,IF(OR(N(F2712)&gt;=0.3,G2712=3),2,IF(OR(N(F2712)&gt;=0.1,G2712&gt;=1),1,0)))</f>
        <v/>
      </c>
      <c r="I2712" s="4">
        <f>CHOOSE(H2712+1,"Kein Risiko","Gering","Mittel","Hoch")</f>
        <v/>
      </c>
    </row>
    <row r="2713">
      <c r="A2713" s="4" t="n">
        <v>2709</v>
      </c>
      <c r="B2713" s="4" t="inlineStr">
        <is>
          <t>shed</t>
        </is>
      </c>
      <c r="C2713" s="4" t="inlineStr"/>
      <c r="D2713" s="4" t="inlineStr"/>
      <c r="E2713" s="13" t="n">
        <v>564.4</v>
      </c>
      <c r="F2713" s="12" t="n">
        <v>0.0099945068359375</v>
      </c>
      <c r="G2713" s="4" t="n">
        <v>0</v>
      </c>
      <c r="H2713" s="4">
        <f>IF(OR(N(F2713)&gt;=0.5,G2713&gt;=4),3,IF(OR(N(F2713)&gt;=0.3,G2713=3),2,IF(OR(N(F2713)&gt;=0.1,G2713&gt;=1),1,0)))</f>
        <v/>
      </c>
      <c r="I2713" s="4">
        <f>CHOOSE(H2713+1,"Kein Risiko","Gering","Mittel","Hoch")</f>
        <v/>
      </c>
    </row>
    <row r="2714">
      <c r="A2714" s="4" t="n">
        <v>2710</v>
      </c>
      <c r="B2714" s="4" t="inlineStr">
        <is>
          <t>apartments</t>
        </is>
      </c>
      <c r="C2714" s="4" t="inlineStr">
        <is>
          <t>Am Wieselbach</t>
        </is>
      </c>
      <c r="D2714" s="4" t="inlineStr">
        <is>
          <t>10</t>
        </is>
      </c>
      <c r="E2714" s="13" t="n">
        <v>270.1</v>
      </c>
      <c r="F2714" s="12" t="n"/>
      <c r="G2714" s="4" t="n">
        <v>0</v>
      </c>
      <c r="H2714" s="4">
        <f>IF(OR(N(F2714)&gt;=0.5,G2714&gt;=4),3,IF(OR(N(F2714)&gt;=0.3,G2714=3),2,IF(OR(N(F2714)&gt;=0.1,G2714&gt;=1),1,0)))</f>
        <v/>
      </c>
      <c r="I2714" s="4">
        <f>CHOOSE(H2714+1,"Kein Risiko","Gering","Mittel","Hoch")</f>
        <v/>
      </c>
    </row>
    <row r="2715">
      <c r="A2715" s="4" t="n">
        <v>2711</v>
      </c>
      <c r="B2715" s="4" t="inlineStr">
        <is>
          <t>yes</t>
        </is>
      </c>
      <c r="C2715" s="4" t="inlineStr"/>
      <c r="D2715" s="4" t="inlineStr"/>
      <c r="E2715" s="13" t="n">
        <v>878.5</v>
      </c>
      <c r="F2715" s="12" t="n">
        <v>0</v>
      </c>
      <c r="G2715" s="4" t="n">
        <v>0</v>
      </c>
      <c r="H2715" s="4">
        <f>IF(OR(N(F2715)&gt;=0.5,G2715&gt;=4),3,IF(OR(N(F2715)&gt;=0.3,G2715=3),2,IF(OR(N(F2715)&gt;=0.1,G2715&gt;=1),1,0)))</f>
        <v/>
      </c>
      <c r="I2715" s="4">
        <f>CHOOSE(H2715+1,"Kein Risiko","Gering","Mittel","Hoch")</f>
        <v/>
      </c>
    </row>
    <row r="2716">
      <c r="A2716" s="4" t="n">
        <v>2712</v>
      </c>
      <c r="B2716" s="4" t="inlineStr">
        <is>
          <t>yes</t>
        </is>
      </c>
      <c r="C2716" s="4" t="inlineStr"/>
      <c r="D2716" s="4" t="inlineStr"/>
      <c r="E2716" s="13" t="n">
        <v>22.5</v>
      </c>
      <c r="F2716" s="12" t="n">
        <v>0.4099998474121094</v>
      </c>
      <c r="G2716" s="4" t="n">
        <v>3</v>
      </c>
      <c r="H2716" s="4">
        <f>IF(OR(N(F2716)&gt;=0.5,G2716&gt;=4),3,IF(OR(N(F2716)&gt;=0.3,G2716=3),2,IF(OR(N(F2716)&gt;=0.1,G2716&gt;=1),1,0)))</f>
        <v/>
      </c>
      <c r="I2716" s="4">
        <f>CHOOSE(H2716+1,"Kein Risiko","Gering","Mittel","Hoch")</f>
        <v/>
      </c>
    </row>
    <row r="2717">
      <c r="A2717" s="4" t="n">
        <v>2713</v>
      </c>
      <c r="B2717" s="4" t="inlineStr">
        <is>
          <t>yes</t>
        </is>
      </c>
      <c r="C2717" s="4" t="inlineStr"/>
      <c r="D2717" s="4" t="inlineStr"/>
      <c r="E2717" s="13" t="n">
        <v>8.800000000000001</v>
      </c>
      <c r="F2717" s="12" t="n"/>
      <c r="G2717" s="4" t="n">
        <v>0</v>
      </c>
      <c r="H2717" s="4">
        <f>IF(OR(N(F2717)&gt;=0.5,G2717&gt;=4),3,IF(OR(N(F2717)&gt;=0.3,G2717=3),2,IF(OR(N(F2717)&gt;=0.1,G2717&gt;=1),1,0)))</f>
        <v/>
      </c>
      <c r="I2717" s="4">
        <f>CHOOSE(H2717+1,"Kein Risiko","Gering","Mittel","Hoch")</f>
        <v/>
      </c>
    </row>
    <row r="2718">
      <c r="A2718" s="4" t="n">
        <v>2714</v>
      </c>
      <c r="B2718" s="4" t="inlineStr">
        <is>
          <t>yes</t>
        </is>
      </c>
      <c r="C2718" s="4" t="inlineStr"/>
      <c r="D2718" s="4" t="inlineStr"/>
      <c r="E2718" s="13" t="n">
        <v>18.4</v>
      </c>
      <c r="F2718" s="12" t="n"/>
      <c r="G2718" s="4" t="n">
        <v>0</v>
      </c>
      <c r="H2718" s="4">
        <f>IF(OR(N(F2718)&gt;=0.5,G2718&gt;=4),3,IF(OR(N(F2718)&gt;=0.3,G2718=3),2,IF(OR(N(F2718)&gt;=0.1,G2718&gt;=1),1,0)))</f>
        <v/>
      </c>
      <c r="I2718" s="4">
        <f>CHOOSE(H2718+1,"Kein Risiko","Gering","Mittel","Hoch")</f>
        <v/>
      </c>
    </row>
    <row r="2719">
      <c r="A2719" s="4" t="n">
        <v>2715</v>
      </c>
      <c r="B2719" s="4" t="inlineStr">
        <is>
          <t>yes</t>
        </is>
      </c>
      <c r="C2719" s="4" t="inlineStr"/>
      <c r="D2719" s="4" t="inlineStr"/>
      <c r="E2719" s="13" t="n">
        <v>10.7</v>
      </c>
      <c r="F2719" s="12" t="n"/>
      <c r="G2719" s="4" t="n">
        <v>0</v>
      </c>
      <c r="H2719" s="4">
        <f>IF(OR(N(F2719)&gt;=0.5,G2719&gt;=4),3,IF(OR(N(F2719)&gt;=0.3,G2719=3),2,IF(OR(N(F2719)&gt;=0.1,G2719&gt;=1),1,0)))</f>
        <v/>
      </c>
      <c r="I2719" s="4">
        <f>CHOOSE(H2719+1,"Kein Risiko","Gering","Mittel","Hoch")</f>
        <v/>
      </c>
    </row>
    <row r="2720">
      <c r="A2720" s="4" t="n">
        <v>2716</v>
      </c>
      <c r="B2720" s="4" t="inlineStr">
        <is>
          <t>yes</t>
        </is>
      </c>
      <c r="C2720" s="4" t="inlineStr"/>
      <c r="D2720" s="4" t="inlineStr"/>
      <c r="E2720" s="13" t="n">
        <v>62</v>
      </c>
      <c r="F2720" s="12" t="n">
        <v>0</v>
      </c>
      <c r="G2720" s="4" t="n">
        <v>1</v>
      </c>
      <c r="H2720" s="4">
        <f>IF(OR(N(F2720)&gt;=0.5,G2720&gt;=4),3,IF(OR(N(F2720)&gt;=0.3,G2720=3),2,IF(OR(N(F2720)&gt;=0.1,G2720&gt;=1),1,0)))</f>
        <v/>
      </c>
      <c r="I2720" s="4">
        <f>CHOOSE(H2720+1,"Kein Risiko","Gering","Mittel","Hoch")</f>
        <v/>
      </c>
    </row>
    <row r="2721">
      <c r="A2721" s="4" t="n">
        <v>2717</v>
      </c>
      <c r="B2721" s="4" t="inlineStr">
        <is>
          <t>yes</t>
        </is>
      </c>
      <c r="C2721" s="4" t="inlineStr"/>
      <c r="D2721" s="4" t="inlineStr"/>
      <c r="E2721" s="13" t="n">
        <v>35.5</v>
      </c>
      <c r="F2721" s="12" t="n">
        <v>0</v>
      </c>
      <c r="G2721" s="4" t="n">
        <v>3</v>
      </c>
      <c r="H2721" s="4">
        <f>IF(OR(N(F2721)&gt;=0.5,G2721&gt;=4),3,IF(OR(N(F2721)&gt;=0.3,G2721=3),2,IF(OR(N(F2721)&gt;=0.1,G2721&gt;=1),1,0)))</f>
        <v/>
      </c>
      <c r="I2721" s="4">
        <f>CHOOSE(H2721+1,"Kein Risiko","Gering","Mittel","Hoch")</f>
        <v/>
      </c>
    </row>
    <row r="2722">
      <c r="A2722" s="4" t="n">
        <v>2718</v>
      </c>
      <c r="B2722" s="4" t="inlineStr">
        <is>
          <t>apartments</t>
        </is>
      </c>
      <c r="C2722" s="4" t="inlineStr"/>
      <c r="D2722" s="4" t="inlineStr"/>
      <c r="E2722" s="13" t="n">
        <v>604.7</v>
      </c>
      <c r="F2722" s="12" t="n">
        <v>0.04999542236328125</v>
      </c>
      <c r="G2722" s="4" t="n">
        <v>0</v>
      </c>
      <c r="H2722" s="4">
        <f>IF(OR(N(F2722)&gt;=0.5,G2722&gt;=4),3,IF(OR(N(F2722)&gt;=0.3,G2722=3),2,IF(OR(N(F2722)&gt;=0.1,G2722&gt;=1),1,0)))</f>
        <v/>
      </c>
      <c r="I2722" s="4">
        <f>CHOOSE(H2722+1,"Kein Risiko","Gering","Mittel","Hoch")</f>
        <v/>
      </c>
    </row>
    <row r="2723">
      <c r="A2723" s="4" t="n">
        <v>2719</v>
      </c>
      <c r="B2723" s="4" t="inlineStr">
        <is>
          <t>garages</t>
        </is>
      </c>
      <c r="C2723" s="4" t="inlineStr"/>
      <c r="D2723" s="4" t="inlineStr"/>
      <c r="E2723" s="13" t="n">
        <v>35</v>
      </c>
      <c r="F2723" s="12" t="n">
        <v>0</v>
      </c>
      <c r="G2723" s="4" t="n">
        <v>0</v>
      </c>
      <c r="H2723" s="4">
        <f>IF(OR(N(F2723)&gt;=0.5,G2723&gt;=4),3,IF(OR(N(F2723)&gt;=0.3,G2723=3),2,IF(OR(N(F2723)&gt;=0.1,G2723&gt;=1),1,0)))</f>
        <v/>
      </c>
      <c r="I2723" s="4">
        <f>CHOOSE(H2723+1,"Kein Risiko","Gering","Mittel","Hoch")</f>
        <v/>
      </c>
    </row>
    <row r="2724">
      <c r="A2724" s="4" t="n">
        <v>2720</v>
      </c>
      <c r="B2724" s="4" t="inlineStr">
        <is>
          <t>garages</t>
        </is>
      </c>
      <c r="C2724" s="4" t="inlineStr"/>
      <c r="D2724" s="4" t="inlineStr"/>
      <c r="E2724" s="13" t="n">
        <v>35.5</v>
      </c>
      <c r="F2724" s="12" t="n">
        <v>0</v>
      </c>
      <c r="G2724" s="4" t="n">
        <v>0</v>
      </c>
      <c r="H2724" s="4">
        <f>IF(OR(N(F2724)&gt;=0.5,G2724&gt;=4),3,IF(OR(N(F2724)&gt;=0.3,G2724=3),2,IF(OR(N(F2724)&gt;=0.1,G2724&gt;=1),1,0)))</f>
        <v/>
      </c>
      <c r="I2724" s="4">
        <f>CHOOSE(H2724+1,"Kein Risiko","Gering","Mittel","Hoch")</f>
        <v/>
      </c>
    </row>
    <row r="2725">
      <c r="A2725" s="4" t="n">
        <v>2721</v>
      </c>
      <c r="B2725" s="4" t="inlineStr">
        <is>
          <t>garages</t>
        </is>
      </c>
      <c r="C2725" s="4" t="inlineStr"/>
      <c r="D2725" s="4" t="inlineStr"/>
      <c r="E2725" s="13" t="n">
        <v>63.1</v>
      </c>
      <c r="F2725" s="12" t="n">
        <v>0</v>
      </c>
      <c r="G2725" s="4" t="n">
        <v>0</v>
      </c>
      <c r="H2725" s="4">
        <f>IF(OR(N(F2725)&gt;=0.5,G2725&gt;=4),3,IF(OR(N(F2725)&gt;=0.3,G2725=3),2,IF(OR(N(F2725)&gt;=0.1,G2725&gt;=1),1,0)))</f>
        <v/>
      </c>
      <c r="I2725" s="4">
        <f>CHOOSE(H2725+1,"Kein Risiko","Gering","Mittel","Hoch")</f>
        <v/>
      </c>
    </row>
    <row r="2726">
      <c r="A2726" s="4" t="n">
        <v>2722</v>
      </c>
      <c r="B2726" s="4" t="inlineStr">
        <is>
          <t>garages</t>
        </is>
      </c>
      <c r="C2726" s="4" t="inlineStr"/>
      <c r="D2726" s="4" t="inlineStr"/>
      <c r="E2726" s="13" t="n">
        <v>107.1</v>
      </c>
      <c r="F2726" s="12" t="n">
        <v>0</v>
      </c>
      <c r="G2726" s="4" t="n">
        <v>2</v>
      </c>
      <c r="H2726" s="4">
        <f>IF(OR(N(F2726)&gt;=0.5,G2726&gt;=4),3,IF(OR(N(F2726)&gt;=0.3,G2726=3),2,IF(OR(N(F2726)&gt;=0.1,G2726&gt;=1),1,0)))</f>
        <v/>
      </c>
      <c r="I2726" s="4">
        <f>CHOOSE(H2726+1,"Kein Risiko","Gering","Mittel","Hoch")</f>
        <v/>
      </c>
    </row>
    <row r="2727">
      <c r="A2727" s="4" t="n">
        <v>2723</v>
      </c>
      <c r="B2727" s="4" t="inlineStr">
        <is>
          <t>garage</t>
        </is>
      </c>
      <c r="C2727" s="4" t="inlineStr"/>
      <c r="D2727" s="4" t="inlineStr"/>
      <c r="E2727" s="13" t="n">
        <v>19.1</v>
      </c>
      <c r="F2727" s="12" t="n">
        <v>0</v>
      </c>
      <c r="G2727" s="4" t="n">
        <v>0</v>
      </c>
      <c r="H2727" s="4">
        <f>IF(OR(N(F2727)&gt;=0.5,G2727&gt;=4),3,IF(OR(N(F2727)&gt;=0.3,G2727=3),2,IF(OR(N(F2727)&gt;=0.1,G2727&gt;=1),1,0)))</f>
        <v/>
      </c>
      <c r="I2727" s="4">
        <f>CHOOSE(H2727+1,"Kein Risiko","Gering","Mittel","Hoch")</f>
        <v/>
      </c>
    </row>
    <row r="2728">
      <c r="A2728" s="4" t="n">
        <v>2724</v>
      </c>
      <c r="B2728" s="4" t="inlineStr">
        <is>
          <t>residential</t>
        </is>
      </c>
      <c r="C2728" s="4" t="inlineStr">
        <is>
          <t>Marienbergstraße</t>
        </is>
      </c>
      <c r="D2728" s="4" t="inlineStr">
        <is>
          <t>76</t>
        </is>
      </c>
      <c r="E2728" s="13" t="n">
        <v>379.7</v>
      </c>
      <c r="F2728" s="12" t="n">
        <v>0</v>
      </c>
      <c r="G2728" s="4" t="n">
        <v>0</v>
      </c>
      <c r="H2728" s="4">
        <f>IF(OR(N(F2728)&gt;=0.5,G2728&gt;=4),3,IF(OR(N(F2728)&gt;=0.3,G2728=3),2,IF(OR(N(F2728)&gt;=0.1,G2728&gt;=1),1,0)))</f>
        <v/>
      </c>
      <c r="I2728" s="4">
        <f>CHOOSE(H2728+1,"Kein Risiko","Gering","Mittel","Hoch")</f>
        <v/>
      </c>
    </row>
    <row r="2729">
      <c r="A2729" s="4" t="n">
        <v>2725</v>
      </c>
      <c r="B2729" s="4" t="inlineStr">
        <is>
          <t>residential</t>
        </is>
      </c>
      <c r="C2729" s="4" t="inlineStr">
        <is>
          <t>Marienbergstraße</t>
        </is>
      </c>
      <c r="D2729" s="4" t="inlineStr">
        <is>
          <t>78</t>
        </is>
      </c>
      <c r="E2729" s="13" t="n">
        <v>382.5</v>
      </c>
      <c r="F2729" s="12" t="n">
        <v>0.0200042724609375</v>
      </c>
      <c r="G2729" s="4" t="n">
        <v>0</v>
      </c>
      <c r="H2729" s="4">
        <f>IF(OR(N(F2729)&gt;=0.5,G2729&gt;=4),3,IF(OR(N(F2729)&gt;=0.3,G2729=3),2,IF(OR(N(F2729)&gt;=0.1,G2729&gt;=1),1,0)))</f>
        <v/>
      </c>
      <c r="I2729" s="4">
        <f>CHOOSE(H2729+1,"Kein Risiko","Gering","Mittel","Hoch")</f>
        <v/>
      </c>
    </row>
    <row r="2730">
      <c r="A2730" s="4" t="n">
        <v>2726</v>
      </c>
      <c r="B2730" s="4" t="inlineStr">
        <is>
          <t>shed</t>
        </is>
      </c>
      <c r="C2730" s="4" t="inlineStr"/>
      <c r="D2730" s="4" t="inlineStr"/>
      <c r="E2730" s="13" t="n">
        <v>34.2</v>
      </c>
      <c r="F2730" s="12" t="n">
        <v>0</v>
      </c>
      <c r="G2730" s="4" t="n">
        <v>0</v>
      </c>
      <c r="H2730" s="4">
        <f>IF(OR(N(F2730)&gt;=0.5,G2730&gt;=4),3,IF(OR(N(F2730)&gt;=0.3,G2730=3),2,IF(OR(N(F2730)&gt;=0.1,G2730&gt;=1),1,0)))</f>
        <v/>
      </c>
      <c r="I2730" s="4">
        <f>CHOOSE(H2730+1,"Kein Risiko","Gering","Mittel","Hoch")</f>
        <v/>
      </c>
    </row>
    <row r="2731">
      <c r="A2731" s="4" t="n">
        <v>2727</v>
      </c>
      <c r="B2731" s="4" t="inlineStr">
        <is>
          <t>roof</t>
        </is>
      </c>
      <c r="C2731" s="4" t="inlineStr"/>
      <c r="D2731" s="4" t="inlineStr"/>
      <c r="E2731" s="13" t="n">
        <v>33.6</v>
      </c>
      <c r="F2731" s="12" t="n">
        <v>0</v>
      </c>
      <c r="G2731" s="4" t="n">
        <v>0</v>
      </c>
      <c r="H2731" s="4">
        <f>IF(OR(N(F2731)&gt;=0.5,G2731&gt;=4),3,IF(OR(N(F2731)&gt;=0.3,G2731=3),2,IF(OR(N(F2731)&gt;=0.1,G2731&gt;=1),1,0)))</f>
        <v/>
      </c>
      <c r="I2731" s="4">
        <f>CHOOSE(H2731+1,"Kein Risiko","Gering","Mittel","Hoch")</f>
        <v/>
      </c>
    </row>
    <row r="2732">
      <c r="A2732" s="4" t="n">
        <v>2728</v>
      </c>
      <c r="B2732" s="4" t="inlineStr">
        <is>
          <t>yes</t>
        </is>
      </c>
      <c r="C2732" s="4" t="inlineStr"/>
      <c r="D2732" s="4" t="inlineStr"/>
      <c r="E2732" s="13" t="n">
        <v>58.3</v>
      </c>
      <c r="F2732" s="12" t="n">
        <v>0.009998321533203125</v>
      </c>
      <c r="G2732" s="4" t="n">
        <v>2</v>
      </c>
      <c r="H2732" s="4">
        <f>IF(OR(N(F2732)&gt;=0.5,G2732&gt;=4),3,IF(OR(N(F2732)&gt;=0.3,G2732=3),2,IF(OR(N(F2732)&gt;=0.1,G2732&gt;=1),1,0)))</f>
        <v/>
      </c>
      <c r="I2732" s="4">
        <f>CHOOSE(H2732+1,"Kein Risiko","Gering","Mittel","Hoch")</f>
        <v/>
      </c>
    </row>
    <row r="2733">
      <c r="A2733" s="4" t="n">
        <v>2729</v>
      </c>
      <c r="B2733" s="4" t="inlineStr">
        <is>
          <t>garage</t>
        </is>
      </c>
      <c r="C2733" s="4" t="inlineStr"/>
      <c r="D2733" s="4" t="inlineStr"/>
      <c r="E2733" s="13" t="n">
        <v>27</v>
      </c>
      <c r="F2733" s="12" t="n">
        <v>0</v>
      </c>
      <c r="G2733" s="4" t="n">
        <v>0</v>
      </c>
      <c r="H2733" s="4">
        <f>IF(OR(N(F2733)&gt;=0.5,G2733&gt;=4),3,IF(OR(N(F2733)&gt;=0.3,G2733=3),2,IF(OR(N(F2733)&gt;=0.1,G2733&gt;=1),1,0)))</f>
        <v/>
      </c>
      <c r="I2733" s="4">
        <f>CHOOSE(H2733+1,"Kein Risiko","Gering","Mittel","Hoch")</f>
        <v/>
      </c>
    </row>
    <row r="2734">
      <c r="A2734" s="4" t="n">
        <v>2730</v>
      </c>
      <c r="B2734" s="4" t="inlineStr">
        <is>
          <t>apartments</t>
        </is>
      </c>
      <c r="C2734" s="4" t="inlineStr">
        <is>
          <t>Niederweniger Straße</t>
        </is>
      </c>
      <c r="D2734" s="4" t="inlineStr"/>
      <c r="E2734" s="13" t="n">
        <v>357</v>
      </c>
      <c r="F2734" s="12" t="n">
        <v>0.05999755859375</v>
      </c>
      <c r="G2734" s="4" t="n">
        <v>3</v>
      </c>
      <c r="H2734" s="4">
        <f>IF(OR(N(F2734)&gt;=0.5,G2734&gt;=4),3,IF(OR(N(F2734)&gt;=0.3,G2734=3),2,IF(OR(N(F2734)&gt;=0.1,G2734&gt;=1),1,0)))</f>
        <v/>
      </c>
      <c r="I2734" s="4">
        <f>CHOOSE(H2734+1,"Kein Risiko","Gering","Mittel","Hoch")</f>
        <v/>
      </c>
    </row>
    <row r="2735">
      <c r="A2735" s="4" t="n">
        <v>2731</v>
      </c>
      <c r="B2735" s="4" t="inlineStr">
        <is>
          <t>yes</t>
        </is>
      </c>
      <c r="C2735" s="4" t="inlineStr"/>
      <c r="D2735" s="4" t="inlineStr"/>
      <c r="E2735" s="13" t="n">
        <v>42.4</v>
      </c>
      <c r="F2735" s="12" t="n"/>
      <c r="G2735" s="4" t="n">
        <v>0</v>
      </c>
      <c r="H2735" s="4">
        <f>IF(OR(N(F2735)&gt;=0.5,G2735&gt;=4),3,IF(OR(N(F2735)&gt;=0.3,G2735=3),2,IF(OR(N(F2735)&gt;=0.1,G2735&gt;=1),1,0)))</f>
        <v/>
      </c>
      <c r="I2735" s="4">
        <f>CHOOSE(H2735+1,"Kein Risiko","Gering","Mittel","Hoch")</f>
        <v/>
      </c>
    </row>
    <row r="2736">
      <c r="A2736" s="4" t="n">
        <v>2732</v>
      </c>
      <c r="B2736" s="4" t="inlineStr">
        <is>
          <t>yes</t>
        </is>
      </c>
      <c r="C2736" s="4" t="inlineStr"/>
      <c r="D2736" s="4" t="inlineStr"/>
      <c r="E2736" s="13" t="n">
        <v>46.7</v>
      </c>
      <c r="F2736" s="12" t="n"/>
      <c r="G2736" s="4" t="n">
        <v>0</v>
      </c>
      <c r="H2736" s="4">
        <f>IF(OR(N(F2736)&gt;=0.5,G2736&gt;=4),3,IF(OR(N(F2736)&gt;=0.3,G2736=3),2,IF(OR(N(F2736)&gt;=0.1,G2736&gt;=1),1,0)))</f>
        <v/>
      </c>
      <c r="I2736" s="4">
        <f>CHOOSE(H2736+1,"Kein Risiko","Gering","Mittel","Hoch")</f>
        <v/>
      </c>
    </row>
    <row r="2737">
      <c r="A2737" s="4" t="n">
        <v>2733</v>
      </c>
      <c r="B2737" s="4" t="inlineStr">
        <is>
          <t>yes</t>
        </is>
      </c>
      <c r="C2737" s="4" t="inlineStr"/>
      <c r="D2737" s="4" t="inlineStr"/>
      <c r="E2737" s="13" t="n">
        <v>160.1</v>
      </c>
      <c r="F2737" s="12" t="n">
        <v>0</v>
      </c>
      <c r="G2737" s="4" t="n">
        <v>0</v>
      </c>
      <c r="H2737" s="4">
        <f>IF(OR(N(F2737)&gt;=0.5,G2737&gt;=4),3,IF(OR(N(F2737)&gt;=0.3,G2737=3),2,IF(OR(N(F2737)&gt;=0.1,G2737&gt;=1),1,0)))</f>
        <v/>
      </c>
      <c r="I2737" s="4">
        <f>CHOOSE(H2737+1,"Kein Risiko","Gering","Mittel","Hoch")</f>
        <v/>
      </c>
    </row>
    <row r="2738">
      <c r="A2738" s="4" t="n">
        <v>2734</v>
      </c>
      <c r="B2738" s="4" t="inlineStr">
        <is>
          <t>yes</t>
        </is>
      </c>
      <c r="C2738" s="4" t="inlineStr"/>
      <c r="D2738" s="4" t="inlineStr"/>
      <c r="E2738" s="13" t="n">
        <v>181.2</v>
      </c>
      <c r="F2738" s="12" t="n">
        <v>0</v>
      </c>
      <c r="G2738" s="4" t="n">
        <v>1</v>
      </c>
      <c r="H2738" s="4">
        <f>IF(OR(N(F2738)&gt;=0.5,G2738&gt;=4),3,IF(OR(N(F2738)&gt;=0.3,G2738=3),2,IF(OR(N(F2738)&gt;=0.1,G2738&gt;=1),1,0)))</f>
        <v/>
      </c>
      <c r="I2738" s="4">
        <f>CHOOSE(H2738+1,"Kein Risiko","Gering","Mittel","Hoch")</f>
        <v/>
      </c>
    </row>
    <row r="2739">
      <c r="A2739" s="4" t="n">
        <v>2735</v>
      </c>
      <c r="B2739" s="4" t="inlineStr">
        <is>
          <t>garages</t>
        </is>
      </c>
      <c r="C2739" s="4" t="inlineStr"/>
      <c r="D2739" s="4" t="inlineStr"/>
      <c r="E2739" s="13" t="n">
        <v>57.1</v>
      </c>
      <c r="F2739" s="12" t="n">
        <v>0</v>
      </c>
      <c r="G2739" s="4" t="n">
        <v>0</v>
      </c>
      <c r="H2739" s="4">
        <f>IF(OR(N(F2739)&gt;=0.5,G2739&gt;=4),3,IF(OR(N(F2739)&gt;=0.3,G2739=3),2,IF(OR(N(F2739)&gt;=0.1,G2739&gt;=1),1,0)))</f>
        <v/>
      </c>
      <c r="I2739" s="4">
        <f>CHOOSE(H2739+1,"Kein Risiko","Gering","Mittel","Hoch")</f>
        <v/>
      </c>
    </row>
    <row r="2740">
      <c r="A2740" s="4" t="n">
        <v>2736</v>
      </c>
      <c r="B2740" s="4" t="inlineStr">
        <is>
          <t>garages</t>
        </is>
      </c>
      <c r="C2740" s="4" t="inlineStr"/>
      <c r="D2740" s="4" t="inlineStr"/>
      <c r="E2740" s="13" t="n">
        <v>35.2</v>
      </c>
      <c r="F2740" s="12" t="n">
        <v>0</v>
      </c>
      <c r="G2740" s="4" t="n">
        <v>1</v>
      </c>
      <c r="H2740" s="4">
        <f>IF(OR(N(F2740)&gt;=0.5,G2740&gt;=4),3,IF(OR(N(F2740)&gt;=0.3,G2740=3),2,IF(OR(N(F2740)&gt;=0.1,G2740&gt;=1),1,0)))</f>
        <v/>
      </c>
      <c r="I2740" s="4">
        <f>CHOOSE(H2740+1,"Kein Risiko","Gering","Mittel","Hoch")</f>
        <v/>
      </c>
    </row>
    <row r="2741">
      <c r="A2741" s="4" t="n">
        <v>2737</v>
      </c>
      <c r="B2741" s="4" t="inlineStr">
        <is>
          <t>garages</t>
        </is>
      </c>
      <c r="C2741" s="4" t="inlineStr"/>
      <c r="D2741" s="4" t="inlineStr"/>
      <c r="E2741" s="13" t="n">
        <v>37.2</v>
      </c>
      <c r="F2741" s="12" t="n">
        <v>0</v>
      </c>
      <c r="G2741" s="4" t="n">
        <v>0</v>
      </c>
      <c r="H2741" s="4">
        <f>IF(OR(N(F2741)&gt;=0.5,G2741&gt;=4),3,IF(OR(N(F2741)&gt;=0.3,G2741=3),2,IF(OR(N(F2741)&gt;=0.1,G2741&gt;=1),1,0)))</f>
        <v/>
      </c>
      <c r="I2741" s="4">
        <f>CHOOSE(H2741+1,"Kein Risiko","Gering","Mittel","Hoch")</f>
        <v/>
      </c>
    </row>
    <row r="2742">
      <c r="A2742" s="4" t="n">
        <v>2738</v>
      </c>
      <c r="B2742" s="4" t="inlineStr">
        <is>
          <t>garages</t>
        </is>
      </c>
      <c r="C2742" s="4" t="inlineStr"/>
      <c r="D2742" s="4" t="inlineStr"/>
      <c r="E2742" s="13" t="n">
        <v>71.8</v>
      </c>
      <c r="F2742" s="12" t="n">
        <v>0</v>
      </c>
      <c r="G2742" s="4" t="n">
        <v>0</v>
      </c>
      <c r="H2742" s="4">
        <f>IF(OR(N(F2742)&gt;=0.5,G2742&gt;=4),3,IF(OR(N(F2742)&gt;=0.3,G2742=3),2,IF(OR(N(F2742)&gt;=0.1,G2742&gt;=1),1,0)))</f>
        <v/>
      </c>
      <c r="I2742" s="4">
        <f>CHOOSE(H2742+1,"Kein Risiko","Gering","Mittel","Hoch")</f>
        <v/>
      </c>
    </row>
    <row r="2743">
      <c r="A2743" s="4" t="n">
        <v>2739</v>
      </c>
      <c r="B2743" s="4" t="inlineStr">
        <is>
          <t>yes</t>
        </is>
      </c>
      <c r="C2743" s="4" t="inlineStr"/>
      <c r="D2743" s="4" t="inlineStr"/>
      <c r="E2743" s="13" t="n">
        <v>27.6</v>
      </c>
      <c r="F2743" s="12" t="n">
        <v>0.040008544921875</v>
      </c>
      <c r="G2743" s="4" t="n">
        <v>1</v>
      </c>
      <c r="H2743" s="4">
        <f>IF(OR(N(F2743)&gt;=0.5,G2743&gt;=4),3,IF(OR(N(F2743)&gt;=0.3,G2743=3),2,IF(OR(N(F2743)&gt;=0.1,G2743&gt;=1),1,0)))</f>
        <v/>
      </c>
      <c r="I2743" s="4">
        <f>CHOOSE(H2743+1,"Kein Risiko","Gering","Mittel","Hoch")</f>
        <v/>
      </c>
    </row>
    <row r="2744">
      <c r="A2744" s="4" t="n">
        <v>2740</v>
      </c>
      <c r="B2744" s="4" t="inlineStr">
        <is>
          <t>yes</t>
        </is>
      </c>
      <c r="C2744" s="4" t="inlineStr"/>
      <c r="D2744" s="4" t="inlineStr"/>
      <c r="E2744" s="13" t="n">
        <v>14.6</v>
      </c>
      <c r="F2744" s="12" t="n">
        <v>0</v>
      </c>
      <c r="G2744" s="4" t="n">
        <v>0</v>
      </c>
      <c r="H2744" s="4">
        <f>IF(OR(N(F2744)&gt;=0.5,G2744&gt;=4),3,IF(OR(N(F2744)&gt;=0.3,G2744=3),2,IF(OR(N(F2744)&gt;=0.1,G2744&gt;=1),1,0)))</f>
        <v/>
      </c>
      <c r="I2744" s="4">
        <f>CHOOSE(H2744+1,"Kein Risiko","Gering","Mittel","Hoch")</f>
        <v/>
      </c>
    </row>
    <row r="2745">
      <c r="A2745" s="4" t="n">
        <v>2741</v>
      </c>
      <c r="B2745" s="4" t="inlineStr">
        <is>
          <t>yes</t>
        </is>
      </c>
      <c r="C2745" s="4" t="inlineStr"/>
      <c r="D2745" s="4" t="inlineStr"/>
      <c r="E2745" s="13" t="n">
        <v>73.3</v>
      </c>
      <c r="F2745" s="12" t="n">
        <v>0.089996337890625</v>
      </c>
      <c r="G2745" s="4" t="n">
        <v>0</v>
      </c>
      <c r="H2745" s="4">
        <f>IF(OR(N(F2745)&gt;=0.5,G2745&gt;=4),3,IF(OR(N(F2745)&gt;=0.3,G2745=3),2,IF(OR(N(F2745)&gt;=0.1,G2745&gt;=1),1,0)))</f>
        <v/>
      </c>
      <c r="I2745" s="4">
        <f>CHOOSE(H2745+1,"Kein Risiko","Gering","Mittel","Hoch")</f>
        <v/>
      </c>
    </row>
    <row r="2746">
      <c r="A2746" s="4" t="n">
        <v>2742</v>
      </c>
      <c r="B2746" s="4" t="inlineStr">
        <is>
          <t>yes</t>
        </is>
      </c>
      <c r="C2746" s="4" t="inlineStr"/>
      <c r="D2746" s="4" t="inlineStr"/>
      <c r="E2746" s="13" t="n">
        <v>37.9</v>
      </c>
      <c r="F2746" s="12" t="n">
        <v>0</v>
      </c>
      <c r="G2746" s="4" t="n">
        <v>0</v>
      </c>
      <c r="H2746" s="4">
        <f>IF(OR(N(F2746)&gt;=0.5,G2746&gt;=4),3,IF(OR(N(F2746)&gt;=0.3,G2746=3),2,IF(OR(N(F2746)&gt;=0.1,G2746&gt;=1),1,0)))</f>
        <v/>
      </c>
      <c r="I2746" s="4">
        <f>CHOOSE(H2746+1,"Kein Risiko","Gering","Mittel","Hoch")</f>
        <v/>
      </c>
    </row>
    <row r="2747">
      <c r="A2747" s="4" t="n">
        <v>2743</v>
      </c>
      <c r="B2747" s="4" t="inlineStr">
        <is>
          <t>yes</t>
        </is>
      </c>
      <c r="C2747" s="4" t="inlineStr"/>
      <c r="D2747" s="4" t="inlineStr"/>
      <c r="E2747" s="13" t="n">
        <v>33</v>
      </c>
      <c r="F2747" s="12" t="n">
        <v>0</v>
      </c>
      <c r="G2747" s="4" t="n">
        <v>0</v>
      </c>
      <c r="H2747" s="4">
        <f>IF(OR(N(F2747)&gt;=0.5,G2747&gt;=4),3,IF(OR(N(F2747)&gt;=0.3,G2747=3),2,IF(OR(N(F2747)&gt;=0.1,G2747&gt;=1),1,0)))</f>
        <v/>
      </c>
      <c r="I2747" s="4">
        <f>CHOOSE(H2747+1,"Kein Risiko","Gering","Mittel","Hoch")</f>
        <v/>
      </c>
    </row>
    <row r="2748">
      <c r="A2748" s="4" t="n">
        <v>2744</v>
      </c>
      <c r="B2748" s="4" t="inlineStr">
        <is>
          <t>yes</t>
        </is>
      </c>
      <c r="C2748" s="4" t="inlineStr"/>
      <c r="D2748" s="4" t="inlineStr"/>
      <c r="E2748" s="13" t="n">
        <v>19.9</v>
      </c>
      <c r="F2748" s="12" t="n">
        <v>0.0099945068359375</v>
      </c>
      <c r="G2748" s="4" t="n">
        <v>0</v>
      </c>
      <c r="H2748" s="4">
        <f>IF(OR(N(F2748)&gt;=0.5,G2748&gt;=4),3,IF(OR(N(F2748)&gt;=0.3,G2748=3),2,IF(OR(N(F2748)&gt;=0.1,G2748&gt;=1),1,0)))</f>
        <v/>
      </c>
      <c r="I2748" s="4">
        <f>CHOOSE(H2748+1,"Kein Risiko","Gering","Mittel","Hoch")</f>
        <v/>
      </c>
    </row>
    <row r="2749">
      <c r="A2749" s="4" t="n">
        <v>2745</v>
      </c>
      <c r="B2749" s="4" t="inlineStr">
        <is>
          <t>yes</t>
        </is>
      </c>
      <c r="C2749" s="4" t="inlineStr"/>
      <c r="D2749" s="4" t="inlineStr"/>
      <c r="E2749" s="13" t="n">
        <v>14.4</v>
      </c>
      <c r="F2749" s="12" t="n">
        <v>0</v>
      </c>
      <c r="G2749" s="4" t="n">
        <v>0</v>
      </c>
      <c r="H2749" s="4">
        <f>IF(OR(N(F2749)&gt;=0.5,G2749&gt;=4),3,IF(OR(N(F2749)&gt;=0.3,G2749=3),2,IF(OR(N(F2749)&gt;=0.1,G2749&gt;=1),1,0)))</f>
        <v/>
      </c>
      <c r="I2749" s="4">
        <f>CHOOSE(H2749+1,"Kein Risiko","Gering","Mittel","Hoch")</f>
        <v/>
      </c>
    </row>
    <row r="2750">
      <c r="A2750" s="4" t="n">
        <v>2746</v>
      </c>
      <c r="B2750" s="4" t="inlineStr">
        <is>
          <t>semidetached_house</t>
        </is>
      </c>
      <c r="C2750" s="4" t="inlineStr">
        <is>
          <t>Am Gerichtshaus</t>
        </is>
      </c>
      <c r="D2750" s="4" t="inlineStr">
        <is>
          <t>8a</t>
        </is>
      </c>
      <c r="E2750" s="13" t="n">
        <v>85.09999999999999</v>
      </c>
      <c r="F2750" s="12" t="n"/>
      <c r="G2750" s="4" t="n">
        <v>0</v>
      </c>
      <c r="H2750" s="4">
        <f>IF(OR(N(F2750)&gt;=0.5,G2750&gt;=4),3,IF(OR(N(F2750)&gt;=0.3,G2750=3),2,IF(OR(N(F2750)&gt;=0.1,G2750&gt;=1),1,0)))</f>
        <v/>
      </c>
      <c r="I2750" s="4">
        <f>CHOOSE(H2750+1,"Kein Risiko","Gering","Mittel","Hoch")</f>
        <v/>
      </c>
    </row>
    <row r="2751">
      <c r="A2751" s="4" t="n">
        <v>2747</v>
      </c>
      <c r="B2751" s="4" t="inlineStr">
        <is>
          <t>garage</t>
        </is>
      </c>
      <c r="C2751" s="4" t="inlineStr"/>
      <c r="D2751" s="4" t="inlineStr"/>
      <c r="E2751" s="13" t="n">
        <v>40.5</v>
      </c>
      <c r="F2751" s="12" t="n">
        <v>0</v>
      </c>
      <c r="G2751" s="4" t="n">
        <v>0</v>
      </c>
      <c r="H2751" s="4">
        <f>IF(OR(N(F2751)&gt;=0.5,G2751&gt;=4),3,IF(OR(N(F2751)&gt;=0.3,G2751=3),2,IF(OR(N(F2751)&gt;=0.1,G2751&gt;=1),1,0)))</f>
        <v/>
      </c>
      <c r="I2751" s="4">
        <f>CHOOSE(H2751+1,"Kein Risiko","Gering","Mittel","Hoch")</f>
        <v/>
      </c>
    </row>
    <row r="2752">
      <c r="A2752" s="4" t="n">
        <v>2748</v>
      </c>
      <c r="B2752" s="4" t="inlineStr">
        <is>
          <t>garage</t>
        </is>
      </c>
      <c r="C2752" s="4" t="inlineStr"/>
      <c r="D2752" s="4" t="inlineStr"/>
      <c r="E2752" s="13" t="n">
        <v>19.5</v>
      </c>
      <c r="F2752" s="12" t="n">
        <v>0.25</v>
      </c>
      <c r="G2752" s="4" t="n">
        <v>0</v>
      </c>
      <c r="H2752" s="4">
        <f>IF(OR(N(F2752)&gt;=0.5,G2752&gt;=4),3,IF(OR(N(F2752)&gt;=0.3,G2752=3),2,IF(OR(N(F2752)&gt;=0.1,G2752&gt;=1),1,0)))</f>
        <v/>
      </c>
      <c r="I2752" s="4">
        <f>CHOOSE(H2752+1,"Kein Risiko","Gering","Mittel","Hoch")</f>
        <v/>
      </c>
    </row>
    <row r="2753">
      <c r="A2753" s="4" t="n">
        <v>2749</v>
      </c>
      <c r="B2753" s="4" t="inlineStr">
        <is>
          <t>garage</t>
        </is>
      </c>
      <c r="C2753" s="4" t="inlineStr"/>
      <c r="D2753" s="4" t="inlineStr"/>
      <c r="E2753" s="13" t="n">
        <v>12.2</v>
      </c>
      <c r="F2753" s="12" t="n">
        <v>0</v>
      </c>
      <c r="G2753" s="4" t="n">
        <v>0</v>
      </c>
      <c r="H2753" s="4">
        <f>IF(OR(N(F2753)&gt;=0.5,G2753&gt;=4),3,IF(OR(N(F2753)&gt;=0.3,G2753=3),2,IF(OR(N(F2753)&gt;=0.1,G2753&gt;=1),1,0)))</f>
        <v/>
      </c>
      <c r="I2753" s="4">
        <f>CHOOSE(H2753+1,"Kein Risiko","Gering","Mittel","Hoch")</f>
        <v/>
      </c>
    </row>
    <row r="2754">
      <c r="A2754" s="4" t="n">
        <v>2750</v>
      </c>
      <c r="B2754" s="4" t="inlineStr">
        <is>
          <t>garage</t>
        </is>
      </c>
      <c r="C2754" s="4" t="inlineStr"/>
      <c r="D2754" s="4" t="inlineStr"/>
      <c r="E2754" s="13" t="n">
        <v>27.8</v>
      </c>
      <c r="F2754" s="12" t="n">
        <v>0</v>
      </c>
      <c r="G2754" s="4" t="n">
        <v>0</v>
      </c>
      <c r="H2754" s="4">
        <f>IF(OR(N(F2754)&gt;=0.5,G2754&gt;=4),3,IF(OR(N(F2754)&gt;=0.3,G2754=3),2,IF(OR(N(F2754)&gt;=0.1,G2754&gt;=1),1,0)))</f>
        <v/>
      </c>
      <c r="I2754" s="4">
        <f>CHOOSE(H2754+1,"Kein Risiko","Gering","Mittel","Hoch")</f>
        <v/>
      </c>
    </row>
    <row r="2755">
      <c r="A2755" s="4" t="n">
        <v>2751</v>
      </c>
      <c r="B2755" s="4" t="inlineStr">
        <is>
          <t>garage</t>
        </is>
      </c>
      <c r="C2755" s="4" t="inlineStr"/>
      <c r="D2755" s="4" t="inlineStr"/>
      <c r="E2755" s="13" t="n">
        <v>17.3</v>
      </c>
      <c r="F2755" s="12" t="n"/>
      <c r="G2755" s="4" t="n">
        <v>0</v>
      </c>
      <c r="H2755" s="4">
        <f>IF(OR(N(F2755)&gt;=0.5,G2755&gt;=4),3,IF(OR(N(F2755)&gt;=0.3,G2755=3),2,IF(OR(N(F2755)&gt;=0.1,G2755&gt;=1),1,0)))</f>
        <v/>
      </c>
      <c r="I2755" s="4">
        <f>CHOOSE(H2755+1,"Kein Risiko","Gering","Mittel","Hoch")</f>
        <v/>
      </c>
    </row>
    <row r="2756">
      <c r="A2756" s="4" t="n">
        <v>2752</v>
      </c>
      <c r="B2756" s="4" t="inlineStr">
        <is>
          <t>garage</t>
        </is>
      </c>
      <c r="C2756" s="4" t="inlineStr"/>
      <c r="D2756" s="4" t="inlineStr"/>
      <c r="E2756" s="13" t="n">
        <v>16.2</v>
      </c>
      <c r="F2756" s="12" t="n"/>
      <c r="G2756" s="4" t="n">
        <v>0</v>
      </c>
      <c r="H2756" s="4">
        <f>IF(OR(N(F2756)&gt;=0.5,G2756&gt;=4),3,IF(OR(N(F2756)&gt;=0.3,G2756=3),2,IF(OR(N(F2756)&gt;=0.1,G2756&gt;=1),1,0)))</f>
        <v/>
      </c>
      <c r="I2756" s="4">
        <f>CHOOSE(H2756+1,"Kein Risiko","Gering","Mittel","Hoch")</f>
        <v/>
      </c>
    </row>
    <row r="2757">
      <c r="A2757" s="4" t="n">
        <v>2753</v>
      </c>
      <c r="B2757" s="4" t="inlineStr">
        <is>
          <t>garage</t>
        </is>
      </c>
      <c r="C2757" s="4" t="inlineStr"/>
      <c r="D2757" s="4" t="inlineStr"/>
      <c r="E2757" s="13" t="n">
        <v>18.1</v>
      </c>
      <c r="F2757" s="12" t="n">
        <v>0</v>
      </c>
      <c r="G2757" s="4" t="n">
        <v>0</v>
      </c>
      <c r="H2757" s="4">
        <f>IF(OR(N(F2757)&gt;=0.5,G2757&gt;=4),3,IF(OR(N(F2757)&gt;=0.3,G2757=3),2,IF(OR(N(F2757)&gt;=0.1,G2757&gt;=1),1,0)))</f>
        <v/>
      </c>
      <c r="I2757" s="4">
        <f>CHOOSE(H2757+1,"Kein Risiko","Gering","Mittel","Hoch")</f>
        <v/>
      </c>
    </row>
    <row r="2758">
      <c r="A2758" s="4" t="n">
        <v>2754</v>
      </c>
      <c r="B2758" s="4" t="inlineStr">
        <is>
          <t>semidetached_house</t>
        </is>
      </c>
      <c r="C2758" s="4" t="inlineStr">
        <is>
          <t>Schliepersberg</t>
        </is>
      </c>
      <c r="D2758" s="4" t="inlineStr">
        <is>
          <t>6a</t>
        </is>
      </c>
      <c r="E2758" s="13" t="n">
        <v>88.3</v>
      </c>
      <c r="F2758" s="12" t="n">
        <v>0</v>
      </c>
      <c r="G2758" s="4" t="n">
        <v>0</v>
      </c>
      <c r="H2758" s="4">
        <f>IF(OR(N(F2758)&gt;=0.5,G2758&gt;=4),3,IF(OR(N(F2758)&gt;=0.3,G2758=3),2,IF(OR(N(F2758)&gt;=0.1,G2758&gt;=1),1,0)))</f>
        <v/>
      </c>
      <c r="I2758" s="4">
        <f>CHOOSE(H2758+1,"Kein Risiko","Gering","Mittel","Hoch")</f>
        <v/>
      </c>
    </row>
    <row r="2759">
      <c r="A2759" s="4" t="n">
        <v>2755</v>
      </c>
      <c r="B2759" s="4" t="inlineStr">
        <is>
          <t>garage</t>
        </is>
      </c>
      <c r="C2759" s="4" t="inlineStr"/>
      <c r="D2759" s="4" t="inlineStr"/>
      <c r="E2759" s="13" t="n">
        <v>16.1</v>
      </c>
      <c r="F2759" s="12" t="n">
        <v>0</v>
      </c>
      <c r="G2759" s="4" t="n">
        <v>0</v>
      </c>
      <c r="H2759" s="4">
        <f>IF(OR(N(F2759)&gt;=0.5,G2759&gt;=4),3,IF(OR(N(F2759)&gt;=0.3,G2759=3),2,IF(OR(N(F2759)&gt;=0.1,G2759&gt;=1),1,0)))</f>
        <v/>
      </c>
      <c r="I2759" s="4">
        <f>CHOOSE(H2759+1,"Kein Risiko","Gering","Mittel","Hoch")</f>
        <v/>
      </c>
    </row>
    <row r="2760">
      <c r="A2760" s="4" t="n">
        <v>2756</v>
      </c>
      <c r="B2760" s="4" t="inlineStr">
        <is>
          <t>garage</t>
        </is>
      </c>
      <c r="C2760" s="4" t="inlineStr"/>
      <c r="D2760" s="4" t="inlineStr"/>
      <c r="E2760" s="13" t="n">
        <v>20.3</v>
      </c>
      <c r="F2760" s="12" t="n">
        <v>0</v>
      </c>
      <c r="G2760" s="4" t="n">
        <v>0</v>
      </c>
      <c r="H2760" s="4">
        <f>IF(OR(N(F2760)&gt;=0.5,G2760&gt;=4),3,IF(OR(N(F2760)&gt;=0.3,G2760=3),2,IF(OR(N(F2760)&gt;=0.1,G2760&gt;=1),1,0)))</f>
        <v/>
      </c>
      <c r="I2760" s="4">
        <f>CHOOSE(H2760+1,"Kein Risiko","Gering","Mittel","Hoch")</f>
        <v/>
      </c>
    </row>
    <row r="2761">
      <c r="A2761" s="4" t="n">
        <v>2757</v>
      </c>
      <c r="B2761" s="4" t="inlineStr">
        <is>
          <t>yes</t>
        </is>
      </c>
      <c r="C2761" s="4" t="inlineStr"/>
      <c r="D2761" s="4" t="inlineStr"/>
      <c r="E2761" s="13" t="n">
        <v>5.8</v>
      </c>
      <c r="F2761" s="12" t="n">
        <v>0</v>
      </c>
      <c r="G2761" s="4" t="n">
        <v>0</v>
      </c>
      <c r="H2761" s="4">
        <f>IF(OR(N(F2761)&gt;=0.5,G2761&gt;=4),3,IF(OR(N(F2761)&gt;=0.3,G2761=3),2,IF(OR(N(F2761)&gt;=0.1,G2761&gt;=1),1,0)))</f>
        <v/>
      </c>
      <c r="I2761" s="4">
        <f>CHOOSE(H2761+1,"Kein Risiko","Gering","Mittel","Hoch")</f>
        <v/>
      </c>
    </row>
    <row r="2762">
      <c r="A2762" s="4" t="n">
        <v>2758</v>
      </c>
      <c r="B2762" s="4" t="inlineStr">
        <is>
          <t>garage</t>
        </is>
      </c>
      <c r="C2762" s="4" t="inlineStr"/>
      <c r="D2762" s="4" t="inlineStr"/>
      <c r="E2762" s="13" t="n">
        <v>44</v>
      </c>
      <c r="F2762" s="12" t="n">
        <v>0</v>
      </c>
      <c r="G2762" s="4" t="n">
        <v>0</v>
      </c>
      <c r="H2762" s="4">
        <f>IF(OR(N(F2762)&gt;=0.5,G2762&gt;=4),3,IF(OR(N(F2762)&gt;=0.3,G2762=3),2,IF(OR(N(F2762)&gt;=0.1,G2762&gt;=1),1,0)))</f>
        <v/>
      </c>
      <c r="I2762" s="4">
        <f>CHOOSE(H2762+1,"Kein Risiko","Gering","Mittel","Hoch")</f>
        <v/>
      </c>
    </row>
    <row r="2763">
      <c r="A2763" s="4" t="n">
        <v>2759</v>
      </c>
      <c r="B2763" s="4" t="inlineStr">
        <is>
          <t>garage</t>
        </is>
      </c>
      <c r="C2763" s="4" t="inlineStr"/>
      <c r="D2763" s="4" t="inlineStr"/>
      <c r="E2763" s="13" t="n">
        <v>42.8</v>
      </c>
      <c r="F2763" s="12" t="n">
        <v>0</v>
      </c>
      <c r="G2763" s="4" t="n">
        <v>0</v>
      </c>
      <c r="H2763" s="4">
        <f>IF(OR(N(F2763)&gt;=0.5,G2763&gt;=4),3,IF(OR(N(F2763)&gt;=0.3,G2763=3),2,IF(OR(N(F2763)&gt;=0.1,G2763&gt;=1),1,0)))</f>
        <v/>
      </c>
      <c r="I2763" s="4">
        <f>CHOOSE(H2763+1,"Kein Risiko","Gering","Mittel","Hoch")</f>
        <v/>
      </c>
    </row>
    <row r="2764">
      <c r="A2764" s="4" t="n">
        <v>2760</v>
      </c>
      <c r="B2764" s="4" t="inlineStr">
        <is>
          <t>garage</t>
        </is>
      </c>
      <c r="C2764" s="4" t="inlineStr"/>
      <c r="D2764" s="4" t="inlineStr"/>
      <c r="E2764" s="13" t="n">
        <v>35.4</v>
      </c>
      <c r="F2764" s="12" t="n">
        <v>0.01000213623046875</v>
      </c>
      <c r="G2764" s="4" t="n">
        <v>0</v>
      </c>
      <c r="H2764" s="4">
        <f>IF(OR(N(F2764)&gt;=0.5,G2764&gt;=4),3,IF(OR(N(F2764)&gt;=0.3,G2764=3),2,IF(OR(N(F2764)&gt;=0.1,G2764&gt;=1),1,0)))</f>
        <v/>
      </c>
      <c r="I2764" s="4">
        <f>CHOOSE(H2764+1,"Kein Risiko","Gering","Mittel","Hoch")</f>
        <v/>
      </c>
    </row>
    <row r="2765">
      <c r="A2765" s="4" t="n">
        <v>2761</v>
      </c>
      <c r="B2765" s="4" t="inlineStr">
        <is>
          <t>garage</t>
        </is>
      </c>
      <c r="C2765" s="4" t="inlineStr"/>
      <c r="D2765" s="4" t="inlineStr"/>
      <c r="E2765" s="13" t="n">
        <v>35.5</v>
      </c>
      <c r="F2765" s="12" t="n">
        <v>0</v>
      </c>
      <c r="G2765" s="4" t="n">
        <v>0</v>
      </c>
      <c r="H2765" s="4">
        <f>IF(OR(N(F2765)&gt;=0.5,G2765&gt;=4),3,IF(OR(N(F2765)&gt;=0.3,G2765=3),2,IF(OR(N(F2765)&gt;=0.1,G2765&gt;=1),1,0)))</f>
        <v/>
      </c>
      <c r="I2765" s="4">
        <f>CHOOSE(H2765+1,"Kein Risiko","Gering","Mittel","Hoch")</f>
        <v/>
      </c>
    </row>
    <row r="2766">
      <c r="A2766" s="4" t="n">
        <v>2762</v>
      </c>
      <c r="B2766" s="4" t="inlineStr">
        <is>
          <t>garage</t>
        </is>
      </c>
      <c r="C2766" s="4" t="inlineStr"/>
      <c r="D2766" s="4" t="inlineStr"/>
      <c r="E2766" s="13" t="n">
        <v>35.2</v>
      </c>
      <c r="F2766" s="12" t="n">
        <v>0.009998321533203125</v>
      </c>
      <c r="G2766" s="4" t="n">
        <v>0</v>
      </c>
      <c r="H2766" s="4">
        <f>IF(OR(N(F2766)&gt;=0.5,G2766&gt;=4),3,IF(OR(N(F2766)&gt;=0.3,G2766=3),2,IF(OR(N(F2766)&gt;=0.1,G2766&gt;=1),1,0)))</f>
        <v/>
      </c>
      <c r="I2766" s="4">
        <f>CHOOSE(H2766+1,"Kein Risiko","Gering","Mittel","Hoch")</f>
        <v/>
      </c>
    </row>
    <row r="2767">
      <c r="A2767" s="4" t="n">
        <v>2763</v>
      </c>
      <c r="B2767" s="4" t="inlineStr">
        <is>
          <t>garage</t>
        </is>
      </c>
      <c r="C2767" s="4" t="inlineStr"/>
      <c r="D2767" s="4" t="inlineStr"/>
      <c r="E2767" s="13" t="n">
        <v>35.8</v>
      </c>
      <c r="F2767" s="12" t="n">
        <v>0</v>
      </c>
      <c r="G2767" s="4" t="n">
        <v>0</v>
      </c>
      <c r="H2767" s="4">
        <f>IF(OR(N(F2767)&gt;=0.5,G2767&gt;=4),3,IF(OR(N(F2767)&gt;=0.3,G2767=3),2,IF(OR(N(F2767)&gt;=0.1,G2767&gt;=1),1,0)))</f>
        <v/>
      </c>
      <c r="I2767" s="4">
        <f>CHOOSE(H2767+1,"Kein Risiko","Gering","Mittel","Hoch")</f>
        <v/>
      </c>
    </row>
    <row r="2768">
      <c r="A2768" s="4" t="n">
        <v>2764</v>
      </c>
      <c r="B2768" s="4" t="inlineStr">
        <is>
          <t>garage</t>
        </is>
      </c>
      <c r="C2768" s="4" t="inlineStr"/>
      <c r="D2768" s="4" t="inlineStr"/>
      <c r="E2768" s="13" t="n">
        <v>36.1</v>
      </c>
      <c r="F2768" s="12" t="n">
        <v>0</v>
      </c>
      <c r="G2768" s="4" t="n">
        <v>0</v>
      </c>
      <c r="H2768" s="4">
        <f>IF(OR(N(F2768)&gt;=0.5,G2768&gt;=4),3,IF(OR(N(F2768)&gt;=0.3,G2768=3),2,IF(OR(N(F2768)&gt;=0.1,G2768&gt;=1),1,0)))</f>
        <v/>
      </c>
      <c r="I2768" s="4">
        <f>CHOOSE(H2768+1,"Kein Risiko","Gering","Mittel","Hoch")</f>
        <v/>
      </c>
    </row>
    <row r="2769">
      <c r="A2769" s="4" t="n">
        <v>2765</v>
      </c>
      <c r="B2769" s="4" t="inlineStr">
        <is>
          <t>garage</t>
        </is>
      </c>
      <c r="C2769" s="4" t="inlineStr"/>
      <c r="D2769" s="4" t="inlineStr"/>
      <c r="E2769" s="13" t="n">
        <v>41.3</v>
      </c>
      <c r="F2769" s="12" t="n">
        <v>0.02000045776367188</v>
      </c>
      <c r="G2769" s="4" t="n">
        <v>0</v>
      </c>
      <c r="H2769" s="4">
        <f>IF(OR(N(F2769)&gt;=0.5,G2769&gt;=4),3,IF(OR(N(F2769)&gt;=0.3,G2769=3),2,IF(OR(N(F2769)&gt;=0.1,G2769&gt;=1),1,0)))</f>
        <v/>
      </c>
      <c r="I2769" s="4">
        <f>CHOOSE(H2769+1,"Kein Risiko","Gering","Mittel","Hoch")</f>
        <v/>
      </c>
    </row>
    <row r="2770">
      <c r="A2770" s="4" t="n">
        <v>2766</v>
      </c>
      <c r="B2770" s="4" t="inlineStr">
        <is>
          <t>garage</t>
        </is>
      </c>
      <c r="C2770" s="4" t="inlineStr"/>
      <c r="D2770" s="4" t="inlineStr"/>
      <c r="E2770" s="13" t="n">
        <v>102.7</v>
      </c>
      <c r="F2770" s="12" t="n">
        <v>0.04000091552734375</v>
      </c>
      <c r="G2770" s="4" t="n">
        <v>2</v>
      </c>
      <c r="H2770" s="4">
        <f>IF(OR(N(F2770)&gt;=0.5,G2770&gt;=4),3,IF(OR(N(F2770)&gt;=0.3,G2770=3),2,IF(OR(N(F2770)&gt;=0.1,G2770&gt;=1),1,0)))</f>
        <v/>
      </c>
      <c r="I2770" s="4">
        <f>CHOOSE(H2770+1,"Kein Risiko","Gering","Mittel","Hoch")</f>
        <v/>
      </c>
    </row>
    <row r="2771">
      <c r="A2771" s="4" t="n">
        <v>2767</v>
      </c>
      <c r="B2771" s="4" t="inlineStr">
        <is>
          <t>shed</t>
        </is>
      </c>
      <c r="C2771" s="4" t="inlineStr"/>
      <c r="D2771" s="4" t="inlineStr"/>
      <c r="E2771" s="13" t="n">
        <v>97.2</v>
      </c>
      <c r="F2771" s="12" t="n">
        <v>0</v>
      </c>
      <c r="G2771" s="4" t="n">
        <v>0</v>
      </c>
      <c r="H2771" s="4">
        <f>IF(OR(N(F2771)&gt;=0.5,G2771&gt;=4),3,IF(OR(N(F2771)&gt;=0.3,G2771=3),2,IF(OR(N(F2771)&gt;=0.1,G2771&gt;=1),1,0)))</f>
        <v/>
      </c>
      <c r="I2771" s="4">
        <f>CHOOSE(H2771+1,"Kein Risiko","Gering","Mittel","Hoch")</f>
        <v/>
      </c>
    </row>
    <row r="2772">
      <c r="A2772" s="4" t="n">
        <v>2768</v>
      </c>
      <c r="B2772" s="4" t="inlineStr">
        <is>
          <t>shed</t>
        </is>
      </c>
      <c r="C2772" s="4" t="inlineStr"/>
      <c r="D2772" s="4" t="inlineStr"/>
      <c r="E2772" s="13" t="n">
        <v>25.3</v>
      </c>
      <c r="F2772" s="12" t="n">
        <v>0</v>
      </c>
      <c r="G2772" s="4" t="n">
        <v>0</v>
      </c>
      <c r="H2772" s="4">
        <f>IF(OR(N(F2772)&gt;=0.5,G2772&gt;=4),3,IF(OR(N(F2772)&gt;=0.3,G2772=3),2,IF(OR(N(F2772)&gt;=0.1,G2772&gt;=1),1,0)))</f>
        <v/>
      </c>
      <c r="I2772" s="4">
        <f>CHOOSE(H2772+1,"Kein Risiko","Gering","Mittel","Hoch")</f>
        <v/>
      </c>
    </row>
    <row r="2773">
      <c r="A2773" s="4" t="n">
        <v>2769</v>
      </c>
      <c r="B2773" s="4" t="inlineStr">
        <is>
          <t>shed</t>
        </is>
      </c>
      <c r="C2773" s="4" t="inlineStr"/>
      <c r="D2773" s="4" t="inlineStr"/>
      <c r="E2773" s="13" t="n">
        <v>93.59999999999999</v>
      </c>
      <c r="F2773" s="12" t="n">
        <v>0</v>
      </c>
      <c r="G2773" s="4" t="n">
        <v>0</v>
      </c>
      <c r="H2773" s="4">
        <f>IF(OR(N(F2773)&gt;=0.5,G2773&gt;=4),3,IF(OR(N(F2773)&gt;=0.3,G2773=3),2,IF(OR(N(F2773)&gt;=0.1,G2773&gt;=1),1,0)))</f>
        <v/>
      </c>
      <c r="I2773" s="4">
        <f>CHOOSE(H2773+1,"Kein Risiko","Gering","Mittel","Hoch")</f>
        <v/>
      </c>
    </row>
    <row r="2774">
      <c r="A2774" s="4" t="n">
        <v>2770</v>
      </c>
      <c r="B2774" s="4" t="inlineStr">
        <is>
          <t>construction</t>
        </is>
      </c>
      <c r="C2774" s="4" t="inlineStr"/>
      <c r="D2774" s="4" t="inlineStr"/>
      <c r="E2774" s="13" t="n">
        <v>90.8</v>
      </c>
      <c r="F2774" s="12" t="n">
        <v>0.04000091552734375</v>
      </c>
      <c r="G2774" s="4" t="n">
        <v>5</v>
      </c>
      <c r="H2774" s="4">
        <f>IF(OR(N(F2774)&gt;=0.5,G2774&gt;=4),3,IF(OR(N(F2774)&gt;=0.3,G2774=3),2,IF(OR(N(F2774)&gt;=0.1,G2774&gt;=1),1,0)))</f>
        <v/>
      </c>
      <c r="I2774" s="4">
        <f>CHOOSE(H2774+1,"Kein Risiko","Gering","Mittel","Hoch")</f>
        <v/>
      </c>
    </row>
    <row r="2775">
      <c r="A2775" s="4" t="n">
        <v>2771</v>
      </c>
      <c r="B2775" s="4" t="inlineStr">
        <is>
          <t>kindergarten</t>
        </is>
      </c>
      <c r="C2775" s="4" t="inlineStr"/>
      <c r="D2775" s="4" t="inlineStr"/>
      <c r="E2775" s="13" t="n">
        <v>641.2</v>
      </c>
      <c r="F2775" s="12" t="n">
        <v>0.04999542236328125</v>
      </c>
      <c r="G2775" s="4" t="n">
        <v>0</v>
      </c>
      <c r="H2775" s="4">
        <f>IF(OR(N(F2775)&gt;=0.5,G2775&gt;=4),3,IF(OR(N(F2775)&gt;=0.3,G2775=3),2,IF(OR(N(F2775)&gt;=0.1,G2775&gt;=1),1,0)))</f>
        <v/>
      </c>
      <c r="I2775" s="4">
        <f>CHOOSE(H2775+1,"Kein Risiko","Gering","Mittel","Hoch")</f>
        <v/>
      </c>
    </row>
    <row r="2776">
      <c r="A2776" s="4" t="n">
        <v>2772</v>
      </c>
      <c r="B2776" s="4" t="inlineStr">
        <is>
          <t>garages</t>
        </is>
      </c>
      <c r="C2776" s="4" t="inlineStr"/>
      <c r="D2776" s="4" t="inlineStr"/>
      <c r="E2776" s="13" t="n">
        <v>94.2</v>
      </c>
      <c r="F2776" s="12" t="n">
        <v>1.619998931884766</v>
      </c>
      <c r="G2776" s="4" t="n">
        <v>0</v>
      </c>
      <c r="H2776" s="4">
        <f>IF(OR(N(F2776)&gt;=0.5,G2776&gt;=4),3,IF(OR(N(F2776)&gt;=0.3,G2776=3),2,IF(OR(N(F2776)&gt;=0.1,G2776&gt;=1),1,0)))</f>
        <v/>
      </c>
      <c r="I2776" s="4">
        <f>CHOOSE(H2776+1,"Kein Risiko","Gering","Mittel","Hoch")</f>
        <v/>
      </c>
    </row>
    <row r="2777">
      <c r="A2777" s="4" t="n">
        <v>2773</v>
      </c>
      <c r="B2777" s="4" t="inlineStr">
        <is>
          <t>hut</t>
        </is>
      </c>
      <c r="C2777" s="4" t="inlineStr"/>
      <c r="D2777" s="4" t="inlineStr"/>
      <c r="E2777" s="13" t="n">
        <v>14.2</v>
      </c>
      <c r="F2777" s="12" t="n">
        <v>1.379997253417969</v>
      </c>
      <c r="G2777" s="4" t="n">
        <v>0</v>
      </c>
      <c r="H2777" s="4">
        <f>IF(OR(N(F2777)&gt;=0.5,G2777&gt;=4),3,IF(OR(N(F2777)&gt;=0.3,G2777=3),2,IF(OR(N(F2777)&gt;=0.1,G2777&gt;=1),1,0)))</f>
        <v/>
      </c>
      <c r="I2777" s="4">
        <f>CHOOSE(H2777+1,"Kein Risiko","Gering","Mittel","Hoch")</f>
        <v/>
      </c>
    </row>
    <row r="2778">
      <c r="A2778" s="4" t="n">
        <v>2774</v>
      </c>
      <c r="B2778" s="4" t="inlineStr">
        <is>
          <t>garages</t>
        </is>
      </c>
      <c r="C2778" s="4" t="inlineStr"/>
      <c r="D2778" s="4" t="inlineStr"/>
      <c r="E2778" s="13" t="n">
        <v>48.5</v>
      </c>
      <c r="F2778" s="12" t="n">
        <v>1.489997863769531</v>
      </c>
      <c r="G2778" s="4" t="n">
        <v>5</v>
      </c>
      <c r="H2778" s="4">
        <f>IF(OR(N(F2778)&gt;=0.5,G2778&gt;=4),3,IF(OR(N(F2778)&gt;=0.3,G2778=3),2,IF(OR(N(F2778)&gt;=0.1,G2778&gt;=1),1,0)))</f>
        <v/>
      </c>
      <c r="I2778" s="4">
        <f>CHOOSE(H2778+1,"Kein Risiko","Gering","Mittel","Hoch")</f>
        <v/>
      </c>
    </row>
    <row r="2779">
      <c r="A2779" s="4" t="n">
        <v>2775</v>
      </c>
      <c r="B2779" s="4" t="inlineStr">
        <is>
          <t>garages</t>
        </is>
      </c>
      <c r="C2779" s="4" t="inlineStr"/>
      <c r="D2779" s="4" t="inlineStr"/>
      <c r="E2779" s="13" t="n">
        <v>45.9</v>
      </c>
      <c r="F2779" s="12" t="n">
        <v>1.349998474121094</v>
      </c>
      <c r="G2779" s="4" t="n">
        <v>5</v>
      </c>
      <c r="H2779" s="4">
        <f>IF(OR(N(F2779)&gt;=0.5,G2779&gt;=4),3,IF(OR(N(F2779)&gt;=0.3,G2779=3),2,IF(OR(N(F2779)&gt;=0.1,G2779&gt;=1),1,0)))</f>
        <v/>
      </c>
      <c r="I2779" s="4">
        <f>CHOOSE(H2779+1,"Kein Risiko","Gering","Mittel","Hoch")</f>
        <v/>
      </c>
    </row>
    <row r="2780">
      <c r="A2780" s="4" t="n">
        <v>2776</v>
      </c>
      <c r="B2780" s="4" t="inlineStr">
        <is>
          <t>shed</t>
        </is>
      </c>
      <c r="C2780" s="4" t="inlineStr"/>
      <c r="D2780" s="4" t="inlineStr"/>
      <c r="E2780" s="13" t="n">
        <v>37.1</v>
      </c>
      <c r="F2780" s="12" t="n">
        <v>0.03999710083007812</v>
      </c>
      <c r="G2780" s="4" t="n">
        <v>0</v>
      </c>
      <c r="H2780" s="4">
        <f>IF(OR(N(F2780)&gt;=0.5,G2780&gt;=4),3,IF(OR(N(F2780)&gt;=0.3,G2780=3),2,IF(OR(N(F2780)&gt;=0.1,G2780&gt;=1),1,0)))</f>
        <v/>
      </c>
      <c r="I2780" s="4">
        <f>CHOOSE(H2780+1,"Kein Risiko","Gering","Mittel","Hoch")</f>
        <v/>
      </c>
    </row>
    <row r="2781">
      <c r="A2781" s="4" t="n">
        <v>2777</v>
      </c>
      <c r="B2781" s="4" t="inlineStr">
        <is>
          <t>shed</t>
        </is>
      </c>
      <c r="C2781" s="4" t="inlineStr"/>
      <c r="D2781" s="4" t="inlineStr"/>
      <c r="E2781" s="13" t="n">
        <v>44.7</v>
      </c>
      <c r="F2781" s="12" t="n">
        <v>0.009998321533203125</v>
      </c>
      <c r="G2781" s="4" t="n">
        <v>0</v>
      </c>
      <c r="H2781" s="4">
        <f>IF(OR(N(F2781)&gt;=0.5,G2781&gt;=4),3,IF(OR(N(F2781)&gt;=0.3,G2781=3),2,IF(OR(N(F2781)&gt;=0.1,G2781&gt;=1),1,0)))</f>
        <v/>
      </c>
      <c r="I2781" s="4">
        <f>CHOOSE(H2781+1,"Kein Risiko","Gering","Mittel","Hoch")</f>
        <v/>
      </c>
    </row>
    <row r="2782">
      <c r="A2782" s="4" t="n">
        <v>2778</v>
      </c>
      <c r="B2782" s="4" t="inlineStr">
        <is>
          <t>garages</t>
        </is>
      </c>
      <c r="C2782" s="4" t="inlineStr"/>
      <c r="D2782" s="4" t="inlineStr"/>
      <c r="E2782" s="13" t="n">
        <v>264.2</v>
      </c>
      <c r="F2782" s="12" t="n">
        <v>0</v>
      </c>
      <c r="G2782" s="4" t="n">
        <v>2</v>
      </c>
      <c r="H2782" s="4">
        <f>IF(OR(N(F2782)&gt;=0.5,G2782&gt;=4),3,IF(OR(N(F2782)&gt;=0.3,G2782=3),2,IF(OR(N(F2782)&gt;=0.1,G2782&gt;=1),1,0)))</f>
        <v/>
      </c>
      <c r="I2782" s="4">
        <f>CHOOSE(H2782+1,"Kein Risiko","Gering","Mittel","Hoch")</f>
        <v/>
      </c>
    </row>
    <row r="2783">
      <c r="A2783" s="4" t="n">
        <v>2779</v>
      </c>
      <c r="B2783" s="4" t="inlineStr">
        <is>
          <t>residential</t>
        </is>
      </c>
      <c r="C2783" s="4" t="inlineStr"/>
      <c r="D2783" s="4" t="inlineStr"/>
      <c r="E2783" s="13" t="n">
        <v>33.9</v>
      </c>
      <c r="F2783" s="12" t="n">
        <v>0</v>
      </c>
      <c r="G2783" s="4" t="n">
        <v>0</v>
      </c>
      <c r="H2783" s="4">
        <f>IF(OR(N(F2783)&gt;=0.5,G2783&gt;=4),3,IF(OR(N(F2783)&gt;=0.3,G2783=3),2,IF(OR(N(F2783)&gt;=0.1,G2783&gt;=1),1,0)))</f>
        <v/>
      </c>
      <c r="I2783" s="4">
        <f>CHOOSE(H2783+1,"Kein Risiko","Gering","Mittel","Hoch")</f>
        <v/>
      </c>
    </row>
    <row r="2784">
      <c r="A2784" s="4" t="n">
        <v>2780</v>
      </c>
      <c r="B2784" s="4" t="inlineStr">
        <is>
          <t>yes</t>
        </is>
      </c>
      <c r="C2784" s="4" t="inlineStr">
        <is>
          <t>Breddebuschhang</t>
        </is>
      </c>
      <c r="D2784" s="4" t="inlineStr">
        <is>
          <t>10</t>
        </is>
      </c>
      <c r="E2784" s="13" t="n">
        <v>254.6</v>
      </c>
      <c r="F2784" s="12" t="n">
        <v>0</v>
      </c>
      <c r="G2784" s="4" t="n">
        <v>0</v>
      </c>
      <c r="H2784" s="4">
        <f>IF(OR(N(F2784)&gt;=0.5,G2784&gt;=4),3,IF(OR(N(F2784)&gt;=0.3,G2784=3),2,IF(OR(N(F2784)&gt;=0.1,G2784&gt;=1),1,0)))</f>
        <v/>
      </c>
      <c r="I2784" s="4">
        <f>CHOOSE(H2784+1,"Kein Risiko","Gering","Mittel","Hoch")</f>
        <v/>
      </c>
    </row>
    <row r="2785">
      <c r="A2785" s="4" t="n">
        <v>2781</v>
      </c>
      <c r="B2785" s="4" t="inlineStr">
        <is>
          <t>garages</t>
        </is>
      </c>
      <c r="C2785" s="4" t="inlineStr"/>
      <c r="D2785" s="4" t="inlineStr"/>
      <c r="E2785" s="13" t="n">
        <v>61.7</v>
      </c>
      <c r="F2785" s="12" t="n">
        <v>0</v>
      </c>
      <c r="G2785" s="4" t="n">
        <v>1</v>
      </c>
      <c r="H2785" s="4">
        <f>IF(OR(N(F2785)&gt;=0.5,G2785&gt;=4),3,IF(OR(N(F2785)&gt;=0.3,G2785=3),2,IF(OR(N(F2785)&gt;=0.1,G2785&gt;=1),1,0)))</f>
        <v/>
      </c>
      <c r="I2785" s="4">
        <f>CHOOSE(H2785+1,"Kein Risiko","Gering","Mittel","Hoch")</f>
        <v/>
      </c>
    </row>
    <row r="2786">
      <c r="A2786" s="4" t="n">
        <v>2782</v>
      </c>
      <c r="B2786" s="4" t="inlineStr">
        <is>
          <t>roof</t>
        </is>
      </c>
      <c r="C2786" s="4" t="inlineStr"/>
      <c r="D2786" s="4" t="inlineStr"/>
      <c r="E2786" s="13" t="n">
        <v>58.2</v>
      </c>
      <c r="F2786" s="12" t="n">
        <v>0</v>
      </c>
      <c r="G2786" s="4" t="n">
        <v>0</v>
      </c>
      <c r="H2786" s="4">
        <f>IF(OR(N(F2786)&gt;=0.5,G2786&gt;=4),3,IF(OR(N(F2786)&gt;=0.3,G2786=3),2,IF(OR(N(F2786)&gt;=0.1,G2786&gt;=1),1,0)))</f>
        <v/>
      </c>
      <c r="I2786" s="4">
        <f>CHOOSE(H2786+1,"Kein Risiko","Gering","Mittel","Hoch")</f>
        <v/>
      </c>
    </row>
    <row r="2787">
      <c r="A2787" s="4" t="n">
        <v>2783</v>
      </c>
      <c r="B2787" s="4" t="inlineStr">
        <is>
          <t>garages</t>
        </is>
      </c>
      <c r="C2787" s="4" t="inlineStr"/>
      <c r="D2787" s="4" t="inlineStr"/>
      <c r="E2787" s="13" t="n">
        <v>55.1</v>
      </c>
      <c r="F2787" s="12" t="n">
        <v>0</v>
      </c>
      <c r="G2787" s="4" t="n">
        <v>0</v>
      </c>
      <c r="H2787" s="4">
        <f>IF(OR(N(F2787)&gt;=0.5,G2787&gt;=4),3,IF(OR(N(F2787)&gt;=0.3,G2787=3),2,IF(OR(N(F2787)&gt;=0.1,G2787&gt;=1),1,0)))</f>
        <v/>
      </c>
      <c r="I2787" s="4">
        <f>CHOOSE(H2787+1,"Kein Risiko","Gering","Mittel","Hoch")</f>
        <v/>
      </c>
    </row>
    <row r="2788">
      <c r="A2788" s="4" t="n">
        <v>2784</v>
      </c>
      <c r="B2788" s="4" t="inlineStr">
        <is>
          <t>farm_auxiliary</t>
        </is>
      </c>
      <c r="C2788" s="4" t="inlineStr"/>
      <c r="D2788" s="4" t="inlineStr"/>
      <c r="E2788" s="13" t="n">
        <v>51.9</v>
      </c>
      <c r="F2788" s="12" t="n">
        <v>0</v>
      </c>
      <c r="G2788" s="4" t="n">
        <v>0</v>
      </c>
      <c r="H2788" s="4">
        <f>IF(OR(N(F2788)&gt;=0.5,G2788&gt;=4),3,IF(OR(N(F2788)&gt;=0.3,G2788=3),2,IF(OR(N(F2788)&gt;=0.1,G2788&gt;=1),1,0)))</f>
        <v/>
      </c>
      <c r="I2788" s="4">
        <f>CHOOSE(H2788+1,"Kein Risiko","Gering","Mittel","Hoch")</f>
        <v/>
      </c>
    </row>
    <row r="2789">
      <c r="A2789" s="4" t="n">
        <v>2785</v>
      </c>
      <c r="B2789" s="4" t="inlineStr">
        <is>
          <t>yes</t>
        </is>
      </c>
      <c r="C2789" s="4" t="inlineStr"/>
      <c r="D2789" s="4" t="inlineStr"/>
      <c r="E2789" s="13" t="n">
        <v>82.5</v>
      </c>
      <c r="F2789" s="12" t="n">
        <v>0</v>
      </c>
      <c r="G2789" s="4" t="n">
        <v>0</v>
      </c>
      <c r="H2789" s="4">
        <f>IF(OR(N(F2789)&gt;=0.5,G2789&gt;=4),3,IF(OR(N(F2789)&gt;=0.3,G2789=3),2,IF(OR(N(F2789)&gt;=0.1,G2789&gt;=1),1,0)))</f>
        <v/>
      </c>
      <c r="I2789" s="4">
        <f>CHOOSE(H2789+1,"Kein Risiko","Gering","Mittel","Hoch")</f>
        <v/>
      </c>
    </row>
    <row r="2790">
      <c r="A2790" s="4" t="n">
        <v>2786</v>
      </c>
      <c r="B2790" s="4" t="inlineStr">
        <is>
          <t>chapel</t>
        </is>
      </c>
      <c r="C2790" s="4" t="inlineStr"/>
      <c r="D2790" s="4" t="inlineStr"/>
      <c r="E2790" s="13" t="n">
        <v>190.4</v>
      </c>
      <c r="F2790" s="12" t="n">
        <v>0.160003662109375</v>
      </c>
      <c r="G2790" s="4" t="n">
        <v>1</v>
      </c>
      <c r="H2790" s="4">
        <f>IF(OR(N(F2790)&gt;=0.5,G2790&gt;=4),3,IF(OR(N(F2790)&gt;=0.3,G2790=3),2,IF(OR(N(F2790)&gt;=0.1,G2790&gt;=1),1,0)))</f>
        <v/>
      </c>
      <c r="I2790" s="4">
        <f>CHOOSE(H2790+1,"Kein Risiko","Gering","Mittel","Hoch")</f>
        <v/>
      </c>
    </row>
    <row r="2791">
      <c r="A2791" s="4" t="n">
        <v>2787</v>
      </c>
      <c r="B2791" s="4" t="inlineStr">
        <is>
          <t>garage</t>
        </is>
      </c>
      <c r="C2791" s="4" t="inlineStr"/>
      <c r="D2791" s="4" t="inlineStr"/>
      <c r="E2791" s="13" t="n">
        <v>16.5</v>
      </c>
      <c r="F2791" s="12" t="n">
        <v>0</v>
      </c>
      <c r="G2791" s="4" t="n">
        <v>0</v>
      </c>
      <c r="H2791" s="4">
        <f>IF(OR(N(F2791)&gt;=0.5,G2791&gt;=4),3,IF(OR(N(F2791)&gt;=0.3,G2791=3),2,IF(OR(N(F2791)&gt;=0.1,G2791&gt;=1),1,0)))</f>
        <v/>
      </c>
      <c r="I2791" s="4">
        <f>CHOOSE(H2791+1,"Kein Risiko","Gering","Mittel","Hoch")</f>
        <v/>
      </c>
    </row>
    <row r="2792">
      <c r="A2792" s="4" t="n">
        <v>2788</v>
      </c>
      <c r="B2792" s="4" t="inlineStr">
        <is>
          <t>garage</t>
        </is>
      </c>
      <c r="C2792" s="4" t="inlineStr"/>
      <c r="D2792" s="4" t="inlineStr"/>
      <c r="E2792" s="13" t="n">
        <v>18.6</v>
      </c>
      <c r="F2792" s="12" t="n">
        <v>0</v>
      </c>
      <c r="G2792" s="4" t="n">
        <v>0</v>
      </c>
      <c r="H2792" s="4">
        <f>IF(OR(N(F2792)&gt;=0.5,G2792&gt;=4),3,IF(OR(N(F2792)&gt;=0.3,G2792=3),2,IF(OR(N(F2792)&gt;=0.1,G2792&gt;=1),1,0)))</f>
        <v/>
      </c>
      <c r="I2792" s="4">
        <f>CHOOSE(H2792+1,"Kein Risiko","Gering","Mittel","Hoch")</f>
        <v/>
      </c>
    </row>
    <row r="2793">
      <c r="A2793" s="4" t="n">
        <v>2789</v>
      </c>
      <c r="B2793" s="4" t="inlineStr">
        <is>
          <t>garage</t>
        </is>
      </c>
      <c r="C2793" s="4" t="inlineStr"/>
      <c r="D2793" s="4" t="inlineStr"/>
      <c r="E2793" s="13" t="n">
        <v>14.8</v>
      </c>
      <c r="F2793" s="12" t="n">
        <v>0</v>
      </c>
      <c r="G2793" s="4" t="n">
        <v>0</v>
      </c>
      <c r="H2793" s="4">
        <f>IF(OR(N(F2793)&gt;=0.5,G2793&gt;=4),3,IF(OR(N(F2793)&gt;=0.3,G2793=3),2,IF(OR(N(F2793)&gt;=0.1,G2793&gt;=1),1,0)))</f>
        <v/>
      </c>
      <c r="I2793" s="4">
        <f>CHOOSE(H2793+1,"Kein Risiko","Gering","Mittel","Hoch")</f>
        <v/>
      </c>
    </row>
    <row r="2794">
      <c r="A2794" s="4" t="n">
        <v>2790</v>
      </c>
      <c r="B2794" s="4" t="inlineStr">
        <is>
          <t>garage</t>
        </is>
      </c>
      <c r="C2794" s="4" t="inlineStr"/>
      <c r="D2794" s="4" t="inlineStr"/>
      <c r="E2794" s="13" t="n">
        <v>18.3</v>
      </c>
      <c r="F2794" s="12" t="n">
        <v>0</v>
      </c>
      <c r="G2794" s="4" t="n">
        <v>0</v>
      </c>
      <c r="H2794" s="4">
        <f>IF(OR(N(F2794)&gt;=0.5,G2794&gt;=4),3,IF(OR(N(F2794)&gt;=0.3,G2794=3),2,IF(OR(N(F2794)&gt;=0.1,G2794&gt;=1),1,0)))</f>
        <v/>
      </c>
      <c r="I2794" s="4">
        <f>CHOOSE(H2794+1,"Kein Risiko","Gering","Mittel","Hoch")</f>
        <v/>
      </c>
    </row>
    <row r="2795">
      <c r="A2795" s="4" t="n">
        <v>2791</v>
      </c>
      <c r="B2795" s="4" t="inlineStr">
        <is>
          <t>yes</t>
        </is>
      </c>
      <c r="C2795" s="4" t="inlineStr">
        <is>
          <t>An den Friedhöfen</t>
        </is>
      </c>
      <c r="D2795" s="4" t="inlineStr">
        <is>
          <t>18</t>
        </is>
      </c>
      <c r="E2795" s="13" t="n">
        <v>78.7</v>
      </c>
      <c r="F2795" s="12" t="n">
        <v>0</v>
      </c>
      <c r="G2795" s="4" t="n">
        <v>0</v>
      </c>
      <c r="H2795" s="4">
        <f>IF(OR(N(F2795)&gt;=0.5,G2795&gt;=4),3,IF(OR(N(F2795)&gt;=0.3,G2795=3),2,IF(OR(N(F2795)&gt;=0.1,G2795&gt;=1),1,0)))</f>
        <v/>
      </c>
      <c r="I2795" s="4">
        <f>CHOOSE(H2795+1,"Kein Risiko","Gering","Mittel","Hoch")</f>
        <v/>
      </c>
    </row>
    <row r="2796">
      <c r="A2796" s="4" t="n">
        <v>2792</v>
      </c>
      <c r="B2796" s="4" t="inlineStr">
        <is>
          <t>yes</t>
        </is>
      </c>
      <c r="C2796" s="4" t="inlineStr"/>
      <c r="D2796" s="4" t="inlineStr"/>
      <c r="E2796" s="13" t="n">
        <v>227.6</v>
      </c>
      <c r="F2796" s="12" t="n">
        <v>0.220001220703125</v>
      </c>
      <c r="G2796" s="4" t="n">
        <v>4</v>
      </c>
      <c r="H2796" s="4">
        <f>IF(OR(N(F2796)&gt;=0.5,G2796&gt;=4),3,IF(OR(N(F2796)&gt;=0.3,G2796=3),2,IF(OR(N(F2796)&gt;=0.1,G2796&gt;=1),1,0)))</f>
        <v/>
      </c>
      <c r="I2796" s="4">
        <f>CHOOSE(H2796+1,"Kein Risiko","Gering","Mittel","Hoch")</f>
        <v/>
      </c>
    </row>
    <row r="2797">
      <c r="A2797" s="4" t="n">
        <v>2793</v>
      </c>
      <c r="B2797" s="4" t="inlineStr">
        <is>
          <t>yes</t>
        </is>
      </c>
      <c r="C2797" s="4" t="inlineStr"/>
      <c r="D2797" s="4" t="inlineStr"/>
      <c r="E2797" s="13" t="n">
        <v>93.7</v>
      </c>
      <c r="F2797" s="12" t="n">
        <v>0</v>
      </c>
      <c r="G2797" s="4" t="n">
        <v>0</v>
      </c>
      <c r="H2797" s="4">
        <f>IF(OR(N(F2797)&gt;=0.5,G2797&gt;=4),3,IF(OR(N(F2797)&gt;=0.3,G2797=3),2,IF(OR(N(F2797)&gt;=0.1,G2797&gt;=1),1,0)))</f>
        <v/>
      </c>
      <c r="I2797" s="4">
        <f>CHOOSE(H2797+1,"Kein Risiko","Gering","Mittel","Hoch")</f>
        <v/>
      </c>
    </row>
    <row r="2798">
      <c r="A2798" s="4" t="n">
        <v>2794</v>
      </c>
      <c r="B2798" s="4" t="inlineStr">
        <is>
          <t>yes</t>
        </is>
      </c>
      <c r="C2798" s="4" t="inlineStr">
        <is>
          <t>Möllneyer Ufer</t>
        </is>
      </c>
      <c r="D2798" s="4" t="inlineStr">
        <is>
          <t>28</t>
        </is>
      </c>
      <c r="E2798" s="13" t="n">
        <v>84.7</v>
      </c>
      <c r="F2798" s="12" t="n">
        <v>0.029998779296875</v>
      </c>
      <c r="G2798" s="4" t="n">
        <v>0</v>
      </c>
      <c r="H2798" s="4">
        <f>IF(OR(N(F2798)&gt;=0.5,G2798&gt;=4),3,IF(OR(N(F2798)&gt;=0.3,G2798=3),2,IF(OR(N(F2798)&gt;=0.1,G2798&gt;=1),1,0)))</f>
        <v/>
      </c>
      <c r="I2798" s="4">
        <f>CHOOSE(H2798+1,"Kein Risiko","Gering","Mittel","Hoch")</f>
        <v/>
      </c>
    </row>
    <row r="2799">
      <c r="A2799" s="4" t="n">
        <v>2795</v>
      </c>
      <c r="B2799" s="4" t="inlineStr">
        <is>
          <t>yes</t>
        </is>
      </c>
      <c r="C2799" s="4" t="inlineStr">
        <is>
          <t>Möllneyer Ufer</t>
        </is>
      </c>
      <c r="D2799" s="4" t="inlineStr">
        <is>
          <t>26</t>
        </is>
      </c>
      <c r="E2799" s="13" t="n">
        <v>91.09999999999999</v>
      </c>
      <c r="F2799" s="12" t="n">
        <v>0.04000091552734375</v>
      </c>
      <c r="G2799" s="4" t="n">
        <v>0</v>
      </c>
      <c r="H2799" s="4">
        <f>IF(OR(N(F2799)&gt;=0.5,G2799&gt;=4),3,IF(OR(N(F2799)&gt;=0.3,G2799=3),2,IF(OR(N(F2799)&gt;=0.1,G2799&gt;=1),1,0)))</f>
        <v/>
      </c>
      <c r="I2799" s="4">
        <f>CHOOSE(H2799+1,"Kein Risiko","Gering","Mittel","Hoch")</f>
        <v/>
      </c>
    </row>
    <row r="2800">
      <c r="A2800" s="4" t="n">
        <v>2796</v>
      </c>
      <c r="B2800" s="4" t="inlineStr">
        <is>
          <t>yes</t>
        </is>
      </c>
      <c r="C2800" s="4" t="inlineStr"/>
      <c r="D2800" s="4" t="inlineStr"/>
      <c r="E2800" s="13" t="n">
        <v>149.4</v>
      </c>
      <c r="F2800" s="12" t="n">
        <v>0.1800003051757812</v>
      </c>
      <c r="G2800" s="4" t="n">
        <v>1</v>
      </c>
      <c r="H2800" s="4">
        <f>IF(OR(N(F2800)&gt;=0.5,G2800&gt;=4),3,IF(OR(N(F2800)&gt;=0.3,G2800=3),2,IF(OR(N(F2800)&gt;=0.1,G2800&gt;=1),1,0)))</f>
        <v/>
      </c>
      <c r="I2800" s="4">
        <f>CHOOSE(H2800+1,"Kein Risiko","Gering","Mittel","Hoch")</f>
        <v/>
      </c>
    </row>
    <row r="2801">
      <c r="A2801" s="4" t="n">
        <v>2797</v>
      </c>
      <c r="B2801" s="4" t="inlineStr">
        <is>
          <t>roof</t>
        </is>
      </c>
      <c r="C2801" s="4" t="inlineStr"/>
      <c r="D2801" s="4" t="inlineStr"/>
      <c r="E2801" s="13" t="n">
        <v>9.699999999999999</v>
      </c>
      <c r="F2801" s="12" t="n">
        <v>0</v>
      </c>
      <c r="G2801" s="4" t="n">
        <v>0</v>
      </c>
      <c r="H2801" s="4">
        <f>IF(OR(N(F2801)&gt;=0.5,G2801&gt;=4),3,IF(OR(N(F2801)&gt;=0.3,G2801=3),2,IF(OR(N(F2801)&gt;=0.1,G2801&gt;=1),1,0)))</f>
        <v/>
      </c>
      <c r="I2801" s="4">
        <f>CHOOSE(H2801+1,"Kein Risiko","Gering","Mittel","Hoch")</f>
        <v/>
      </c>
    </row>
    <row r="2802">
      <c r="A2802" s="4" t="n">
        <v>2798</v>
      </c>
      <c r="B2802" s="4" t="inlineStr">
        <is>
          <t>yes</t>
        </is>
      </c>
      <c r="C2802" s="4" t="inlineStr"/>
      <c r="D2802" s="4" t="inlineStr"/>
      <c r="E2802" s="13" t="n">
        <v>62.4</v>
      </c>
      <c r="F2802" s="12" t="n">
        <v>0.05999755859375</v>
      </c>
      <c r="G2802" s="4" t="n">
        <v>0</v>
      </c>
      <c r="H2802" s="4">
        <f>IF(OR(N(F2802)&gt;=0.5,G2802&gt;=4),3,IF(OR(N(F2802)&gt;=0.3,G2802=3),2,IF(OR(N(F2802)&gt;=0.1,G2802&gt;=1),1,0)))</f>
        <v/>
      </c>
      <c r="I2802" s="4">
        <f>CHOOSE(H2802+1,"Kein Risiko","Gering","Mittel","Hoch")</f>
        <v/>
      </c>
    </row>
    <row r="2803">
      <c r="A2803" s="4" t="n">
        <v>2799</v>
      </c>
      <c r="B2803" s="4" t="inlineStr">
        <is>
          <t>yes</t>
        </is>
      </c>
      <c r="C2803" s="4" t="inlineStr">
        <is>
          <t>Kupferdreher Straße</t>
        </is>
      </c>
      <c r="D2803" s="4" t="inlineStr">
        <is>
          <t>278</t>
        </is>
      </c>
      <c r="E2803" s="13" t="n">
        <v>118.4</v>
      </c>
      <c r="F2803" s="12" t="n">
        <v>0.04000091552734375</v>
      </c>
      <c r="G2803" s="4" t="n">
        <v>0</v>
      </c>
      <c r="H2803" s="4">
        <f>IF(OR(N(F2803)&gt;=0.5,G2803&gt;=4),3,IF(OR(N(F2803)&gt;=0.3,G2803=3),2,IF(OR(N(F2803)&gt;=0.1,G2803&gt;=1),1,0)))</f>
        <v/>
      </c>
      <c r="I2803" s="4">
        <f>CHOOSE(H2803+1,"Kein Risiko","Gering","Mittel","Hoch")</f>
        <v/>
      </c>
    </row>
    <row r="2804">
      <c r="A2804" s="4" t="n">
        <v>2800</v>
      </c>
      <c r="B2804" s="4" t="inlineStr">
        <is>
          <t>yes</t>
        </is>
      </c>
      <c r="C2804" s="4" t="inlineStr"/>
      <c r="D2804" s="4" t="inlineStr"/>
      <c r="E2804" s="13" t="n">
        <v>30.5</v>
      </c>
      <c r="F2804" s="12" t="n">
        <v>0</v>
      </c>
      <c r="G2804" s="4" t="n">
        <v>0</v>
      </c>
      <c r="H2804" s="4">
        <f>IF(OR(N(F2804)&gt;=0.5,G2804&gt;=4),3,IF(OR(N(F2804)&gt;=0.3,G2804=3),2,IF(OR(N(F2804)&gt;=0.1,G2804&gt;=1),1,0)))</f>
        <v/>
      </c>
      <c r="I2804" s="4">
        <f>CHOOSE(H2804+1,"Kein Risiko","Gering","Mittel","Hoch")</f>
        <v/>
      </c>
    </row>
    <row r="2805">
      <c r="A2805" s="4" t="n">
        <v>2801</v>
      </c>
      <c r="B2805" s="4" t="inlineStr">
        <is>
          <t>yes</t>
        </is>
      </c>
      <c r="C2805" s="4" t="inlineStr"/>
      <c r="D2805" s="4" t="inlineStr"/>
      <c r="E2805" s="13" t="n">
        <v>14.5</v>
      </c>
      <c r="F2805" s="12" t="n">
        <v>0</v>
      </c>
      <c r="G2805" s="4" t="n">
        <v>0</v>
      </c>
      <c r="H2805" s="4">
        <f>IF(OR(N(F2805)&gt;=0.5,G2805&gt;=4),3,IF(OR(N(F2805)&gt;=0.3,G2805=3),2,IF(OR(N(F2805)&gt;=0.1,G2805&gt;=1),1,0)))</f>
        <v/>
      </c>
      <c r="I2805" s="4">
        <f>CHOOSE(H2805+1,"Kein Risiko","Gering","Mittel","Hoch")</f>
        <v/>
      </c>
    </row>
    <row r="2806">
      <c r="A2806" s="4" t="n">
        <v>2802</v>
      </c>
      <c r="B2806" s="4" t="inlineStr">
        <is>
          <t>yes</t>
        </is>
      </c>
      <c r="C2806" s="4" t="inlineStr">
        <is>
          <t>Möllneyer Ufer</t>
        </is>
      </c>
      <c r="D2806" s="4" t="inlineStr">
        <is>
          <t>24</t>
        </is>
      </c>
      <c r="E2806" s="13" t="n">
        <v>98.8</v>
      </c>
      <c r="F2806" s="12" t="n">
        <v>0.1500015258789062</v>
      </c>
      <c r="G2806" s="4" t="n">
        <v>0</v>
      </c>
      <c r="H2806" s="4">
        <f>IF(OR(N(F2806)&gt;=0.5,G2806&gt;=4),3,IF(OR(N(F2806)&gt;=0.3,G2806=3),2,IF(OR(N(F2806)&gt;=0.1,G2806&gt;=1),1,0)))</f>
        <v/>
      </c>
      <c r="I2806" s="4">
        <f>CHOOSE(H2806+1,"Kein Risiko","Gering","Mittel","Hoch")</f>
        <v/>
      </c>
    </row>
    <row r="2807">
      <c r="A2807" s="4" t="n">
        <v>2803</v>
      </c>
      <c r="B2807" s="4" t="inlineStr">
        <is>
          <t>yes</t>
        </is>
      </c>
      <c r="C2807" s="4" t="inlineStr">
        <is>
          <t>Möllneyer Ufer</t>
        </is>
      </c>
      <c r="D2807" s="4" t="inlineStr">
        <is>
          <t>22</t>
        </is>
      </c>
      <c r="E2807" s="13" t="n">
        <v>81.40000000000001</v>
      </c>
      <c r="F2807" s="12" t="n">
        <v>0.0800018310546875</v>
      </c>
      <c r="G2807" s="4" t="n">
        <v>2</v>
      </c>
      <c r="H2807" s="4">
        <f>IF(OR(N(F2807)&gt;=0.5,G2807&gt;=4),3,IF(OR(N(F2807)&gt;=0.3,G2807=3),2,IF(OR(N(F2807)&gt;=0.1,G2807&gt;=1),1,0)))</f>
        <v/>
      </c>
      <c r="I2807" s="4">
        <f>CHOOSE(H2807+1,"Kein Risiko","Gering","Mittel","Hoch")</f>
        <v/>
      </c>
    </row>
    <row r="2808">
      <c r="A2808" s="4" t="n">
        <v>2804</v>
      </c>
      <c r="B2808" s="4" t="inlineStr">
        <is>
          <t>roof</t>
        </is>
      </c>
      <c r="C2808" s="4" t="inlineStr"/>
      <c r="D2808" s="4" t="inlineStr"/>
      <c r="E2808" s="13" t="n">
        <v>8.9</v>
      </c>
      <c r="F2808" s="12" t="n">
        <v>0.02000045776367188</v>
      </c>
      <c r="G2808" s="4" t="n">
        <v>0</v>
      </c>
      <c r="H2808" s="4">
        <f>IF(OR(N(F2808)&gt;=0.5,G2808&gt;=4),3,IF(OR(N(F2808)&gt;=0.3,G2808=3),2,IF(OR(N(F2808)&gt;=0.1,G2808&gt;=1),1,0)))</f>
        <v/>
      </c>
      <c r="I2808" s="4">
        <f>CHOOSE(H2808+1,"Kein Risiko","Gering","Mittel","Hoch")</f>
        <v/>
      </c>
    </row>
    <row r="2809">
      <c r="A2809" s="4" t="n">
        <v>2805</v>
      </c>
      <c r="B2809" s="4" t="inlineStr">
        <is>
          <t>detached</t>
        </is>
      </c>
      <c r="C2809" s="4" t="inlineStr">
        <is>
          <t>Dixbäume</t>
        </is>
      </c>
      <c r="D2809" s="4" t="inlineStr">
        <is>
          <t>65</t>
        </is>
      </c>
      <c r="E2809" s="13" t="n">
        <v>100.8</v>
      </c>
      <c r="F2809" s="12" t="n">
        <v>0</v>
      </c>
      <c r="G2809" s="4" t="n">
        <v>0</v>
      </c>
      <c r="H2809" s="4">
        <f>IF(OR(N(F2809)&gt;=0.5,G2809&gt;=4),3,IF(OR(N(F2809)&gt;=0.3,G2809=3),2,IF(OR(N(F2809)&gt;=0.1,G2809&gt;=1),1,0)))</f>
        <v/>
      </c>
      <c r="I2809" s="4">
        <f>CHOOSE(H2809+1,"Kein Risiko","Gering","Mittel","Hoch")</f>
        <v/>
      </c>
    </row>
    <row r="2810">
      <c r="A2810" s="4" t="n">
        <v>2806</v>
      </c>
      <c r="B2810" s="4" t="inlineStr">
        <is>
          <t>detached</t>
        </is>
      </c>
      <c r="C2810" s="4" t="inlineStr">
        <is>
          <t>Dixbäume</t>
        </is>
      </c>
      <c r="D2810" s="4" t="inlineStr">
        <is>
          <t>69</t>
        </is>
      </c>
      <c r="E2810" s="13" t="n">
        <v>150.2</v>
      </c>
      <c r="F2810" s="12" t="n">
        <v>0</v>
      </c>
      <c r="G2810" s="4" t="n">
        <v>0</v>
      </c>
      <c r="H2810" s="4">
        <f>IF(OR(N(F2810)&gt;=0.5,G2810&gt;=4),3,IF(OR(N(F2810)&gt;=0.3,G2810=3),2,IF(OR(N(F2810)&gt;=0.1,G2810&gt;=1),1,0)))</f>
        <v/>
      </c>
      <c r="I2810" s="4">
        <f>CHOOSE(H2810+1,"Kein Risiko","Gering","Mittel","Hoch")</f>
        <v/>
      </c>
    </row>
    <row r="2811">
      <c r="A2811" s="4" t="n">
        <v>2807</v>
      </c>
      <c r="B2811" s="4" t="inlineStr">
        <is>
          <t>roof</t>
        </is>
      </c>
      <c r="C2811" s="4" t="inlineStr"/>
      <c r="D2811" s="4" t="inlineStr"/>
      <c r="E2811" s="13" t="n">
        <v>7.5</v>
      </c>
      <c r="F2811" s="12" t="n">
        <v>0</v>
      </c>
      <c r="G2811" s="4" t="n">
        <v>0</v>
      </c>
      <c r="H2811" s="4">
        <f>IF(OR(N(F2811)&gt;=0.5,G2811&gt;=4),3,IF(OR(N(F2811)&gt;=0.3,G2811=3),2,IF(OR(N(F2811)&gt;=0.1,G2811&gt;=1),1,0)))</f>
        <v/>
      </c>
      <c r="I2811" s="4">
        <f>CHOOSE(H2811+1,"Kein Risiko","Gering","Mittel","Hoch")</f>
        <v/>
      </c>
    </row>
    <row r="2812">
      <c r="A2812" s="4" t="n">
        <v>2808</v>
      </c>
      <c r="B2812" s="4" t="inlineStr">
        <is>
          <t>garage</t>
        </is>
      </c>
      <c r="C2812" s="4" t="inlineStr"/>
      <c r="D2812" s="4" t="inlineStr"/>
      <c r="E2812" s="13" t="n">
        <v>17.5</v>
      </c>
      <c r="F2812" s="12" t="n">
        <v>0</v>
      </c>
      <c r="G2812" s="4" t="n">
        <v>0</v>
      </c>
      <c r="H2812" s="4">
        <f>IF(OR(N(F2812)&gt;=0.5,G2812&gt;=4),3,IF(OR(N(F2812)&gt;=0.3,G2812=3),2,IF(OR(N(F2812)&gt;=0.1,G2812&gt;=1),1,0)))</f>
        <v/>
      </c>
      <c r="I2812" s="4">
        <f>CHOOSE(H2812+1,"Kein Risiko","Gering","Mittel","Hoch")</f>
        <v/>
      </c>
    </row>
    <row r="2813">
      <c r="A2813" s="4" t="n">
        <v>2809</v>
      </c>
      <c r="B2813" s="4" t="inlineStr">
        <is>
          <t>yes</t>
        </is>
      </c>
      <c r="C2813" s="4" t="inlineStr"/>
      <c r="D2813" s="4" t="inlineStr"/>
      <c r="E2813" s="13" t="n">
        <v>24</v>
      </c>
      <c r="F2813" s="12" t="n">
        <v>1.279998779296875</v>
      </c>
      <c r="G2813" s="4" t="n">
        <v>0</v>
      </c>
      <c r="H2813" s="4">
        <f>IF(OR(N(F2813)&gt;=0.5,G2813&gt;=4),3,IF(OR(N(F2813)&gt;=0.3,G2813=3),2,IF(OR(N(F2813)&gt;=0.1,G2813&gt;=1),1,0)))</f>
        <v/>
      </c>
      <c r="I2813" s="4">
        <f>CHOOSE(H2813+1,"Kein Risiko","Gering","Mittel","Hoch")</f>
        <v/>
      </c>
    </row>
    <row r="2814">
      <c r="A2814" s="4" t="n">
        <v>2810</v>
      </c>
      <c r="B2814" s="4" t="inlineStr">
        <is>
          <t>yes</t>
        </is>
      </c>
      <c r="C2814" s="4" t="inlineStr"/>
      <c r="D2814" s="4" t="inlineStr"/>
      <c r="E2814" s="13" t="n">
        <v>13.4</v>
      </c>
      <c r="F2814" s="12" t="n">
        <v>0.5900039672851562</v>
      </c>
      <c r="G2814" s="4" t="n">
        <v>0</v>
      </c>
      <c r="H2814" s="4">
        <f>IF(OR(N(F2814)&gt;=0.5,G2814&gt;=4),3,IF(OR(N(F2814)&gt;=0.3,G2814=3),2,IF(OR(N(F2814)&gt;=0.1,G2814&gt;=1),1,0)))</f>
        <v/>
      </c>
      <c r="I2814" s="4">
        <f>CHOOSE(H2814+1,"Kein Risiko","Gering","Mittel","Hoch")</f>
        <v/>
      </c>
    </row>
    <row r="2815">
      <c r="A2815" s="4" t="n">
        <v>2811</v>
      </c>
      <c r="B2815" s="4" t="inlineStr">
        <is>
          <t>yes</t>
        </is>
      </c>
      <c r="C2815" s="4" t="inlineStr"/>
      <c r="D2815" s="4" t="inlineStr"/>
      <c r="E2815" s="13" t="n">
        <v>10.1</v>
      </c>
      <c r="F2815" s="12" t="n">
        <v>0</v>
      </c>
      <c r="G2815" s="4" t="n">
        <v>0</v>
      </c>
      <c r="H2815" s="4">
        <f>IF(OR(N(F2815)&gt;=0.5,G2815&gt;=4),3,IF(OR(N(F2815)&gt;=0.3,G2815=3),2,IF(OR(N(F2815)&gt;=0.1,G2815&gt;=1),1,0)))</f>
        <v/>
      </c>
      <c r="I2815" s="4">
        <f>CHOOSE(H2815+1,"Kein Risiko","Gering","Mittel","Hoch")</f>
        <v/>
      </c>
    </row>
    <row r="2816">
      <c r="A2816" s="4" t="n">
        <v>2812</v>
      </c>
      <c r="B2816" s="4" t="inlineStr">
        <is>
          <t>garage</t>
        </is>
      </c>
      <c r="C2816" s="4" t="inlineStr"/>
      <c r="D2816" s="4" t="inlineStr"/>
      <c r="E2816" s="13" t="n">
        <v>31.1</v>
      </c>
      <c r="F2816" s="12" t="n">
        <v>0</v>
      </c>
      <c r="G2816" s="4" t="n">
        <v>0</v>
      </c>
      <c r="H2816" s="4">
        <f>IF(OR(N(F2816)&gt;=0.5,G2816&gt;=4),3,IF(OR(N(F2816)&gt;=0.3,G2816=3),2,IF(OR(N(F2816)&gt;=0.1,G2816&gt;=1),1,0)))</f>
        <v/>
      </c>
      <c r="I2816" s="4">
        <f>CHOOSE(H2816+1,"Kein Risiko","Gering","Mittel","Hoch")</f>
        <v/>
      </c>
    </row>
    <row r="2817">
      <c r="A2817" s="4" t="n">
        <v>2813</v>
      </c>
      <c r="B2817" s="4" t="inlineStr">
        <is>
          <t>garage</t>
        </is>
      </c>
      <c r="C2817" s="4" t="inlineStr"/>
      <c r="D2817" s="4" t="inlineStr"/>
      <c r="E2817" s="13" t="n">
        <v>19.1</v>
      </c>
      <c r="F2817" s="12" t="n">
        <v>0</v>
      </c>
      <c r="G2817" s="4" t="n">
        <v>0</v>
      </c>
      <c r="H2817" s="4">
        <f>IF(OR(N(F2817)&gt;=0.5,G2817&gt;=4),3,IF(OR(N(F2817)&gt;=0.3,G2817=3),2,IF(OR(N(F2817)&gt;=0.1,G2817&gt;=1),1,0)))</f>
        <v/>
      </c>
      <c r="I2817" s="4">
        <f>CHOOSE(H2817+1,"Kein Risiko","Gering","Mittel","Hoch")</f>
        <v/>
      </c>
    </row>
    <row r="2818">
      <c r="A2818" s="4" t="n">
        <v>2814</v>
      </c>
      <c r="B2818" s="4" t="inlineStr">
        <is>
          <t>garage</t>
        </is>
      </c>
      <c r="C2818" s="4" t="inlineStr"/>
      <c r="D2818" s="4" t="inlineStr"/>
      <c r="E2818" s="13" t="n">
        <v>36.6</v>
      </c>
      <c r="F2818" s="12" t="n">
        <v>0</v>
      </c>
      <c r="G2818" s="4" t="n">
        <v>0</v>
      </c>
      <c r="H2818" s="4">
        <f>IF(OR(N(F2818)&gt;=0.5,G2818&gt;=4),3,IF(OR(N(F2818)&gt;=0.3,G2818=3),2,IF(OR(N(F2818)&gt;=0.1,G2818&gt;=1),1,0)))</f>
        <v/>
      </c>
      <c r="I2818" s="4">
        <f>CHOOSE(H2818+1,"Kein Risiko","Gering","Mittel","Hoch")</f>
        <v/>
      </c>
    </row>
    <row r="2819">
      <c r="A2819" s="4" t="n">
        <v>2815</v>
      </c>
      <c r="B2819" s="4" t="inlineStr">
        <is>
          <t>yes</t>
        </is>
      </c>
      <c r="C2819" s="4" t="inlineStr"/>
      <c r="D2819" s="4" t="inlineStr"/>
      <c r="E2819" s="13" t="n">
        <v>43.4</v>
      </c>
      <c r="F2819" s="12" t="n">
        <v>0</v>
      </c>
      <c r="G2819" s="4" t="n">
        <v>0</v>
      </c>
      <c r="H2819" s="4">
        <f>IF(OR(N(F2819)&gt;=0.5,G2819&gt;=4),3,IF(OR(N(F2819)&gt;=0.3,G2819=3),2,IF(OR(N(F2819)&gt;=0.1,G2819&gt;=1),1,0)))</f>
        <v/>
      </c>
      <c r="I2819" s="4">
        <f>CHOOSE(H2819+1,"Kein Risiko","Gering","Mittel","Hoch")</f>
        <v/>
      </c>
    </row>
    <row r="2820">
      <c r="A2820" s="4" t="n">
        <v>2816</v>
      </c>
      <c r="B2820" s="4" t="inlineStr">
        <is>
          <t>garage</t>
        </is>
      </c>
      <c r="C2820" s="4" t="inlineStr"/>
      <c r="D2820" s="4" t="inlineStr"/>
      <c r="E2820" s="13" t="n">
        <v>21.4</v>
      </c>
      <c r="F2820" s="12" t="n">
        <v>0</v>
      </c>
      <c r="G2820" s="4" t="n">
        <v>0</v>
      </c>
      <c r="H2820" s="4">
        <f>IF(OR(N(F2820)&gt;=0.5,G2820&gt;=4),3,IF(OR(N(F2820)&gt;=0.3,G2820=3),2,IF(OR(N(F2820)&gt;=0.1,G2820&gt;=1),1,0)))</f>
        <v/>
      </c>
      <c r="I2820" s="4">
        <f>CHOOSE(H2820+1,"Kein Risiko","Gering","Mittel","Hoch")</f>
        <v/>
      </c>
    </row>
    <row r="2821">
      <c r="A2821" s="4" t="n">
        <v>2817</v>
      </c>
      <c r="B2821" s="4" t="inlineStr">
        <is>
          <t>garage</t>
        </is>
      </c>
      <c r="C2821" s="4" t="inlineStr"/>
      <c r="D2821" s="4" t="inlineStr"/>
      <c r="E2821" s="13" t="n">
        <v>45.1</v>
      </c>
      <c r="F2821" s="12" t="n">
        <v>0.8300018310546875</v>
      </c>
      <c r="G2821" s="4" t="n">
        <v>0</v>
      </c>
      <c r="H2821" s="4">
        <f>IF(OR(N(F2821)&gt;=0.5,G2821&gt;=4),3,IF(OR(N(F2821)&gt;=0.3,G2821=3),2,IF(OR(N(F2821)&gt;=0.1,G2821&gt;=1),1,0)))</f>
        <v/>
      </c>
      <c r="I2821" s="4">
        <f>CHOOSE(H2821+1,"Kein Risiko","Gering","Mittel","Hoch")</f>
        <v/>
      </c>
    </row>
    <row r="2822">
      <c r="A2822" s="4" t="n">
        <v>2818</v>
      </c>
      <c r="B2822" s="4" t="inlineStr">
        <is>
          <t>apartments</t>
        </is>
      </c>
      <c r="C2822" s="4" t="inlineStr"/>
      <c r="D2822" s="4" t="inlineStr"/>
      <c r="E2822" s="13" t="n">
        <v>1061.6</v>
      </c>
      <c r="F2822" s="12" t="n">
        <v>0</v>
      </c>
      <c r="G2822" s="4" t="n">
        <v>2</v>
      </c>
      <c r="H2822" s="4">
        <f>IF(OR(N(F2822)&gt;=0.5,G2822&gt;=4),3,IF(OR(N(F2822)&gt;=0.3,G2822=3),2,IF(OR(N(F2822)&gt;=0.1,G2822&gt;=1),1,0)))</f>
        <v/>
      </c>
      <c r="I2822" s="4">
        <f>CHOOSE(H2822+1,"Kein Risiko","Gering","Mittel","Hoch")</f>
        <v/>
      </c>
    </row>
    <row r="2823">
      <c r="A2823" s="4" t="n">
        <v>2819</v>
      </c>
      <c r="B2823" s="4" t="inlineStr">
        <is>
          <t>garage</t>
        </is>
      </c>
      <c r="C2823" s="4" t="inlineStr"/>
      <c r="D2823" s="4" t="inlineStr"/>
      <c r="E2823" s="13" t="n">
        <v>16.3</v>
      </c>
      <c r="F2823" s="12" t="n">
        <v>0</v>
      </c>
      <c r="G2823" s="4" t="n">
        <v>0</v>
      </c>
      <c r="H2823" s="4">
        <f>IF(OR(N(F2823)&gt;=0.5,G2823&gt;=4),3,IF(OR(N(F2823)&gt;=0.3,G2823=3),2,IF(OR(N(F2823)&gt;=0.1,G2823&gt;=1),1,0)))</f>
        <v/>
      </c>
      <c r="I2823" s="4">
        <f>CHOOSE(H2823+1,"Kein Risiko","Gering","Mittel","Hoch")</f>
        <v/>
      </c>
    </row>
    <row r="2824">
      <c r="A2824" s="4" t="n">
        <v>2820</v>
      </c>
      <c r="B2824" s="4" t="inlineStr">
        <is>
          <t>garage</t>
        </is>
      </c>
      <c r="C2824" s="4" t="inlineStr"/>
      <c r="D2824" s="4" t="inlineStr"/>
      <c r="E2824" s="13" t="n">
        <v>16.2</v>
      </c>
      <c r="F2824" s="12" t="n">
        <v>0</v>
      </c>
      <c r="G2824" s="4" t="n">
        <v>0</v>
      </c>
      <c r="H2824" s="4">
        <f>IF(OR(N(F2824)&gt;=0.5,G2824&gt;=4),3,IF(OR(N(F2824)&gt;=0.3,G2824=3),2,IF(OR(N(F2824)&gt;=0.1,G2824&gt;=1),1,0)))</f>
        <v/>
      </c>
      <c r="I2824" s="4">
        <f>CHOOSE(H2824+1,"Kein Risiko","Gering","Mittel","Hoch")</f>
        <v/>
      </c>
    </row>
    <row r="2825">
      <c r="A2825" s="4" t="n">
        <v>2821</v>
      </c>
      <c r="B2825" s="4" t="inlineStr">
        <is>
          <t>garage</t>
        </is>
      </c>
      <c r="C2825" s="4" t="inlineStr"/>
      <c r="D2825" s="4" t="inlineStr"/>
      <c r="E2825" s="13" t="n">
        <v>25.2</v>
      </c>
      <c r="F2825" s="12" t="n">
        <v>0</v>
      </c>
      <c r="G2825" s="4" t="n">
        <v>0</v>
      </c>
      <c r="H2825" s="4">
        <f>IF(OR(N(F2825)&gt;=0.5,G2825&gt;=4),3,IF(OR(N(F2825)&gt;=0.3,G2825=3),2,IF(OR(N(F2825)&gt;=0.1,G2825&gt;=1),1,0)))</f>
        <v/>
      </c>
      <c r="I2825" s="4">
        <f>CHOOSE(H2825+1,"Kein Risiko","Gering","Mittel","Hoch")</f>
        <v/>
      </c>
    </row>
    <row r="2826">
      <c r="A2826" s="4" t="n">
        <v>2822</v>
      </c>
      <c r="B2826" s="4" t="inlineStr">
        <is>
          <t>yes</t>
        </is>
      </c>
      <c r="C2826" s="4" t="inlineStr"/>
      <c r="D2826" s="4" t="inlineStr"/>
      <c r="E2826" s="13" t="n">
        <v>46.9</v>
      </c>
      <c r="F2826" s="12" t="n">
        <v>0</v>
      </c>
      <c r="G2826" s="4" t="n">
        <v>0</v>
      </c>
      <c r="H2826" s="4">
        <f>IF(OR(N(F2826)&gt;=0.5,G2826&gt;=4),3,IF(OR(N(F2826)&gt;=0.3,G2826=3),2,IF(OR(N(F2826)&gt;=0.1,G2826&gt;=1),1,0)))</f>
        <v/>
      </c>
      <c r="I2826" s="4">
        <f>CHOOSE(H2826+1,"Kein Risiko","Gering","Mittel","Hoch")</f>
        <v/>
      </c>
    </row>
    <row r="2827">
      <c r="A2827" s="4" t="n">
        <v>2823</v>
      </c>
      <c r="B2827" s="4" t="inlineStr">
        <is>
          <t>residential</t>
        </is>
      </c>
      <c r="C2827" s="4" t="inlineStr">
        <is>
          <t>Bissenkamp</t>
        </is>
      </c>
      <c r="D2827" s="4" t="inlineStr">
        <is>
          <t>8</t>
        </is>
      </c>
      <c r="E2827" s="13" t="n">
        <v>93.40000000000001</v>
      </c>
      <c r="F2827" s="12" t="n">
        <v>0</v>
      </c>
      <c r="G2827" s="4" t="n">
        <v>0</v>
      </c>
      <c r="H2827" s="4">
        <f>IF(OR(N(F2827)&gt;=0.5,G2827&gt;=4),3,IF(OR(N(F2827)&gt;=0.3,G2827=3),2,IF(OR(N(F2827)&gt;=0.1,G2827&gt;=1),1,0)))</f>
        <v/>
      </c>
      <c r="I2827" s="4">
        <f>CHOOSE(H2827+1,"Kein Risiko","Gering","Mittel","Hoch")</f>
        <v/>
      </c>
    </row>
    <row r="2828">
      <c r="A2828" s="4" t="n">
        <v>2824</v>
      </c>
      <c r="B2828" s="4" t="inlineStr">
        <is>
          <t>yes</t>
        </is>
      </c>
      <c r="C2828" s="4" t="inlineStr">
        <is>
          <t>Deilbachbrücke</t>
        </is>
      </c>
      <c r="D2828" s="4" t="inlineStr">
        <is>
          <t>1a</t>
        </is>
      </c>
      <c r="E2828" s="13" t="n">
        <v>219.3</v>
      </c>
      <c r="F2828" s="12" t="n">
        <v>1.119998931884766</v>
      </c>
      <c r="G2828" s="4" t="n">
        <v>4</v>
      </c>
      <c r="H2828" s="4">
        <f>IF(OR(N(F2828)&gt;=0.5,G2828&gt;=4),3,IF(OR(N(F2828)&gt;=0.3,G2828=3),2,IF(OR(N(F2828)&gt;=0.1,G2828&gt;=1),1,0)))</f>
        <v/>
      </c>
      <c r="I2828" s="4">
        <f>CHOOSE(H2828+1,"Kein Risiko","Gering","Mittel","Hoch")</f>
        <v/>
      </c>
    </row>
    <row r="2829">
      <c r="A2829" s="4" t="n">
        <v>2825</v>
      </c>
      <c r="B2829" s="4" t="inlineStr">
        <is>
          <t>service</t>
        </is>
      </c>
      <c r="C2829" s="4" t="inlineStr"/>
      <c r="D2829" s="4" t="inlineStr"/>
      <c r="E2829" s="13" t="n">
        <v>11.4</v>
      </c>
      <c r="F2829" s="12" t="n"/>
      <c r="G2829" s="4" t="n">
        <v>0</v>
      </c>
      <c r="H2829" s="4">
        <f>IF(OR(N(F2829)&gt;=0.5,G2829&gt;=4),3,IF(OR(N(F2829)&gt;=0.3,G2829=3),2,IF(OR(N(F2829)&gt;=0.1,G2829&gt;=1),1,0)))</f>
        <v/>
      </c>
      <c r="I2829" s="4">
        <f>CHOOSE(H2829+1,"Kein Risiko","Gering","Mittel","Hoch")</f>
        <v/>
      </c>
    </row>
    <row r="2830">
      <c r="A2830" s="4" t="n">
        <v>2826</v>
      </c>
      <c r="B2830" s="4" t="inlineStr">
        <is>
          <t>garage</t>
        </is>
      </c>
      <c r="C2830" s="4" t="inlineStr"/>
      <c r="D2830" s="4" t="inlineStr"/>
      <c r="E2830" s="13" t="n">
        <v>23.5</v>
      </c>
      <c r="F2830" s="12" t="n">
        <v>0</v>
      </c>
      <c r="G2830" s="4" t="n">
        <v>0</v>
      </c>
      <c r="H2830" s="4">
        <f>IF(OR(N(F2830)&gt;=0.5,G2830&gt;=4),3,IF(OR(N(F2830)&gt;=0.3,G2830=3),2,IF(OR(N(F2830)&gt;=0.1,G2830&gt;=1),1,0)))</f>
        <v/>
      </c>
      <c r="I2830" s="4">
        <f>CHOOSE(H2830+1,"Kein Risiko","Gering","Mittel","Hoch")</f>
        <v/>
      </c>
    </row>
    <row r="2831">
      <c r="A2831" s="4" t="n">
        <v>2827</v>
      </c>
      <c r="B2831" s="4" t="inlineStr">
        <is>
          <t>garages</t>
        </is>
      </c>
      <c r="C2831" s="4" t="inlineStr"/>
      <c r="D2831" s="4" t="inlineStr"/>
      <c r="E2831" s="13" t="n">
        <v>36.9</v>
      </c>
      <c r="F2831" s="12" t="n">
        <v>0</v>
      </c>
      <c r="G2831" s="4" t="n">
        <v>0</v>
      </c>
      <c r="H2831" s="4">
        <f>IF(OR(N(F2831)&gt;=0.5,G2831&gt;=4),3,IF(OR(N(F2831)&gt;=0.3,G2831=3),2,IF(OR(N(F2831)&gt;=0.1,G2831&gt;=1),1,0)))</f>
        <v/>
      </c>
      <c r="I2831" s="4">
        <f>CHOOSE(H2831+1,"Kein Risiko","Gering","Mittel","Hoch")</f>
        <v/>
      </c>
    </row>
    <row r="2832">
      <c r="A2832" s="4" t="n">
        <v>2828</v>
      </c>
      <c r="B2832" s="4" t="inlineStr">
        <is>
          <t>garages</t>
        </is>
      </c>
      <c r="C2832" s="4" t="inlineStr"/>
      <c r="D2832" s="4" t="inlineStr"/>
      <c r="E2832" s="13" t="n">
        <v>56.4</v>
      </c>
      <c r="F2832" s="12" t="n">
        <v>0</v>
      </c>
      <c r="G2832" s="4" t="n">
        <v>0</v>
      </c>
      <c r="H2832" s="4">
        <f>IF(OR(N(F2832)&gt;=0.5,G2832&gt;=4),3,IF(OR(N(F2832)&gt;=0.3,G2832=3),2,IF(OR(N(F2832)&gt;=0.1,G2832&gt;=1),1,0)))</f>
        <v/>
      </c>
      <c r="I2832" s="4">
        <f>CHOOSE(H2832+1,"Kein Risiko","Gering","Mittel","Hoch")</f>
        <v/>
      </c>
    </row>
    <row r="2833">
      <c r="A2833" s="4" t="n">
        <v>2829</v>
      </c>
      <c r="B2833" s="4" t="inlineStr">
        <is>
          <t>garage</t>
        </is>
      </c>
      <c r="C2833" s="4" t="inlineStr"/>
      <c r="D2833" s="4" t="inlineStr"/>
      <c r="E2833" s="13" t="n">
        <v>31.7</v>
      </c>
      <c r="F2833" s="12" t="n">
        <v>0</v>
      </c>
      <c r="G2833" s="4" t="n">
        <v>0</v>
      </c>
      <c r="H2833" s="4">
        <f>IF(OR(N(F2833)&gt;=0.5,G2833&gt;=4),3,IF(OR(N(F2833)&gt;=0.3,G2833=3),2,IF(OR(N(F2833)&gt;=0.1,G2833&gt;=1),1,0)))</f>
        <v/>
      </c>
      <c r="I2833" s="4">
        <f>CHOOSE(H2833+1,"Kein Risiko","Gering","Mittel","Hoch")</f>
        <v/>
      </c>
    </row>
    <row r="2834">
      <c r="A2834" s="4" t="n">
        <v>2830</v>
      </c>
      <c r="B2834" s="4" t="inlineStr">
        <is>
          <t>garage</t>
        </is>
      </c>
      <c r="C2834" s="4" t="inlineStr"/>
      <c r="D2834" s="4" t="inlineStr"/>
      <c r="E2834" s="13" t="n">
        <v>20.7</v>
      </c>
      <c r="F2834" s="12" t="n">
        <v>0</v>
      </c>
      <c r="G2834" s="4" t="n">
        <v>0</v>
      </c>
      <c r="H2834" s="4">
        <f>IF(OR(N(F2834)&gt;=0.5,G2834&gt;=4),3,IF(OR(N(F2834)&gt;=0.3,G2834=3),2,IF(OR(N(F2834)&gt;=0.1,G2834&gt;=1),1,0)))</f>
        <v/>
      </c>
      <c r="I2834" s="4">
        <f>CHOOSE(H2834+1,"Kein Risiko","Gering","Mittel","Hoch")</f>
        <v/>
      </c>
    </row>
    <row r="2835">
      <c r="A2835" s="4" t="n">
        <v>2831</v>
      </c>
      <c r="B2835" s="4" t="inlineStr">
        <is>
          <t>roof</t>
        </is>
      </c>
      <c r="C2835" s="4" t="inlineStr"/>
      <c r="D2835" s="4" t="inlineStr"/>
      <c r="E2835" s="13" t="n">
        <v>13</v>
      </c>
      <c r="F2835" s="12" t="n">
        <v>0</v>
      </c>
      <c r="G2835" s="4" t="n">
        <v>0</v>
      </c>
      <c r="H2835" s="4">
        <f>IF(OR(N(F2835)&gt;=0.5,G2835&gt;=4),3,IF(OR(N(F2835)&gt;=0.3,G2835=3),2,IF(OR(N(F2835)&gt;=0.1,G2835&gt;=1),1,0)))</f>
        <v/>
      </c>
      <c r="I2835" s="4">
        <f>CHOOSE(H2835+1,"Kein Risiko","Gering","Mittel","Hoch")</f>
        <v/>
      </c>
    </row>
    <row r="2836">
      <c r="A2836" s="4" t="n">
        <v>2832</v>
      </c>
      <c r="B2836" s="4" t="inlineStr">
        <is>
          <t>garages</t>
        </is>
      </c>
      <c r="C2836" s="4" t="inlineStr"/>
      <c r="D2836" s="4" t="inlineStr"/>
      <c r="E2836" s="13" t="n">
        <v>73.59999999999999</v>
      </c>
      <c r="F2836" s="12" t="n">
        <v>0</v>
      </c>
      <c r="G2836" s="4" t="n">
        <v>2</v>
      </c>
      <c r="H2836" s="4">
        <f>IF(OR(N(F2836)&gt;=0.5,G2836&gt;=4),3,IF(OR(N(F2836)&gt;=0.3,G2836=3),2,IF(OR(N(F2836)&gt;=0.1,G2836&gt;=1),1,0)))</f>
        <v/>
      </c>
      <c r="I2836" s="4">
        <f>CHOOSE(H2836+1,"Kein Risiko","Gering","Mittel","Hoch")</f>
        <v/>
      </c>
    </row>
    <row r="2837">
      <c r="A2837" s="4" t="n">
        <v>2833</v>
      </c>
      <c r="B2837" s="4" t="inlineStr">
        <is>
          <t>garage</t>
        </is>
      </c>
      <c r="C2837" s="4" t="inlineStr"/>
      <c r="D2837" s="4" t="inlineStr"/>
      <c r="E2837" s="13" t="n">
        <v>24.5</v>
      </c>
      <c r="F2837" s="12" t="n">
        <v>0</v>
      </c>
      <c r="G2837" s="4" t="n">
        <v>0</v>
      </c>
      <c r="H2837" s="4">
        <f>IF(OR(N(F2837)&gt;=0.5,G2837&gt;=4),3,IF(OR(N(F2837)&gt;=0.3,G2837=3),2,IF(OR(N(F2837)&gt;=0.1,G2837&gt;=1),1,0)))</f>
        <v/>
      </c>
      <c r="I2837" s="4">
        <f>CHOOSE(H2837+1,"Kein Risiko","Gering","Mittel","Hoch")</f>
        <v/>
      </c>
    </row>
    <row r="2838">
      <c r="A2838" s="4" t="n">
        <v>2834</v>
      </c>
      <c r="B2838" s="4" t="inlineStr">
        <is>
          <t>yes</t>
        </is>
      </c>
      <c r="C2838" s="4" t="inlineStr"/>
      <c r="D2838" s="4" t="inlineStr"/>
      <c r="E2838" s="13" t="n">
        <v>67.59999999999999</v>
      </c>
      <c r="F2838" s="12" t="n">
        <v>0</v>
      </c>
      <c r="G2838" s="4" t="n">
        <v>2</v>
      </c>
      <c r="H2838" s="4">
        <f>IF(OR(N(F2838)&gt;=0.5,G2838&gt;=4),3,IF(OR(N(F2838)&gt;=0.3,G2838=3),2,IF(OR(N(F2838)&gt;=0.1,G2838&gt;=1),1,0)))</f>
        <v/>
      </c>
      <c r="I2838" s="4">
        <f>CHOOSE(H2838+1,"Kein Risiko","Gering","Mittel","Hoch")</f>
        <v/>
      </c>
    </row>
    <row r="2839">
      <c r="A2839" s="4" t="n">
        <v>2835</v>
      </c>
      <c r="B2839" s="4" t="inlineStr">
        <is>
          <t>yes</t>
        </is>
      </c>
      <c r="C2839" s="4" t="inlineStr"/>
      <c r="D2839" s="4" t="inlineStr"/>
      <c r="E2839" s="13" t="n">
        <v>4.7</v>
      </c>
      <c r="F2839" s="12" t="n">
        <v>0</v>
      </c>
      <c r="G2839" s="4" t="n">
        <v>2</v>
      </c>
      <c r="H2839" s="4">
        <f>IF(OR(N(F2839)&gt;=0.5,G2839&gt;=4),3,IF(OR(N(F2839)&gt;=0.3,G2839=3),2,IF(OR(N(F2839)&gt;=0.1,G2839&gt;=1),1,0)))</f>
        <v/>
      </c>
      <c r="I2839" s="4">
        <f>CHOOSE(H2839+1,"Kein Risiko","Gering","Mittel","Hoch")</f>
        <v/>
      </c>
    </row>
    <row r="2840">
      <c r="A2840" s="4" t="n">
        <v>2836</v>
      </c>
      <c r="B2840" s="4" t="inlineStr">
        <is>
          <t>garage</t>
        </is>
      </c>
      <c r="C2840" s="4" t="inlineStr"/>
      <c r="D2840" s="4" t="inlineStr"/>
      <c r="E2840" s="13" t="n">
        <v>22.1</v>
      </c>
      <c r="F2840" s="12" t="n"/>
      <c r="G2840" s="4" t="n">
        <v>0</v>
      </c>
      <c r="H2840" s="4">
        <f>IF(OR(N(F2840)&gt;=0.5,G2840&gt;=4),3,IF(OR(N(F2840)&gt;=0.3,G2840=3),2,IF(OR(N(F2840)&gt;=0.1,G2840&gt;=1),1,0)))</f>
        <v/>
      </c>
      <c r="I2840" s="4">
        <f>CHOOSE(H2840+1,"Kein Risiko","Gering","Mittel","Hoch")</f>
        <v/>
      </c>
    </row>
    <row r="2841">
      <c r="A2841" s="4" t="n">
        <v>2837</v>
      </c>
      <c r="B2841" s="4" t="inlineStr">
        <is>
          <t>garage</t>
        </is>
      </c>
      <c r="C2841" s="4" t="inlineStr"/>
      <c r="D2841" s="4" t="inlineStr"/>
      <c r="E2841" s="13" t="n">
        <v>20.9</v>
      </c>
      <c r="F2841" s="12" t="n"/>
      <c r="G2841" s="4" t="n">
        <v>0</v>
      </c>
      <c r="H2841" s="4">
        <f>IF(OR(N(F2841)&gt;=0.5,G2841&gt;=4),3,IF(OR(N(F2841)&gt;=0.3,G2841=3),2,IF(OR(N(F2841)&gt;=0.1,G2841&gt;=1),1,0)))</f>
        <v/>
      </c>
      <c r="I2841" s="4">
        <f>CHOOSE(H2841+1,"Kein Risiko","Gering","Mittel","Hoch")</f>
        <v/>
      </c>
    </row>
    <row r="2842">
      <c r="A2842" s="4" t="n">
        <v>2838</v>
      </c>
      <c r="B2842" s="4" t="inlineStr">
        <is>
          <t>yes</t>
        </is>
      </c>
      <c r="C2842" s="4" t="inlineStr"/>
      <c r="D2842" s="4" t="inlineStr"/>
      <c r="E2842" s="13" t="n">
        <v>69.09999999999999</v>
      </c>
      <c r="F2842" s="12" t="n">
        <v>0</v>
      </c>
      <c r="G2842" s="4" t="n">
        <v>0</v>
      </c>
      <c r="H2842" s="4">
        <f>IF(OR(N(F2842)&gt;=0.5,G2842&gt;=4),3,IF(OR(N(F2842)&gt;=0.3,G2842=3),2,IF(OR(N(F2842)&gt;=0.1,G2842&gt;=1),1,0)))</f>
        <v/>
      </c>
      <c r="I2842" s="4">
        <f>CHOOSE(H2842+1,"Kein Risiko","Gering","Mittel","Hoch")</f>
        <v/>
      </c>
    </row>
    <row r="2843">
      <c r="A2843" s="4" t="n">
        <v>2839</v>
      </c>
      <c r="B2843" s="4" t="inlineStr">
        <is>
          <t>yes</t>
        </is>
      </c>
      <c r="C2843" s="4" t="inlineStr"/>
      <c r="D2843" s="4" t="inlineStr"/>
      <c r="E2843" s="13" t="n">
        <v>48.2</v>
      </c>
      <c r="F2843" s="12" t="n">
        <v>0.06999969482421875</v>
      </c>
      <c r="G2843" s="4" t="n">
        <v>2</v>
      </c>
      <c r="H2843" s="4">
        <f>IF(OR(N(F2843)&gt;=0.5,G2843&gt;=4),3,IF(OR(N(F2843)&gt;=0.3,G2843=3),2,IF(OR(N(F2843)&gt;=0.1,G2843&gt;=1),1,0)))</f>
        <v/>
      </c>
      <c r="I2843" s="4">
        <f>CHOOSE(H2843+1,"Kein Risiko","Gering","Mittel","Hoch")</f>
        <v/>
      </c>
    </row>
    <row r="2844">
      <c r="A2844" s="4" t="n">
        <v>2840</v>
      </c>
      <c r="B2844" s="4" t="inlineStr">
        <is>
          <t>garage</t>
        </is>
      </c>
      <c r="C2844" s="4" t="inlineStr"/>
      <c r="D2844" s="4" t="inlineStr"/>
      <c r="E2844" s="13" t="n">
        <v>17</v>
      </c>
      <c r="F2844" s="12" t="n">
        <v>0.25</v>
      </c>
      <c r="G2844" s="4" t="n">
        <v>0</v>
      </c>
      <c r="H2844" s="4">
        <f>IF(OR(N(F2844)&gt;=0.5,G2844&gt;=4),3,IF(OR(N(F2844)&gt;=0.3,G2844=3),2,IF(OR(N(F2844)&gt;=0.1,G2844&gt;=1),1,0)))</f>
        <v/>
      </c>
      <c r="I2844" s="4">
        <f>CHOOSE(H2844+1,"Kein Risiko","Gering","Mittel","Hoch")</f>
        <v/>
      </c>
    </row>
    <row r="2845">
      <c r="A2845" s="4" t="n">
        <v>2841</v>
      </c>
      <c r="B2845" s="4" t="inlineStr">
        <is>
          <t>garage</t>
        </is>
      </c>
      <c r="C2845" s="4" t="inlineStr"/>
      <c r="D2845" s="4" t="inlineStr"/>
      <c r="E2845" s="13" t="n">
        <v>13.2</v>
      </c>
      <c r="F2845" s="12" t="n">
        <v>0</v>
      </c>
      <c r="G2845" s="4" t="n">
        <v>0</v>
      </c>
      <c r="H2845" s="4">
        <f>IF(OR(N(F2845)&gt;=0.5,G2845&gt;=4),3,IF(OR(N(F2845)&gt;=0.3,G2845=3),2,IF(OR(N(F2845)&gt;=0.1,G2845&gt;=1),1,0)))</f>
        <v/>
      </c>
      <c r="I2845" s="4">
        <f>CHOOSE(H2845+1,"Kein Risiko","Gering","Mittel","Hoch")</f>
        <v/>
      </c>
    </row>
    <row r="2846">
      <c r="A2846" s="4" t="n">
        <v>2842</v>
      </c>
      <c r="B2846" s="4" t="inlineStr">
        <is>
          <t>yes</t>
        </is>
      </c>
      <c r="C2846" s="4" t="inlineStr"/>
      <c r="D2846" s="4" t="inlineStr"/>
      <c r="E2846" s="13" t="n">
        <v>32.1</v>
      </c>
      <c r="F2846" s="12" t="n">
        <v>0.7900009155273438</v>
      </c>
      <c r="G2846" s="4" t="n">
        <v>0</v>
      </c>
      <c r="H2846" s="4">
        <f>IF(OR(N(F2846)&gt;=0.5,G2846&gt;=4),3,IF(OR(N(F2846)&gt;=0.3,G2846=3),2,IF(OR(N(F2846)&gt;=0.1,G2846&gt;=1),1,0)))</f>
        <v/>
      </c>
      <c r="I2846" s="4">
        <f>CHOOSE(H2846+1,"Kein Risiko","Gering","Mittel","Hoch")</f>
        <v/>
      </c>
    </row>
    <row r="2847">
      <c r="A2847" s="4" t="n">
        <v>2843</v>
      </c>
      <c r="B2847" s="4" t="inlineStr">
        <is>
          <t>yes</t>
        </is>
      </c>
      <c r="C2847" s="4" t="inlineStr"/>
      <c r="D2847" s="4" t="inlineStr"/>
      <c r="E2847" s="13" t="n">
        <v>14.9</v>
      </c>
      <c r="F2847" s="12" t="n">
        <v>0</v>
      </c>
      <c r="G2847" s="4" t="n">
        <v>0</v>
      </c>
      <c r="H2847" s="4">
        <f>IF(OR(N(F2847)&gt;=0.5,G2847&gt;=4),3,IF(OR(N(F2847)&gt;=0.3,G2847=3),2,IF(OR(N(F2847)&gt;=0.1,G2847&gt;=1),1,0)))</f>
        <v/>
      </c>
      <c r="I2847" s="4">
        <f>CHOOSE(H2847+1,"Kein Risiko","Gering","Mittel","Hoch")</f>
        <v/>
      </c>
    </row>
    <row r="2848">
      <c r="A2848" s="4" t="n">
        <v>2844</v>
      </c>
      <c r="B2848" s="4" t="inlineStr">
        <is>
          <t>yes</t>
        </is>
      </c>
      <c r="C2848" s="4" t="inlineStr"/>
      <c r="D2848" s="4" t="inlineStr"/>
      <c r="E2848" s="13" t="n">
        <v>26.3</v>
      </c>
      <c r="F2848" s="12" t="n">
        <v>0</v>
      </c>
      <c r="G2848" s="4" t="n">
        <v>0</v>
      </c>
      <c r="H2848" s="4">
        <f>IF(OR(N(F2848)&gt;=0.5,G2848&gt;=4),3,IF(OR(N(F2848)&gt;=0.3,G2848=3),2,IF(OR(N(F2848)&gt;=0.1,G2848&gt;=1),1,0)))</f>
        <v/>
      </c>
      <c r="I2848" s="4">
        <f>CHOOSE(H2848+1,"Kein Risiko","Gering","Mittel","Hoch")</f>
        <v/>
      </c>
    </row>
    <row r="2849">
      <c r="A2849" s="4" t="n">
        <v>2845</v>
      </c>
      <c r="B2849" s="4" t="inlineStr">
        <is>
          <t>yes</t>
        </is>
      </c>
      <c r="C2849" s="4" t="inlineStr"/>
      <c r="D2849" s="4" t="inlineStr"/>
      <c r="E2849" s="13" t="n">
        <v>130.3</v>
      </c>
      <c r="F2849" s="12" t="n">
        <v>0</v>
      </c>
      <c r="G2849" s="4" t="n">
        <v>0</v>
      </c>
      <c r="H2849" s="4">
        <f>IF(OR(N(F2849)&gt;=0.5,G2849&gt;=4),3,IF(OR(N(F2849)&gt;=0.3,G2849=3),2,IF(OR(N(F2849)&gt;=0.1,G2849&gt;=1),1,0)))</f>
        <v/>
      </c>
      <c r="I2849" s="4">
        <f>CHOOSE(H2849+1,"Kein Risiko","Gering","Mittel","Hoch")</f>
        <v/>
      </c>
    </row>
    <row r="2850">
      <c r="A2850" s="4" t="n">
        <v>2846</v>
      </c>
      <c r="B2850" s="4" t="inlineStr">
        <is>
          <t>garage</t>
        </is>
      </c>
      <c r="C2850" s="4" t="inlineStr"/>
      <c r="D2850" s="4" t="inlineStr"/>
      <c r="E2850" s="13" t="n">
        <v>24.3</v>
      </c>
      <c r="F2850" s="12" t="n">
        <v>0</v>
      </c>
      <c r="G2850" s="4" t="n">
        <v>1</v>
      </c>
      <c r="H2850" s="4">
        <f>IF(OR(N(F2850)&gt;=0.5,G2850&gt;=4),3,IF(OR(N(F2850)&gt;=0.3,G2850=3),2,IF(OR(N(F2850)&gt;=0.1,G2850&gt;=1),1,0)))</f>
        <v/>
      </c>
      <c r="I2850" s="4">
        <f>CHOOSE(H2850+1,"Kein Risiko","Gering","Mittel","Hoch")</f>
        <v/>
      </c>
    </row>
    <row r="2851">
      <c r="A2851" s="4" t="n">
        <v>2847</v>
      </c>
      <c r="B2851" s="4" t="inlineStr">
        <is>
          <t>yes</t>
        </is>
      </c>
      <c r="C2851" s="4" t="inlineStr"/>
      <c r="D2851" s="4" t="inlineStr"/>
      <c r="E2851" s="13" t="n">
        <v>65.90000000000001</v>
      </c>
      <c r="F2851" s="12" t="n">
        <v>1.319999694824219</v>
      </c>
      <c r="G2851" s="4" t="n">
        <v>0</v>
      </c>
      <c r="H2851" s="4">
        <f>IF(OR(N(F2851)&gt;=0.5,G2851&gt;=4),3,IF(OR(N(F2851)&gt;=0.3,G2851=3),2,IF(OR(N(F2851)&gt;=0.1,G2851&gt;=1),1,0)))</f>
        <v/>
      </c>
      <c r="I2851" s="4">
        <f>CHOOSE(H2851+1,"Kein Risiko","Gering","Mittel","Hoch")</f>
        <v/>
      </c>
    </row>
    <row r="2852">
      <c r="A2852" s="4" t="n">
        <v>2848</v>
      </c>
      <c r="B2852" s="4" t="inlineStr">
        <is>
          <t>garage</t>
        </is>
      </c>
      <c r="C2852" s="4" t="inlineStr"/>
      <c r="D2852" s="4" t="inlineStr"/>
      <c r="E2852" s="13" t="n">
        <v>15.4</v>
      </c>
      <c r="F2852" s="12" t="n">
        <v>0</v>
      </c>
      <c r="G2852" s="4" t="n">
        <v>0</v>
      </c>
      <c r="H2852" s="4">
        <f>IF(OR(N(F2852)&gt;=0.5,G2852&gt;=4),3,IF(OR(N(F2852)&gt;=0.3,G2852=3),2,IF(OR(N(F2852)&gt;=0.1,G2852&gt;=1),1,0)))</f>
        <v/>
      </c>
      <c r="I2852" s="4">
        <f>CHOOSE(H2852+1,"Kein Risiko","Gering","Mittel","Hoch")</f>
        <v/>
      </c>
    </row>
    <row r="2853">
      <c r="A2853" s="4" t="n">
        <v>2849</v>
      </c>
      <c r="B2853" s="4" t="inlineStr">
        <is>
          <t>garage</t>
        </is>
      </c>
      <c r="C2853" s="4" t="inlineStr"/>
      <c r="D2853" s="4" t="inlineStr"/>
      <c r="E2853" s="13" t="n">
        <v>30.7</v>
      </c>
      <c r="F2853" s="12" t="n">
        <v>0</v>
      </c>
      <c r="G2853" s="4" t="n">
        <v>0</v>
      </c>
      <c r="H2853" s="4">
        <f>IF(OR(N(F2853)&gt;=0.5,G2853&gt;=4),3,IF(OR(N(F2853)&gt;=0.3,G2853=3),2,IF(OR(N(F2853)&gt;=0.1,G2853&gt;=1),1,0)))</f>
        <v/>
      </c>
      <c r="I2853" s="4">
        <f>CHOOSE(H2853+1,"Kein Risiko","Gering","Mittel","Hoch")</f>
        <v/>
      </c>
    </row>
    <row r="2854">
      <c r="A2854" s="4" t="n">
        <v>2850</v>
      </c>
      <c r="B2854" s="4" t="inlineStr">
        <is>
          <t>yes</t>
        </is>
      </c>
      <c r="C2854" s="4" t="inlineStr"/>
      <c r="D2854" s="4" t="inlineStr"/>
      <c r="E2854" s="13" t="n">
        <v>134</v>
      </c>
      <c r="F2854" s="12" t="n">
        <v>0.029998779296875</v>
      </c>
      <c r="G2854" s="4" t="n">
        <v>1</v>
      </c>
      <c r="H2854" s="4">
        <f>IF(OR(N(F2854)&gt;=0.5,G2854&gt;=4),3,IF(OR(N(F2854)&gt;=0.3,G2854=3),2,IF(OR(N(F2854)&gt;=0.1,G2854&gt;=1),1,0)))</f>
        <v/>
      </c>
      <c r="I2854" s="4">
        <f>CHOOSE(H2854+1,"Kein Risiko","Gering","Mittel","Hoch")</f>
        <v/>
      </c>
    </row>
    <row r="2855">
      <c r="A2855" s="4" t="n">
        <v>2851</v>
      </c>
      <c r="B2855" s="4" t="inlineStr">
        <is>
          <t>yes</t>
        </is>
      </c>
      <c r="C2855" s="4" t="inlineStr"/>
      <c r="D2855" s="4" t="inlineStr"/>
      <c r="E2855" s="13" t="n">
        <v>70.5</v>
      </c>
      <c r="F2855" s="12" t="n">
        <v>0</v>
      </c>
      <c r="G2855" s="4" t="n">
        <v>3</v>
      </c>
      <c r="H2855" s="4">
        <f>IF(OR(N(F2855)&gt;=0.5,G2855&gt;=4),3,IF(OR(N(F2855)&gt;=0.3,G2855=3),2,IF(OR(N(F2855)&gt;=0.1,G2855&gt;=1),1,0)))</f>
        <v/>
      </c>
      <c r="I2855" s="4">
        <f>CHOOSE(H2855+1,"Kein Risiko","Gering","Mittel","Hoch")</f>
        <v/>
      </c>
    </row>
    <row r="2856">
      <c r="A2856" s="4" t="n">
        <v>2852</v>
      </c>
      <c r="B2856" s="4" t="inlineStr">
        <is>
          <t>yes</t>
        </is>
      </c>
      <c r="C2856" s="4" t="inlineStr"/>
      <c r="D2856" s="4" t="inlineStr"/>
      <c r="E2856" s="13" t="n">
        <v>55</v>
      </c>
      <c r="F2856" s="12" t="n">
        <v>0</v>
      </c>
      <c r="G2856" s="4" t="n">
        <v>5</v>
      </c>
      <c r="H2856" s="4">
        <f>IF(OR(N(F2856)&gt;=0.5,G2856&gt;=4),3,IF(OR(N(F2856)&gt;=0.3,G2856=3),2,IF(OR(N(F2856)&gt;=0.1,G2856&gt;=1),1,0)))</f>
        <v/>
      </c>
      <c r="I2856" s="4">
        <f>CHOOSE(H2856+1,"Kein Risiko","Gering","Mittel","Hoch")</f>
        <v/>
      </c>
    </row>
    <row r="2857">
      <c r="A2857" s="4" t="n">
        <v>2853</v>
      </c>
      <c r="B2857" s="4" t="inlineStr">
        <is>
          <t>yes</t>
        </is>
      </c>
      <c r="C2857" s="4" t="inlineStr"/>
      <c r="D2857" s="4" t="inlineStr"/>
      <c r="E2857" s="13" t="n">
        <v>41.7</v>
      </c>
      <c r="F2857" s="12" t="n">
        <v>0.3199996948242188</v>
      </c>
      <c r="G2857" s="4" t="n">
        <v>5</v>
      </c>
      <c r="H2857" s="4">
        <f>IF(OR(N(F2857)&gt;=0.5,G2857&gt;=4),3,IF(OR(N(F2857)&gt;=0.3,G2857=3),2,IF(OR(N(F2857)&gt;=0.1,G2857&gt;=1),1,0)))</f>
        <v/>
      </c>
      <c r="I2857" s="4">
        <f>CHOOSE(H2857+1,"Kein Risiko","Gering","Mittel","Hoch")</f>
        <v/>
      </c>
    </row>
    <row r="2858">
      <c r="A2858" s="4" t="n">
        <v>2854</v>
      </c>
      <c r="B2858" s="4" t="inlineStr">
        <is>
          <t>yes</t>
        </is>
      </c>
      <c r="C2858" s="4" t="inlineStr"/>
      <c r="D2858" s="4" t="inlineStr"/>
      <c r="E2858" s="13" t="n">
        <v>34.6</v>
      </c>
      <c r="F2858" s="12" t="n">
        <v>0</v>
      </c>
      <c r="G2858" s="4" t="n">
        <v>0</v>
      </c>
      <c r="H2858" s="4">
        <f>IF(OR(N(F2858)&gt;=0.5,G2858&gt;=4),3,IF(OR(N(F2858)&gt;=0.3,G2858=3),2,IF(OR(N(F2858)&gt;=0.1,G2858&gt;=1),1,0)))</f>
        <v/>
      </c>
      <c r="I2858" s="4">
        <f>CHOOSE(H2858+1,"Kein Risiko","Gering","Mittel","Hoch")</f>
        <v/>
      </c>
    </row>
    <row r="2859">
      <c r="A2859" s="4" t="n">
        <v>2855</v>
      </c>
      <c r="B2859" s="4" t="inlineStr">
        <is>
          <t>yes</t>
        </is>
      </c>
      <c r="C2859" s="4" t="inlineStr"/>
      <c r="D2859" s="4" t="inlineStr"/>
      <c r="E2859" s="13" t="n">
        <v>97.7</v>
      </c>
      <c r="F2859" s="12" t="n">
        <v>0</v>
      </c>
      <c r="G2859" s="4" t="n">
        <v>0</v>
      </c>
      <c r="H2859" s="4">
        <f>IF(OR(N(F2859)&gt;=0.5,G2859&gt;=4),3,IF(OR(N(F2859)&gt;=0.3,G2859=3),2,IF(OR(N(F2859)&gt;=0.1,G2859&gt;=1),1,0)))</f>
        <v/>
      </c>
      <c r="I2859" s="4">
        <f>CHOOSE(H2859+1,"Kein Risiko","Gering","Mittel","Hoch")</f>
        <v/>
      </c>
    </row>
    <row r="2860">
      <c r="A2860" s="4" t="n">
        <v>2856</v>
      </c>
      <c r="B2860" s="4" t="inlineStr">
        <is>
          <t>garage</t>
        </is>
      </c>
      <c r="C2860" s="4" t="inlineStr"/>
      <c r="D2860" s="4" t="inlineStr"/>
      <c r="E2860" s="13" t="n">
        <v>39.9</v>
      </c>
      <c r="F2860" s="12" t="n">
        <v>0.3100128173828125</v>
      </c>
      <c r="G2860" s="4" t="n">
        <v>0</v>
      </c>
      <c r="H2860" s="4">
        <f>IF(OR(N(F2860)&gt;=0.5,G2860&gt;=4),3,IF(OR(N(F2860)&gt;=0.3,G2860=3),2,IF(OR(N(F2860)&gt;=0.1,G2860&gt;=1),1,0)))</f>
        <v/>
      </c>
      <c r="I2860" s="4">
        <f>CHOOSE(H2860+1,"Kein Risiko","Gering","Mittel","Hoch")</f>
        <v/>
      </c>
    </row>
    <row r="2861">
      <c r="A2861" s="4" t="n">
        <v>2857</v>
      </c>
      <c r="B2861" s="4" t="inlineStr">
        <is>
          <t>garage</t>
        </is>
      </c>
      <c r="C2861" s="4" t="inlineStr"/>
      <c r="D2861" s="4" t="inlineStr"/>
      <c r="E2861" s="13" t="n">
        <v>33.1</v>
      </c>
      <c r="F2861" s="12" t="n">
        <v>0.0200042724609375</v>
      </c>
      <c r="G2861" s="4" t="n">
        <v>0</v>
      </c>
      <c r="H2861" s="4">
        <f>IF(OR(N(F2861)&gt;=0.5,G2861&gt;=4),3,IF(OR(N(F2861)&gt;=0.3,G2861=3),2,IF(OR(N(F2861)&gt;=0.1,G2861&gt;=1),1,0)))</f>
        <v/>
      </c>
      <c r="I2861" s="4">
        <f>CHOOSE(H2861+1,"Kein Risiko","Gering","Mittel","Hoch")</f>
        <v/>
      </c>
    </row>
    <row r="2862">
      <c r="A2862" s="4" t="n">
        <v>2858</v>
      </c>
      <c r="B2862" s="4" t="inlineStr">
        <is>
          <t>garage</t>
        </is>
      </c>
      <c r="C2862" s="4" t="inlineStr"/>
      <c r="D2862" s="4" t="inlineStr"/>
      <c r="E2862" s="13" t="n">
        <v>47.9</v>
      </c>
      <c r="F2862" s="12" t="n">
        <v>0</v>
      </c>
      <c r="G2862" s="4" t="n">
        <v>0</v>
      </c>
      <c r="H2862" s="4">
        <f>IF(OR(N(F2862)&gt;=0.5,G2862&gt;=4),3,IF(OR(N(F2862)&gt;=0.3,G2862=3),2,IF(OR(N(F2862)&gt;=0.1,G2862&gt;=1),1,0)))</f>
        <v/>
      </c>
      <c r="I2862" s="4">
        <f>CHOOSE(H2862+1,"Kein Risiko","Gering","Mittel","Hoch")</f>
        <v/>
      </c>
    </row>
    <row r="2863">
      <c r="A2863" s="4" t="n">
        <v>2859</v>
      </c>
      <c r="B2863" s="4" t="inlineStr">
        <is>
          <t>garage</t>
        </is>
      </c>
      <c r="C2863" s="4" t="inlineStr"/>
      <c r="D2863" s="4" t="inlineStr"/>
      <c r="E2863" s="13" t="n">
        <v>18</v>
      </c>
      <c r="F2863" s="12" t="n">
        <v>0</v>
      </c>
      <c r="G2863" s="4" t="n">
        <v>0</v>
      </c>
      <c r="H2863" s="4">
        <f>IF(OR(N(F2863)&gt;=0.5,G2863&gt;=4),3,IF(OR(N(F2863)&gt;=0.3,G2863=3),2,IF(OR(N(F2863)&gt;=0.1,G2863&gt;=1),1,0)))</f>
        <v/>
      </c>
      <c r="I2863" s="4">
        <f>CHOOSE(H2863+1,"Kein Risiko","Gering","Mittel","Hoch")</f>
        <v/>
      </c>
    </row>
    <row r="2864">
      <c r="A2864" s="4" t="n">
        <v>2860</v>
      </c>
      <c r="B2864" s="4" t="inlineStr">
        <is>
          <t>garage</t>
        </is>
      </c>
      <c r="C2864" s="4" t="inlineStr"/>
      <c r="D2864" s="4" t="inlineStr"/>
      <c r="E2864" s="13" t="n">
        <v>21</v>
      </c>
      <c r="F2864" s="12" t="n">
        <v>0</v>
      </c>
      <c r="G2864" s="4" t="n">
        <v>0</v>
      </c>
      <c r="H2864" s="4">
        <f>IF(OR(N(F2864)&gt;=0.5,G2864&gt;=4),3,IF(OR(N(F2864)&gt;=0.3,G2864=3),2,IF(OR(N(F2864)&gt;=0.1,G2864&gt;=1),1,0)))</f>
        <v/>
      </c>
      <c r="I2864" s="4">
        <f>CHOOSE(H2864+1,"Kein Risiko","Gering","Mittel","Hoch")</f>
        <v/>
      </c>
    </row>
    <row r="2865">
      <c r="A2865" s="4" t="n">
        <v>2861</v>
      </c>
      <c r="B2865" s="4" t="inlineStr">
        <is>
          <t>garage</t>
        </is>
      </c>
      <c r="C2865" s="4" t="inlineStr"/>
      <c r="D2865" s="4" t="inlineStr"/>
      <c r="E2865" s="13" t="n">
        <v>18.4</v>
      </c>
      <c r="F2865" s="12" t="n">
        <v>0</v>
      </c>
      <c r="G2865" s="4" t="n">
        <v>0</v>
      </c>
      <c r="H2865" s="4">
        <f>IF(OR(N(F2865)&gt;=0.5,G2865&gt;=4),3,IF(OR(N(F2865)&gt;=0.3,G2865=3),2,IF(OR(N(F2865)&gt;=0.1,G2865&gt;=1),1,0)))</f>
        <v/>
      </c>
      <c r="I2865" s="4">
        <f>CHOOSE(H2865+1,"Kein Risiko","Gering","Mittel","Hoch")</f>
        <v/>
      </c>
    </row>
    <row r="2866">
      <c r="A2866" s="4" t="n">
        <v>2862</v>
      </c>
      <c r="B2866" s="4" t="inlineStr">
        <is>
          <t>garage</t>
        </is>
      </c>
      <c r="C2866" s="4" t="inlineStr"/>
      <c r="D2866" s="4" t="inlineStr"/>
      <c r="E2866" s="13" t="n">
        <v>17.5</v>
      </c>
      <c r="F2866" s="12" t="n">
        <v>0</v>
      </c>
      <c r="G2866" s="4" t="n">
        <v>0</v>
      </c>
      <c r="H2866" s="4">
        <f>IF(OR(N(F2866)&gt;=0.5,G2866&gt;=4),3,IF(OR(N(F2866)&gt;=0.3,G2866=3),2,IF(OR(N(F2866)&gt;=0.1,G2866&gt;=1),1,0)))</f>
        <v/>
      </c>
      <c r="I2866" s="4">
        <f>CHOOSE(H2866+1,"Kein Risiko","Gering","Mittel","Hoch")</f>
        <v/>
      </c>
    </row>
    <row r="2867">
      <c r="A2867" s="4" t="n">
        <v>2863</v>
      </c>
      <c r="B2867" s="4" t="inlineStr">
        <is>
          <t>garage</t>
        </is>
      </c>
      <c r="C2867" s="4" t="inlineStr"/>
      <c r="D2867" s="4" t="inlineStr"/>
      <c r="E2867" s="13" t="n">
        <v>17.9</v>
      </c>
      <c r="F2867" s="12" t="n">
        <v>0</v>
      </c>
      <c r="G2867" s="4" t="n">
        <v>2</v>
      </c>
      <c r="H2867" s="4">
        <f>IF(OR(N(F2867)&gt;=0.5,G2867&gt;=4),3,IF(OR(N(F2867)&gt;=0.3,G2867=3),2,IF(OR(N(F2867)&gt;=0.1,G2867&gt;=1),1,0)))</f>
        <v/>
      </c>
      <c r="I2867" s="4">
        <f>CHOOSE(H2867+1,"Kein Risiko","Gering","Mittel","Hoch")</f>
        <v/>
      </c>
    </row>
    <row r="2868">
      <c r="A2868" s="4" t="n">
        <v>2864</v>
      </c>
      <c r="B2868" s="4" t="inlineStr">
        <is>
          <t>garage</t>
        </is>
      </c>
      <c r="C2868" s="4" t="inlineStr"/>
      <c r="D2868" s="4" t="inlineStr"/>
      <c r="E2868" s="13" t="n">
        <v>17.7</v>
      </c>
      <c r="F2868" s="12" t="n">
        <v>0</v>
      </c>
      <c r="G2868" s="4" t="n">
        <v>2</v>
      </c>
      <c r="H2868" s="4">
        <f>IF(OR(N(F2868)&gt;=0.5,G2868&gt;=4),3,IF(OR(N(F2868)&gt;=0.3,G2868=3),2,IF(OR(N(F2868)&gt;=0.1,G2868&gt;=1),1,0)))</f>
        <v/>
      </c>
      <c r="I2868" s="4">
        <f>CHOOSE(H2868+1,"Kein Risiko","Gering","Mittel","Hoch")</f>
        <v/>
      </c>
    </row>
    <row r="2870">
      <c r="A2870" s="14" t="inlineStr">
        <is>
          <t>Risikoklasse: 3 Hoch = Senkentiefe &gt;= 0,5 m oder Fliessweg Strahler &gt;= 4; 2 Mittel = &gt;= 0,3 m oder Strahler 3; 1 Gering = &gt;= 0,1 m oder Strahler 1-2; 0 = sonst.</t>
        </is>
      </c>
    </row>
    <row r="2871">
      <c r="A2871" s="14" t="inlineStr">
        <is>
          <t>Senkentiefe = DGM1 gefuellt (Fill) minus DGM1, Maximum innerhalb des Gebaeudeumrings. Fliesswege ab 1.000 m2 Einzugsgebiet, Suchradius 2 m.</t>
        </is>
      </c>
    </row>
    <row r="2872">
      <c r="A2872" s="14" t="inlineStr">
        <is>
          <t>Leere Senkentiefe: Gebaeude am Rand ausserhalb des DGM-Ausschnitts (Risiko nur ueber Fliesswege bewertet).</t>
        </is>
      </c>
    </row>
    <row r="2873">
      <c r="A2873" s="14" t="inlineStr">
        <is>
          <t>Quellen: DGM1 (Geobasis NRW, dl-de/zero-2-0), Gebaeude: OpenStreetMap-Mitwirkende (ODbL). Analyse: ArcGIS Pro Spatial Analyst.</t>
        </is>
      </c>
    </row>
  </sheetData>
  <autoFilter ref="A4:I28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2026-10-27T10:34:19Z</dcterms:created>
  <dcterms:modified xmlns:dcterms="http://purl.org/dc/terms/" xmlns:xsi="http://www.w3.org/2001/XMLSchema-instance" xsi:type="dcterms:W3CDTF">2026-10-27T10:34:20Z</dcterms:modified>
</cp:coreProperties>
</file>